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eerthy.raghuveer\Downloads\"/>
    </mc:Choice>
  </mc:AlternateContent>
  <xr:revisionPtr revIDLastSave="0" documentId="13_ncr:1_{FEDD2856-CB0F-4400-81D7-99B52CC958AE}" xr6:coauthVersionLast="47" xr6:coauthVersionMax="47" xr10:uidLastSave="{00000000-0000-0000-0000-000000000000}"/>
  <bookViews>
    <workbookView xWindow="22932" yWindow="-108" windowWidth="30936" windowHeight="16776" tabRatio="500" xr2:uid="{00000000-000D-0000-FFFF-FFFF00000000}"/>
  </bookViews>
  <sheets>
    <sheet name="Executive Dashboard" sheetId="1" r:id="rId1"/>
    <sheet name="Recruitement Dashboard" sheetId="5" r:id="rId2"/>
    <sheet name="HR-Input" sheetId="6" r:id="rId3"/>
    <sheet name="Dashboard - Training" sheetId="8" r:id="rId4"/>
    <sheet name="Input - Trainers" sheetId="9" r:id="rId5"/>
    <sheet name="Deployment Dashboard" sheetId="2" r:id="rId6"/>
    <sheet name="Master-Input" sheetId="3" r:id="rId7"/>
    <sheet name="Calc" sheetId="4" r:id="rId8"/>
  </sheets>
  <definedNames>
    <definedName name="_xlnm._FilterDatabase" localSheetId="6" hidden="1">'Master-Input'!$A$1:$K$200</definedName>
    <definedName name="_xlnm.Print_Area" localSheetId="0">'Executive Dashboard'!$A$1:$M$88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6" i="8" l="1"/>
  <c r="F45" i="8"/>
  <c r="F43" i="8"/>
  <c r="D5" i="8" s="1"/>
  <c r="B38" i="8"/>
  <c r="B37" i="8"/>
  <c r="B36" i="8"/>
  <c r="B35" i="8"/>
  <c r="J8" i="8"/>
  <c r="H8" i="8"/>
  <c r="F8" i="8"/>
  <c r="D8" i="8"/>
  <c r="B8" i="8"/>
  <c r="J5" i="8"/>
  <c r="H5" i="8"/>
  <c r="F5" i="8"/>
  <c r="E24" i="1" s="1"/>
  <c r="B73" i="5"/>
  <c r="L53" i="5"/>
  <c r="K53" i="5"/>
  <c r="L47" i="5"/>
  <c r="J45" i="5"/>
  <c r="L44" i="5"/>
  <c r="L40" i="5"/>
  <c r="K39" i="5"/>
  <c r="L28" i="5"/>
  <c r="K28" i="5"/>
  <c r="J25" i="5"/>
  <c r="K22" i="5"/>
  <c r="L19" i="5"/>
  <c r="J17" i="5"/>
  <c r="K14" i="5"/>
  <c r="L13" i="5"/>
  <c r="K11" i="5"/>
  <c r="L2" i="5"/>
  <c r="GP188" i="4"/>
  <c r="GO188" i="4"/>
  <c r="GN188" i="4"/>
  <c r="GM188" i="4"/>
  <c r="GL188" i="4"/>
  <c r="GK188" i="4"/>
  <c r="GJ188" i="4"/>
  <c r="GI188" i="4"/>
  <c r="GH188" i="4"/>
  <c r="GG188" i="4"/>
  <c r="GF188" i="4"/>
  <c r="GE188" i="4"/>
  <c r="GD188" i="4"/>
  <c r="GC188" i="4"/>
  <c r="GB188" i="4"/>
  <c r="GA188" i="4"/>
  <c r="FZ188" i="4"/>
  <c r="FY188" i="4"/>
  <c r="FX188" i="4"/>
  <c r="FW188" i="4"/>
  <c r="FV188" i="4"/>
  <c r="FU188" i="4"/>
  <c r="FT188" i="4"/>
  <c r="FS188" i="4"/>
  <c r="FR188" i="4"/>
  <c r="FQ188" i="4"/>
  <c r="FP188" i="4"/>
  <c r="FO188" i="4"/>
  <c r="FN188" i="4"/>
  <c r="FM188" i="4"/>
  <c r="FL188" i="4"/>
  <c r="FK188" i="4"/>
  <c r="FJ188" i="4"/>
  <c r="FI188" i="4"/>
  <c r="FH188" i="4"/>
  <c r="FG188" i="4"/>
  <c r="FF188" i="4"/>
  <c r="FE188" i="4"/>
  <c r="FD188" i="4"/>
  <c r="FC188" i="4"/>
  <c r="FB188" i="4"/>
  <c r="FA188" i="4"/>
  <c r="EZ188" i="4"/>
  <c r="EY188" i="4"/>
  <c r="EX188" i="4"/>
  <c r="EW188" i="4"/>
  <c r="EV188" i="4"/>
  <c r="EU188" i="4"/>
  <c r="ET188" i="4"/>
  <c r="ES188" i="4"/>
  <c r="ER188" i="4"/>
  <c r="EQ188" i="4"/>
  <c r="EP188" i="4"/>
  <c r="EO188" i="4"/>
  <c r="EN188" i="4"/>
  <c r="EM188" i="4"/>
  <c r="EL188" i="4"/>
  <c r="EK188" i="4"/>
  <c r="EJ188" i="4"/>
  <c r="EI188" i="4"/>
  <c r="EH188" i="4"/>
  <c r="EG188" i="4"/>
  <c r="EF188" i="4"/>
  <c r="EE188" i="4"/>
  <c r="ED188" i="4"/>
  <c r="EC188" i="4"/>
  <c r="EB188" i="4"/>
  <c r="EA188" i="4"/>
  <c r="DZ188" i="4"/>
  <c r="DY188" i="4"/>
  <c r="DX188" i="4"/>
  <c r="DW188" i="4"/>
  <c r="DV188" i="4"/>
  <c r="DU188" i="4"/>
  <c r="DT188" i="4"/>
  <c r="DS188" i="4"/>
  <c r="DR188" i="4"/>
  <c r="DQ188" i="4"/>
  <c r="CJ188" i="4"/>
  <c r="CI188" i="4"/>
  <c r="CH188" i="4"/>
  <c r="CG188" i="4"/>
  <c r="CF188" i="4"/>
  <c r="CE188" i="4"/>
  <c r="CD188" i="4"/>
  <c r="CC188" i="4"/>
  <c r="CB188" i="4"/>
  <c r="CA188" i="4"/>
  <c r="BZ188" i="4"/>
  <c r="BY188" i="4"/>
  <c r="BX188" i="4"/>
  <c r="BW188" i="4"/>
  <c r="BV188" i="4"/>
  <c r="BU188" i="4"/>
  <c r="BT188" i="4"/>
  <c r="BS188" i="4"/>
  <c r="BR188" i="4"/>
  <c r="BQ188" i="4"/>
  <c r="BP188" i="4"/>
  <c r="BO188" i="4"/>
  <c r="BN188" i="4"/>
  <c r="BM188" i="4"/>
  <c r="BL188" i="4"/>
  <c r="BK188" i="4"/>
  <c r="BJ188" i="4"/>
  <c r="BI188" i="4"/>
  <c r="BH188" i="4"/>
  <c r="BG188" i="4"/>
  <c r="BF188" i="4"/>
  <c r="BE188" i="4"/>
  <c r="BD188" i="4"/>
  <c r="BC188" i="4"/>
  <c r="BB188" i="4"/>
  <c r="BA188" i="4"/>
  <c r="AZ188" i="4"/>
  <c r="AY188" i="4"/>
  <c r="AX188" i="4"/>
  <c r="AW188" i="4"/>
  <c r="AV188" i="4"/>
  <c r="AU188" i="4"/>
  <c r="AT188" i="4"/>
  <c r="AS188" i="4"/>
  <c r="AR188" i="4"/>
  <c r="AQ188" i="4"/>
  <c r="AP188" i="4"/>
  <c r="AO188" i="4"/>
  <c r="AN188" i="4"/>
  <c r="AM188" i="4"/>
  <c r="AL188" i="4"/>
  <c r="AK188" i="4"/>
  <c r="AJ188" i="4"/>
  <c r="AI188" i="4"/>
  <c r="AH188" i="4"/>
  <c r="AG188" i="4"/>
  <c r="AF188" i="4"/>
  <c r="AE188" i="4"/>
  <c r="AD188" i="4"/>
  <c r="AC188" i="4"/>
  <c r="AB188" i="4"/>
  <c r="AA188" i="4"/>
  <c r="Z188" i="4"/>
  <c r="Y188" i="4"/>
  <c r="X188" i="4"/>
  <c r="W188" i="4"/>
  <c r="V188" i="4"/>
  <c r="U188" i="4"/>
  <c r="T188" i="4"/>
  <c r="S188" i="4"/>
  <c r="R188" i="4"/>
  <c r="Q188" i="4"/>
  <c r="P188" i="4"/>
  <c r="O188" i="4"/>
  <c r="N188" i="4"/>
  <c r="M188" i="4"/>
  <c r="L188" i="4"/>
  <c r="K188" i="4"/>
  <c r="GP187" i="4"/>
  <c r="GO187" i="4"/>
  <c r="GN187" i="4"/>
  <c r="GM187" i="4"/>
  <c r="GL187" i="4"/>
  <c r="GK187" i="4"/>
  <c r="GJ187" i="4"/>
  <c r="GI187" i="4"/>
  <c r="GH187" i="4"/>
  <c r="GG187" i="4"/>
  <c r="GF187" i="4"/>
  <c r="GE187" i="4"/>
  <c r="GD187" i="4"/>
  <c r="GC187" i="4"/>
  <c r="GB187" i="4"/>
  <c r="GA187" i="4"/>
  <c r="FZ187" i="4"/>
  <c r="FY187" i="4"/>
  <c r="FX187" i="4"/>
  <c r="FW187" i="4"/>
  <c r="FV187" i="4"/>
  <c r="FU187" i="4"/>
  <c r="FT187" i="4"/>
  <c r="FS187" i="4"/>
  <c r="FR187" i="4"/>
  <c r="FQ187" i="4"/>
  <c r="FP187" i="4"/>
  <c r="FO187" i="4"/>
  <c r="FN187" i="4"/>
  <c r="FM187" i="4"/>
  <c r="FL187" i="4"/>
  <c r="FK187" i="4"/>
  <c r="FJ187" i="4"/>
  <c r="FI187" i="4"/>
  <c r="FH187" i="4"/>
  <c r="FG187" i="4"/>
  <c r="FF187" i="4"/>
  <c r="FE187" i="4"/>
  <c r="FD187" i="4"/>
  <c r="FC187" i="4"/>
  <c r="FB187" i="4"/>
  <c r="FA187" i="4"/>
  <c r="EZ187" i="4"/>
  <c r="EY187" i="4"/>
  <c r="EX187" i="4"/>
  <c r="EW187" i="4"/>
  <c r="EV187" i="4"/>
  <c r="EU187" i="4"/>
  <c r="ET187" i="4"/>
  <c r="ES187" i="4"/>
  <c r="ER187" i="4"/>
  <c r="EQ187" i="4"/>
  <c r="EP187" i="4"/>
  <c r="EO187" i="4"/>
  <c r="EN187" i="4"/>
  <c r="EM187" i="4"/>
  <c r="EL187" i="4"/>
  <c r="EK187" i="4"/>
  <c r="EJ187" i="4"/>
  <c r="EI187" i="4"/>
  <c r="EH187" i="4"/>
  <c r="EG187" i="4"/>
  <c r="EF187" i="4"/>
  <c r="EE187" i="4"/>
  <c r="ED187" i="4"/>
  <c r="EC187" i="4"/>
  <c r="EB187" i="4"/>
  <c r="EA187" i="4"/>
  <c r="DZ187" i="4"/>
  <c r="DY187" i="4"/>
  <c r="DX187" i="4"/>
  <c r="DW187" i="4"/>
  <c r="DV187" i="4"/>
  <c r="DU187" i="4"/>
  <c r="DT187" i="4"/>
  <c r="DS187" i="4"/>
  <c r="DR187" i="4"/>
  <c r="DQ187" i="4"/>
  <c r="DP187" i="4"/>
  <c r="DO187" i="4"/>
  <c r="DN187" i="4"/>
  <c r="DM187" i="4"/>
  <c r="DL187" i="4"/>
  <c r="DK187" i="4"/>
  <c r="DJ187" i="4"/>
  <c r="DI187" i="4"/>
  <c r="DH187" i="4"/>
  <c r="DG187" i="4"/>
  <c r="DF187" i="4"/>
  <c r="DE187" i="4"/>
  <c r="DD187" i="4"/>
  <c r="DC187" i="4"/>
  <c r="DB187" i="4"/>
  <c r="DA187" i="4"/>
  <c r="CZ187" i="4"/>
  <c r="CY187" i="4"/>
  <c r="CX187" i="4"/>
  <c r="CW187" i="4"/>
  <c r="CV187" i="4"/>
  <c r="CU187" i="4"/>
  <c r="CT187" i="4"/>
  <c r="CS187" i="4"/>
  <c r="CR187" i="4"/>
  <c r="CQ187" i="4"/>
  <c r="CP187" i="4"/>
  <c r="CO187" i="4"/>
  <c r="CN187" i="4"/>
  <c r="CM187" i="4"/>
  <c r="CL187" i="4"/>
  <c r="CK187" i="4"/>
  <c r="GP186" i="4"/>
  <c r="GO186" i="4"/>
  <c r="GN186" i="4"/>
  <c r="GM186" i="4"/>
  <c r="GL186" i="4"/>
  <c r="GK186" i="4"/>
  <c r="GJ186" i="4"/>
  <c r="GI186" i="4"/>
  <c r="GH186" i="4"/>
  <c r="GG186" i="4"/>
  <c r="GF186" i="4"/>
  <c r="GE186" i="4"/>
  <c r="GD186" i="4"/>
  <c r="GC186" i="4"/>
  <c r="GB186" i="4"/>
  <c r="GA186" i="4"/>
  <c r="FZ186" i="4"/>
  <c r="FY186" i="4"/>
  <c r="FX186" i="4"/>
  <c r="FW186" i="4"/>
  <c r="FV186" i="4"/>
  <c r="FU186" i="4"/>
  <c r="FT186" i="4"/>
  <c r="FS186" i="4"/>
  <c r="FR186" i="4"/>
  <c r="FQ186" i="4"/>
  <c r="FP186" i="4"/>
  <c r="FO186" i="4"/>
  <c r="FN186" i="4"/>
  <c r="FM186" i="4"/>
  <c r="FL186" i="4"/>
  <c r="FK186" i="4"/>
  <c r="FJ186" i="4"/>
  <c r="FI186" i="4"/>
  <c r="FH186" i="4"/>
  <c r="FG186" i="4"/>
  <c r="FF186" i="4"/>
  <c r="FE186" i="4"/>
  <c r="FD186" i="4"/>
  <c r="FC186" i="4"/>
  <c r="FB186" i="4"/>
  <c r="FA186" i="4"/>
  <c r="EZ186" i="4"/>
  <c r="EY186" i="4"/>
  <c r="EX186" i="4"/>
  <c r="EW186" i="4"/>
  <c r="EV186" i="4"/>
  <c r="EU186" i="4"/>
  <c r="ET186" i="4"/>
  <c r="ES186" i="4"/>
  <c r="ER186" i="4"/>
  <c r="EQ186" i="4"/>
  <c r="EP186" i="4"/>
  <c r="EO186" i="4"/>
  <c r="EN186" i="4"/>
  <c r="EM186" i="4"/>
  <c r="EL186" i="4"/>
  <c r="EK186" i="4"/>
  <c r="EJ186" i="4"/>
  <c r="EI186" i="4"/>
  <c r="EH186" i="4"/>
  <c r="EG186" i="4"/>
  <c r="EF186" i="4"/>
  <c r="EE186" i="4"/>
  <c r="ED186" i="4"/>
  <c r="EC186" i="4"/>
  <c r="EB186" i="4"/>
  <c r="EA186" i="4"/>
  <c r="DZ186" i="4"/>
  <c r="DY186" i="4"/>
  <c r="DX186" i="4"/>
  <c r="DW186" i="4"/>
  <c r="DV186" i="4"/>
  <c r="DU186" i="4"/>
  <c r="DT186" i="4"/>
  <c r="DS186" i="4"/>
  <c r="DR186" i="4"/>
  <c r="DQ186" i="4"/>
  <c r="DP186" i="4"/>
  <c r="DP236" i="4" s="1"/>
  <c r="DO186" i="4"/>
  <c r="DN186" i="4"/>
  <c r="DM186" i="4"/>
  <c r="DL186" i="4"/>
  <c r="DK186" i="4"/>
  <c r="DJ186" i="4"/>
  <c r="DI186" i="4"/>
  <c r="DH186" i="4"/>
  <c r="DG186" i="4"/>
  <c r="DF186" i="4"/>
  <c r="DE186" i="4"/>
  <c r="DD186" i="4"/>
  <c r="DC186" i="4"/>
  <c r="DB186" i="4"/>
  <c r="DA186" i="4"/>
  <c r="CZ186" i="4"/>
  <c r="CY186" i="4"/>
  <c r="CX186" i="4"/>
  <c r="CW186" i="4"/>
  <c r="CV186" i="4"/>
  <c r="CU186" i="4"/>
  <c r="CT186" i="4"/>
  <c r="CS186" i="4"/>
  <c r="CR186" i="4"/>
  <c r="CQ186" i="4"/>
  <c r="CP186" i="4"/>
  <c r="CO186" i="4"/>
  <c r="CN186" i="4"/>
  <c r="CM186" i="4"/>
  <c r="CL186" i="4"/>
  <c r="CK186" i="4"/>
  <c r="GP185" i="4"/>
  <c r="GO185" i="4"/>
  <c r="GN185" i="4"/>
  <c r="GM185" i="4"/>
  <c r="GL185" i="4"/>
  <c r="GK185" i="4"/>
  <c r="GJ185" i="4"/>
  <c r="GI185" i="4"/>
  <c r="GH185" i="4"/>
  <c r="GG185" i="4"/>
  <c r="GF185" i="4"/>
  <c r="GE185" i="4"/>
  <c r="GD185" i="4"/>
  <c r="GC185" i="4"/>
  <c r="GB185" i="4"/>
  <c r="GA185" i="4"/>
  <c r="FZ185" i="4"/>
  <c r="FY185" i="4"/>
  <c r="FX185" i="4"/>
  <c r="FW185" i="4"/>
  <c r="FV185" i="4"/>
  <c r="FU185" i="4"/>
  <c r="FT185" i="4"/>
  <c r="FS185" i="4"/>
  <c r="FR185" i="4"/>
  <c r="FQ185" i="4"/>
  <c r="FP185" i="4"/>
  <c r="FO185" i="4"/>
  <c r="FN185" i="4"/>
  <c r="FM185" i="4"/>
  <c r="FL185" i="4"/>
  <c r="FK185" i="4"/>
  <c r="FJ185" i="4"/>
  <c r="FI185" i="4"/>
  <c r="FH185" i="4"/>
  <c r="FG185" i="4"/>
  <c r="FF185" i="4"/>
  <c r="FE185" i="4"/>
  <c r="FD185" i="4"/>
  <c r="FC185" i="4"/>
  <c r="FB185" i="4"/>
  <c r="FA185" i="4"/>
  <c r="EZ185" i="4"/>
  <c r="EY185" i="4"/>
  <c r="EX185" i="4"/>
  <c r="EW185" i="4"/>
  <c r="EV185" i="4"/>
  <c r="EU185" i="4"/>
  <c r="ET185" i="4"/>
  <c r="ES185" i="4"/>
  <c r="ER185" i="4"/>
  <c r="EQ185" i="4"/>
  <c r="EP185" i="4"/>
  <c r="EO185" i="4"/>
  <c r="EN185" i="4"/>
  <c r="EM185" i="4"/>
  <c r="EL185" i="4"/>
  <c r="EK185" i="4"/>
  <c r="EJ185" i="4"/>
  <c r="EI185" i="4"/>
  <c r="EH185" i="4"/>
  <c r="EG185" i="4"/>
  <c r="EF185" i="4"/>
  <c r="EE185" i="4"/>
  <c r="ED185" i="4"/>
  <c r="EC185" i="4"/>
  <c r="EB185" i="4"/>
  <c r="EA185" i="4"/>
  <c r="DZ185" i="4"/>
  <c r="DY185" i="4"/>
  <c r="DX185" i="4"/>
  <c r="DW185" i="4"/>
  <c r="DV185" i="4"/>
  <c r="DU185" i="4"/>
  <c r="DT185" i="4"/>
  <c r="DS185" i="4"/>
  <c r="DR185" i="4"/>
  <c r="DQ185" i="4"/>
  <c r="DP185" i="4"/>
  <c r="DO185" i="4"/>
  <c r="DN185" i="4"/>
  <c r="DM185" i="4"/>
  <c r="DL185" i="4"/>
  <c r="DK185" i="4"/>
  <c r="DJ185" i="4"/>
  <c r="DI185" i="4"/>
  <c r="DH185" i="4"/>
  <c r="DG185" i="4"/>
  <c r="DF185" i="4"/>
  <c r="DE185" i="4"/>
  <c r="DD185" i="4"/>
  <c r="DC185" i="4"/>
  <c r="DB185" i="4"/>
  <c r="DA185" i="4"/>
  <c r="CZ185" i="4"/>
  <c r="CY185" i="4"/>
  <c r="CX185" i="4"/>
  <c r="CW185" i="4"/>
  <c r="CV185" i="4"/>
  <c r="CU185" i="4"/>
  <c r="CT185" i="4"/>
  <c r="CS185" i="4"/>
  <c r="CR185" i="4"/>
  <c r="CQ185" i="4"/>
  <c r="CP185" i="4"/>
  <c r="CO185" i="4"/>
  <c r="CN185" i="4"/>
  <c r="CM185" i="4"/>
  <c r="CL185" i="4"/>
  <c r="CK185" i="4"/>
  <c r="GP184" i="4"/>
  <c r="GO184" i="4"/>
  <c r="GN184" i="4"/>
  <c r="GM184" i="4"/>
  <c r="GL184" i="4"/>
  <c r="GK184" i="4"/>
  <c r="GJ184" i="4"/>
  <c r="GI184" i="4"/>
  <c r="GH184" i="4"/>
  <c r="GG184" i="4"/>
  <c r="GF184" i="4"/>
  <c r="GE184" i="4"/>
  <c r="GD184" i="4"/>
  <c r="GC184" i="4"/>
  <c r="GB184" i="4"/>
  <c r="GA184" i="4"/>
  <c r="FZ184" i="4"/>
  <c r="FY184" i="4"/>
  <c r="FX184" i="4"/>
  <c r="FW184" i="4"/>
  <c r="FV184" i="4"/>
  <c r="FU184" i="4"/>
  <c r="FT184" i="4"/>
  <c r="FS184" i="4"/>
  <c r="FR184" i="4"/>
  <c r="FQ184" i="4"/>
  <c r="FP184" i="4"/>
  <c r="FO184" i="4"/>
  <c r="FN184" i="4"/>
  <c r="FM184" i="4"/>
  <c r="FL184" i="4"/>
  <c r="FK184" i="4"/>
  <c r="FJ184" i="4"/>
  <c r="FI184" i="4"/>
  <c r="FH184" i="4"/>
  <c r="FG184" i="4"/>
  <c r="FF184" i="4"/>
  <c r="FE184" i="4"/>
  <c r="FD184" i="4"/>
  <c r="FC184" i="4"/>
  <c r="FB184" i="4"/>
  <c r="FA184" i="4"/>
  <c r="EZ184" i="4"/>
  <c r="EY184" i="4"/>
  <c r="EX184" i="4"/>
  <c r="EW184" i="4"/>
  <c r="EV184" i="4"/>
  <c r="EU184" i="4"/>
  <c r="ET184" i="4"/>
  <c r="ES184" i="4"/>
  <c r="ER184" i="4"/>
  <c r="EQ184" i="4"/>
  <c r="EP184" i="4"/>
  <c r="EO184" i="4"/>
  <c r="EN184" i="4"/>
  <c r="EM184" i="4"/>
  <c r="EL184" i="4"/>
  <c r="EL234" i="4" s="1"/>
  <c r="EK184" i="4"/>
  <c r="EJ184" i="4"/>
  <c r="EI184" i="4"/>
  <c r="EH184" i="4"/>
  <c r="EH234" i="4" s="1"/>
  <c r="EG184" i="4"/>
  <c r="EF184" i="4"/>
  <c r="EE184" i="4"/>
  <c r="ED184" i="4"/>
  <c r="EC184" i="4"/>
  <c r="EB184" i="4"/>
  <c r="EA184" i="4"/>
  <c r="DZ184" i="4"/>
  <c r="DY184" i="4"/>
  <c r="DX184" i="4"/>
  <c r="DW184" i="4"/>
  <c r="DV184" i="4"/>
  <c r="DU184" i="4"/>
  <c r="DT184" i="4"/>
  <c r="DS184" i="4"/>
  <c r="DR184" i="4"/>
  <c r="DQ184" i="4"/>
  <c r="DP184" i="4"/>
  <c r="DO184" i="4"/>
  <c r="DN184" i="4"/>
  <c r="DM184" i="4"/>
  <c r="DL184" i="4"/>
  <c r="DK184" i="4"/>
  <c r="DJ184" i="4"/>
  <c r="DI184" i="4"/>
  <c r="DH184" i="4"/>
  <c r="DG184" i="4"/>
  <c r="DF184" i="4"/>
  <c r="DE184" i="4"/>
  <c r="DD184" i="4"/>
  <c r="DC184" i="4"/>
  <c r="DB184" i="4"/>
  <c r="DA184" i="4"/>
  <c r="CZ184" i="4"/>
  <c r="CY184" i="4"/>
  <c r="CX184" i="4"/>
  <c r="CW184" i="4"/>
  <c r="CV184" i="4"/>
  <c r="CU184" i="4"/>
  <c r="CT184" i="4"/>
  <c r="CT234" i="4" s="1"/>
  <c r="CS184" i="4"/>
  <c r="CR184" i="4"/>
  <c r="CQ184" i="4"/>
  <c r="CP184" i="4"/>
  <c r="CP234" i="4" s="1"/>
  <c r="CO184" i="4"/>
  <c r="CN184" i="4"/>
  <c r="CM184" i="4"/>
  <c r="CL184" i="4"/>
  <c r="CK184" i="4"/>
  <c r="GP183" i="4"/>
  <c r="GO183" i="4"/>
  <c r="GN183" i="4"/>
  <c r="GM183" i="4"/>
  <c r="GL183" i="4"/>
  <c r="GK183" i="4"/>
  <c r="GJ183" i="4"/>
  <c r="GI183" i="4"/>
  <c r="GH183" i="4"/>
  <c r="GG183" i="4"/>
  <c r="GF183" i="4"/>
  <c r="GE183" i="4"/>
  <c r="GD183" i="4"/>
  <c r="GC183" i="4"/>
  <c r="GB183" i="4"/>
  <c r="GA183" i="4"/>
  <c r="FZ183" i="4"/>
  <c r="FY183" i="4"/>
  <c r="FX183" i="4"/>
  <c r="FW183" i="4"/>
  <c r="FV183" i="4"/>
  <c r="FU183" i="4"/>
  <c r="FT183" i="4"/>
  <c r="FS183" i="4"/>
  <c r="FR183" i="4"/>
  <c r="FQ183" i="4"/>
  <c r="FP183" i="4"/>
  <c r="FO183" i="4"/>
  <c r="FN183" i="4"/>
  <c r="FM183" i="4"/>
  <c r="FL183" i="4"/>
  <c r="FK183" i="4"/>
  <c r="FJ183" i="4"/>
  <c r="FI183" i="4"/>
  <c r="FH183" i="4"/>
  <c r="FG183" i="4"/>
  <c r="FF183" i="4"/>
  <c r="FE183" i="4"/>
  <c r="FD183" i="4"/>
  <c r="FC183" i="4"/>
  <c r="FB183" i="4"/>
  <c r="FA183" i="4"/>
  <c r="EZ183" i="4"/>
  <c r="EY183" i="4"/>
  <c r="EY233" i="4" s="1"/>
  <c r="EX183" i="4"/>
  <c r="EW183" i="4"/>
  <c r="EV183" i="4"/>
  <c r="EU183" i="4"/>
  <c r="ET183" i="4"/>
  <c r="ES183" i="4"/>
  <c r="ER183" i="4"/>
  <c r="EQ183" i="4"/>
  <c r="EP183" i="4"/>
  <c r="EO183" i="4"/>
  <c r="EN183" i="4"/>
  <c r="EM183" i="4"/>
  <c r="EL183" i="4"/>
  <c r="EK183" i="4"/>
  <c r="EJ183" i="4"/>
  <c r="EI183" i="4"/>
  <c r="EH183" i="4"/>
  <c r="EG183" i="4"/>
  <c r="EF183" i="4"/>
  <c r="EE183" i="4"/>
  <c r="ED183" i="4"/>
  <c r="EC183" i="4"/>
  <c r="EB183" i="4"/>
  <c r="EA183" i="4"/>
  <c r="DZ183" i="4"/>
  <c r="DY183" i="4"/>
  <c r="DX183" i="4"/>
  <c r="DW183" i="4"/>
  <c r="DV183" i="4"/>
  <c r="DU183" i="4"/>
  <c r="DT183" i="4"/>
  <c r="DS183" i="4"/>
  <c r="DR183" i="4"/>
  <c r="DQ183" i="4"/>
  <c r="DP183" i="4"/>
  <c r="DO183" i="4"/>
  <c r="DO233" i="4" s="1"/>
  <c r="DN183" i="4"/>
  <c r="DM183" i="4"/>
  <c r="DL183" i="4"/>
  <c r="DK183" i="4"/>
  <c r="DJ183" i="4"/>
  <c r="DI183" i="4"/>
  <c r="DH183" i="4"/>
  <c r="DG183" i="4"/>
  <c r="DG233" i="4" s="1"/>
  <c r="DF183" i="4"/>
  <c r="DE183" i="4"/>
  <c r="DD183" i="4"/>
  <c r="DC183" i="4"/>
  <c r="DB183" i="4"/>
  <c r="DA183" i="4"/>
  <c r="CZ183" i="4"/>
  <c r="CY183" i="4"/>
  <c r="CX183" i="4"/>
  <c r="CW183" i="4"/>
  <c r="CV183" i="4"/>
  <c r="CU183" i="4"/>
  <c r="CT183" i="4"/>
  <c r="CS183" i="4"/>
  <c r="CR183" i="4"/>
  <c r="CQ183" i="4"/>
  <c r="CP183" i="4"/>
  <c r="CO183" i="4"/>
  <c r="CN183" i="4"/>
  <c r="CM183" i="4"/>
  <c r="CL183" i="4"/>
  <c r="CK183" i="4"/>
  <c r="GP182" i="4"/>
  <c r="GO182" i="4"/>
  <c r="GN182" i="4"/>
  <c r="GM182" i="4"/>
  <c r="GL182" i="4"/>
  <c r="GK182" i="4"/>
  <c r="GJ182" i="4"/>
  <c r="GI182" i="4"/>
  <c r="GH182" i="4"/>
  <c r="GG182" i="4"/>
  <c r="GF182" i="4"/>
  <c r="GE182" i="4"/>
  <c r="GD182" i="4"/>
  <c r="GC182" i="4"/>
  <c r="GB182" i="4"/>
  <c r="GA182" i="4"/>
  <c r="FZ182" i="4"/>
  <c r="FY182" i="4"/>
  <c r="FX182" i="4"/>
  <c r="FW182" i="4"/>
  <c r="FV182" i="4"/>
  <c r="FU182" i="4"/>
  <c r="FT182" i="4"/>
  <c r="FS182" i="4"/>
  <c r="FR182" i="4"/>
  <c r="FQ182" i="4"/>
  <c r="FP182" i="4"/>
  <c r="FP232" i="4" s="1"/>
  <c r="FO182" i="4"/>
  <c r="FN182" i="4"/>
  <c r="FM182" i="4"/>
  <c r="FL182" i="4"/>
  <c r="FK182" i="4"/>
  <c r="FJ182" i="4"/>
  <c r="FI182" i="4"/>
  <c r="FH182" i="4"/>
  <c r="FG182" i="4"/>
  <c r="FF182" i="4"/>
  <c r="FE182" i="4"/>
  <c r="FD182" i="4"/>
  <c r="FC182" i="4"/>
  <c r="FB182" i="4"/>
  <c r="FA182" i="4"/>
  <c r="EZ182" i="4"/>
  <c r="EY182" i="4"/>
  <c r="EX182" i="4"/>
  <c r="EW182" i="4"/>
  <c r="EV182" i="4"/>
  <c r="EU182" i="4"/>
  <c r="ET182" i="4"/>
  <c r="ES182" i="4"/>
  <c r="ER182" i="4"/>
  <c r="EQ182" i="4"/>
  <c r="EP182" i="4"/>
  <c r="EO182" i="4"/>
  <c r="EN182" i="4"/>
  <c r="EM182" i="4"/>
  <c r="EL182" i="4"/>
  <c r="EK182" i="4"/>
  <c r="EJ182" i="4"/>
  <c r="EI182" i="4"/>
  <c r="EH182" i="4"/>
  <c r="EG182" i="4"/>
  <c r="EF182" i="4"/>
  <c r="EE182" i="4"/>
  <c r="ED182" i="4"/>
  <c r="EC182" i="4"/>
  <c r="EB182" i="4"/>
  <c r="EB232" i="4" s="1"/>
  <c r="EA182" i="4"/>
  <c r="DZ182" i="4"/>
  <c r="DY182" i="4"/>
  <c r="DX182" i="4"/>
  <c r="DW182" i="4"/>
  <c r="DV182" i="4"/>
  <c r="DU182" i="4"/>
  <c r="DT182" i="4"/>
  <c r="DS182" i="4"/>
  <c r="DR182" i="4"/>
  <c r="DQ182" i="4"/>
  <c r="DP182" i="4"/>
  <c r="DO182" i="4"/>
  <c r="DN182" i="4"/>
  <c r="DM182" i="4"/>
  <c r="DL182" i="4"/>
  <c r="DK182" i="4"/>
  <c r="DJ182" i="4"/>
  <c r="DI182" i="4"/>
  <c r="DH182" i="4"/>
  <c r="DG182" i="4"/>
  <c r="DF182" i="4"/>
  <c r="DE182" i="4"/>
  <c r="DD182" i="4"/>
  <c r="DC182" i="4"/>
  <c r="DB182" i="4"/>
  <c r="DA182" i="4"/>
  <c r="CZ182" i="4"/>
  <c r="CY182" i="4"/>
  <c r="CX182" i="4"/>
  <c r="CW182" i="4"/>
  <c r="CV182" i="4"/>
  <c r="CU182" i="4"/>
  <c r="CT182" i="4"/>
  <c r="CS182" i="4"/>
  <c r="CR182" i="4"/>
  <c r="CQ182" i="4"/>
  <c r="CP182" i="4"/>
  <c r="CO182" i="4"/>
  <c r="CN182" i="4"/>
  <c r="CM182" i="4"/>
  <c r="CL182" i="4"/>
  <c r="CK182" i="4"/>
  <c r="BD181" i="4"/>
  <c r="BQ180" i="4"/>
  <c r="CH178" i="4"/>
  <c r="V178" i="4"/>
  <c r="L177" i="4"/>
  <c r="DK176" i="4"/>
  <c r="DA175" i="4"/>
  <c r="CA175" i="4"/>
  <c r="CX174" i="4"/>
  <c r="BW174" i="4"/>
  <c r="GP173" i="4"/>
  <c r="GP223" i="4" s="1"/>
  <c r="GO173" i="4"/>
  <c r="GN173" i="4"/>
  <c r="GM173" i="4"/>
  <c r="GM223" i="4" s="1"/>
  <c r="GL173" i="4"/>
  <c r="GK173" i="4"/>
  <c r="GJ173" i="4"/>
  <c r="GI173" i="4"/>
  <c r="GI223" i="4" s="1"/>
  <c r="GH173" i="4"/>
  <c r="GG173" i="4"/>
  <c r="GF173" i="4"/>
  <c r="GE173" i="4"/>
  <c r="GD173" i="4"/>
  <c r="GC173" i="4"/>
  <c r="GB173" i="4"/>
  <c r="GA173" i="4"/>
  <c r="FZ173" i="4"/>
  <c r="FZ223" i="4" s="1"/>
  <c r="FY173" i="4"/>
  <c r="FX173" i="4"/>
  <c r="FX223" i="4" s="1"/>
  <c r="FW173" i="4"/>
  <c r="FV173" i="4"/>
  <c r="FU173" i="4"/>
  <c r="FT173" i="4"/>
  <c r="FS173" i="4"/>
  <c r="FR173" i="4"/>
  <c r="FQ173" i="4"/>
  <c r="FP173" i="4"/>
  <c r="FP223" i="4" s="1"/>
  <c r="FO173" i="4"/>
  <c r="FO223" i="4" s="1"/>
  <c r="FN173" i="4"/>
  <c r="FM173" i="4"/>
  <c r="FL173" i="4"/>
  <c r="FK173" i="4"/>
  <c r="FJ173" i="4"/>
  <c r="FJ223" i="4" s="1"/>
  <c r="FI173" i="4"/>
  <c r="FH173" i="4"/>
  <c r="FG173" i="4"/>
  <c r="FF173" i="4"/>
  <c r="FE173" i="4"/>
  <c r="FD173" i="4"/>
  <c r="FC173" i="4"/>
  <c r="FB173" i="4"/>
  <c r="FB223" i="4" s="1"/>
  <c r="FA173" i="4"/>
  <c r="EZ173" i="4"/>
  <c r="EY173" i="4"/>
  <c r="EY223" i="4" s="1"/>
  <c r="EX173" i="4"/>
  <c r="EW173" i="4"/>
  <c r="EV173" i="4"/>
  <c r="EU173" i="4"/>
  <c r="ET173" i="4"/>
  <c r="ES173" i="4"/>
  <c r="ER173" i="4"/>
  <c r="EQ173" i="4"/>
  <c r="EQ223" i="4" s="1"/>
  <c r="EP173" i="4"/>
  <c r="EO173" i="4"/>
  <c r="EN173" i="4"/>
  <c r="EM173" i="4"/>
  <c r="EL173" i="4"/>
  <c r="EL223" i="4" s="1"/>
  <c r="EK173" i="4"/>
  <c r="EJ173" i="4"/>
  <c r="EJ223" i="4" s="1"/>
  <c r="EI173" i="4"/>
  <c r="EH173" i="4"/>
  <c r="EG173" i="4"/>
  <c r="EF173" i="4"/>
  <c r="EE173" i="4"/>
  <c r="ED173" i="4"/>
  <c r="ED223" i="4" s="1"/>
  <c r="EC173" i="4"/>
  <c r="EB173" i="4"/>
  <c r="EB223" i="4" s="1"/>
  <c r="EA173" i="4"/>
  <c r="EA223" i="4" s="1"/>
  <c r="DZ173" i="4"/>
  <c r="DY173" i="4"/>
  <c r="DX173" i="4"/>
  <c r="DW173" i="4"/>
  <c r="DV173" i="4"/>
  <c r="DU173" i="4"/>
  <c r="DT173" i="4"/>
  <c r="DS173" i="4"/>
  <c r="DR173" i="4"/>
  <c r="DQ173" i="4"/>
  <c r="CJ173" i="4"/>
  <c r="CI173" i="4"/>
  <c r="CH173" i="4"/>
  <c r="CG173" i="4"/>
  <c r="CF173" i="4"/>
  <c r="CE173" i="4"/>
  <c r="CD173" i="4"/>
  <c r="CC173" i="4"/>
  <c r="CB173" i="4"/>
  <c r="CA173" i="4"/>
  <c r="BZ173" i="4"/>
  <c r="BZ223" i="4" s="1"/>
  <c r="BY173" i="4"/>
  <c r="BX173" i="4"/>
  <c r="BW173" i="4"/>
  <c r="BV173" i="4"/>
  <c r="BU173" i="4"/>
  <c r="BT173" i="4"/>
  <c r="BS173" i="4"/>
  <c r="BR173" i="4"/>
  <c r="BR223" i="4" s="1"/>
  <c r="BQ173" i="4"/>
  <c r="BP173" i="4"/>
  <c r="BP223" i="4" s="1"/>
  <c r="BO173" i="4"/>
  <c r="BO223" i="4" s="1"/>
  <c r="BN173" i="4"/>
  <c r="BM173" i="4"/>
  <c r="BL173" i="4"/>
  <c r="BK173" i="4"/>
  <c r="BJ173" i="4"/>
  <c r="BI173" i="4"/>
  <c r="BH173" i="4"/>
  <c r="BG173" i="4"/>
  <c r="BF173" i="4"/>
  <c r="BE173" i="4"/>
  <c r="BD173" i="4"/>
  <c r="BC173" i="4"/>
  <c r="BC223" i="4" s="1"/>
  <c r="BB173" i="4"/>
  <c r="BA173" i="4"/>
  <c r="AZ173" i="4"/>
  <c r="AZ223" i="4" s="1"/>
  <c r="AY173" i="4"/>
  <c r="AY223" i="4" s="1"/>
  <c r="AX173" i="4"/>
  <c r="AW173" i="4"/>
  <c r="AV173" i="4"/>
  <c r="AU173" i="4"/>
  <c r="AT173" i="4"/>
  <c r="AS173" i="4"/>
  <c r="AR173" i="4"/>
  <c r="AR223" i="4" s="1"/>
  <c r="AQ173" i="4"/>
  <c r="AP173" i="4"/>
  <c r="AO173" i="4"/>
  <c r="AN173" i="4"/>
  <c r="AM173" i="4"/>
  <c r="AL173" i="4"/>
  <c r="AL223" i="4" s="1"/>
  <c r="AK173" i="4"/>
  <c r="AJ173" i="4"/>
  <c r="AI173" i="4"/>
  <c r="AH173" i="4"/>
  <c r="AG173" i="4"/>
  <c r="AF173" i="4"/>
  <c r="AE173" i="4"/>
  <c r="AD173" i="4"/>
  <c r="AD223" i="4" s="1"/>
  <c r="AC173" i="4"/>
  <c r="AB173" i="4"/>
  <c r="AB223" i="4" s="1"/>
  <c r="AA173" i="4"/>
  <c r="AA223" i="4" s="1"/>
  <c r="Z173" i="4"/>
  <c r="Y173" i="4"/>
  <c r="X173" i="4"/>
  <c r="W173" i="4"/>
  <c r="V173" i="4"/>
  <c r="U173" i="4"/>
  <c r="T173" i="4"/>
  <c r="S173" i="4"/>
  <c r="R173" i="4"/>
  <c r="Q173" i="4"/>
  <c r="P173" i="4"/>
  <c r="O173" i="4"/>
  <c r="O223" i="4" s="1"/>
  <c r="N173" i="4"/>
  <c r="M173" i="4"/>
  <c r="L173" i="4"/>
  <c r="L223" i="4" s="1"/>
  <c r="K173" i="4"/>
  <c r="GP172" i="4"/>
  <c r="GO172" i="4"/>
  <c r="GN172" i="4"/>
  <c r="GM172" i="4"/>
  <c r="GM222" i="4" s="1"/>
  <c r="GL172" i="4"/>
  <c r="GK172" i="4"/>
  <c r="GK222" i="4" s="1"/>
  <c r="GJ172" i="4"/>
  <c r="GI172" i="4"/>
  <c r="GH172" i="4"/>
  <c r="GG172" i="4"/>
  <c r="GF172" i="4"/>
  <c r="GE172" i="4"/>
  <c r="GD172" i="4"/>
  <c r="GC172" i="4"/>
  <c r="GB172" i="4"/>
  <c r="GA172" i="4"/>
  <c r="FZ172" i="4"/>
  <c r="FY172" i="4"/>
  <c r="FX172" i="4"/>
  <c r="FW172" i="4"/>
  <c r="FW222" i="4" s="1"/>
  <c r="FV172" i="4"/>
  <c r="FU172" i="4"/>
  <c r="FU222" i="4" s="1"/>
  <c r="FT172" i="4"/>
  <c r="FT222" i="4" s="1"/>
  <c r="FS172" i="4"/>
  <c r="FR172" i="4"/>
  <c r="FQ172" i="4"/>
  <c r="FP172" i="4"/>
  <c r="FO172" i="4"/>
  <c r="FN172" i="4"/>
  <c r="FM172" i="4"/>
  <c r="FL172" i="4"/>
  <c r="FK172" i="4"/>
  <c r="FJ172" i="4"/>
  <c r="FI172" i="4"/>
  <c r="FH172" i="4"/>
  <c r="FH222" i="4" s="1"/>
  <c r="FG172" i="4"/>
  <c r="FF172" i="4"/>
  <c r="FE172" i="4"/>
  <c r="FD172" i="4"/>
  <c r="FC172" i="4"/>
  <c r="FB172" i="4"/>
  <c r="FA172" i="4"/>
  <c r="EZ172" i="4"/>
  <c r="EZ222" i="4" s="1"/>
  <c r="EY172" i="4"/>
  <c r="EY222" i="4" s="1"/>
  <c r="EX172" i="4"/>
  <c r="EW172" i="4"/>
  <c r="EW222" i="4" s="1"/>
  <c r="EV172" i="4"/>
  <c r="EU172" i="4"/>
  <c r="ET172" i="4"/>
  <c r="ES172" i="4"/>
  <c r="ER172" i="4"/>
  <c r="EQ172" i="4"/>
  <c r="EP172" i="4"/>
  <c r="EO172" i="4"/>
  <c r="EN172" i="4"/>
  <c r="EM172" i="4"/>
  <c r="EL172" i="4"/>
  <c r="EK172" i="4"/>
  <c r="EJ172" i="4"/>
  <c r="EI172" i="4"/>
  <c r="EI222" i="4" s="1"/>
  <c r="EH172" i="4"/>
  <c r="EG172" i="4"/>
  <c r="EG222" i="4" s="1"/>
  <c r="EF172" i="4"/>
  <c r="EE172" i="4"/>
  <c r="ED172" i="4"/>
  <c r="EC172" i="4"/>
  <c r="EB172" i="4"/>
  <c r="EA172" i="4"/>
  <c r="EA222" i="4" s="1"/>
  <c r="DZ172" i="4"/>
  <c r="DY172" i="4"/>
  <c r="DX172" i="4"/>
  <c r="DW172" i="4"/>
  <c r="DV172" i="4"/>
  <c r="DU172" i="4"/>
  <c r="DT172" i="4"/>
  <c r="DT222" i="4" s="1"/>
  <c r="DS172" i="4"/>
  <c r="DR172" i="4"/>
  <c r="DQ172" i="4"/>
  <c r="DP172" i="4"/>
  <c r="DO172" i="4"/>
  <c r="DN172" i="4"/>
  <c r="DM172" i="4"/>
  <c r="DL172" i="4"/>
  <c r="DL222" i="4" s="1"/>
  <c r="DK172" i="4"/>
  <c r="DK222" i="4" s="1"/>
  <c r="DJ172" i="4"/>
  <c r="DI172" i="4"/>
  <c r="DI222" i="4" s="1"/>
  <c r="DH172" i="4"/>
  <c r="DG172" i="4"/>
  <c r="DF172" i="4"/>
  <c r="DE172" i="4"/>
  <c r="DD172" i="4"/>
  <c r="DC172" i="4"/>
  <c r="DB172" i="4"/>
  <c r="DA172" i="4"/>
  <c r="CZ172" i="4"/>
  <c r="CY172" i="4"/>
  <c r="CX172" i="4"/>
  <c r="CW172" i="4"/>
  <c r="CV172" i="4"/>
  <c r="CU172" i="4"/>
  <c r="CU222" i="4" s="1"/>
  <c r="CT172" i="4"/>
  <c r="CS172" i="4"/>
  <c r="CR172" i="4"/>
  <c r="CQ172" i="4"/>
  <c r="CP172" i="4"/>
  <c r="CO172" i="4"/>
  <c r="CN172" i="4"/>
  <c r="CN222" i="4" s="1"/>
  <c r="CM172" i="4"/>
  <c r="CM222" i="4" s="1"/>
  <c r="CL172" i="4"/>
  <c r="CK172" i="4"/>
  <c r="GP171" i="4"/>
  <c r="GO171" i="4"/>
  <c r="GN171" i="4"/>
  <c r="GM171" i="4"/>
  <c r="GL171" i="4"/>
  <c r="GK171" i="4"/>
  <c r="GJ171" i="4"/>
  <c r="GI171" i="4"/>
  <c r="GH171" i="4"/>
  <c r="GG171" i="4"/>
  <c r="GG221" i="4" s="1"/>
  <c r="GF171" i="4"/>
  <c r="GE171" i="4"/>
  <c r="GD171" i="4"/>
  <c r="GC171" i="4"/>
  <c r="GC221" i="4" s="1"/>
  <c r="GB171" i="4"/>
  <c r="GA171" i="4"/>
  <c r="FZ171" i="4"/>
  <c r="FY171" i="4"/>
  <c r="FX171" i="4"/>
  <c r="FW171" i="4"/>
  <c r="FV171" i="4"/>
  <c r="FU171" i="4"/>
  <c r="FU221" i="4" s="1"/>
  <c r="FT171" i="4"/>
  <c r="FS171" i="4"/>
  <c r="FR171" i="4"/>
  <c r="FQ171" i="4"/>
  <c r="FP171" i="4"/>
  <c r="FO171" i="4"/>
  <c r="FN171" i="4"/>
  <c r="FM171" i="4"/>
  <c r="FL171" i="4"/>
  <c r="FK171" i="4"/>
  <c r="FJ171" i="4"/>
  <c r="FJ221" i="4" s="1"/>
  <c r="FI171" i="4"/>
  <c r="FH171" i="4"/>
  <c r="FG171" i="4"/>
  <c r="FF171" i="4"/>
  <c r="FE171" i="4"/>
  <c r="FE221" i="4" s="1"/>
  <c r="FD171" i="4"/>
  <c r="FD221" i="4" s="1"/>
  <c r="FC171" i="4"/>
  <c r="FB171" i="4"/>
  <c r="FA171" i="4"/>
  <c r="EZ171" i="4"/>
  <c r="EY171" i="4"/>
  <c r="EX171" i="4"/>
  <c r="EW171" i="4"/>
  <c r="EV171" i="4"/>
  <c r="EU171" i="4"/>
  <c r="ET171" i="4"/>
  <c r="ES171" i="4"/>
  <c r="ES221" i="4" s="1"/>
  <c r="ER171" i="4"/>
  <c r="EQ171" i="4"/>
  <c r="EP171" i="4"/>
  <c r="EO171" i="4"/>
  <c r="EN171" i="4"/>
  <c r="EM171" i="4"/>
  <c r="EL171" i="4"/>
  <c r="EK171" i="4"/>
  <c r="EK221" i="4" s="1"/>
  <c r="EJ171" i="4"/>
  <c r="EI171" i="4"/>
  <c r="EH171" i="4"/>
  <c r="EG171" i="4"/>
  <c r="EG221" i="4" s="1"/>
  <c r="EF171" i="4"/>
  <c r="EE171" i="4"/>
  <c r="ED171" i="4"/>
  <c r="EC171" i="4"/>
  <c r="EB171" i="4"/>
  <c r="EA171" i="4"/>
  <c r="DZ171" i="4"/>
  <c r="DY171" i="4"/>
  <c r="DX171" i="4"/>
  <c r="DW171" i="4"/>
  <c r="DV171" i="4"/>
  <c r="DV221" i="4" s="1"/>
  <c r="DU171" i="4"/>
  <c r="DT171" i="4"/>
  <c r="DS171" i="4"/>
  <c r="DR171" i="4"/>
  <c r="DR221" i="4" s="1"/>
  <c r="DQ171" i="4"/>
  <c r="DQ221" i="4" s="1"/>
  <c r="DP171" i="4"/>
  <c r="DO171" i="4"/>
  <c r="DN171" i="4"/>
  <c r="DM171" i="4"/>
  <c r="DL171" i="4"/>
  <c r="DK171" i="4"/>
  <c r="DJ171" i="4"/>
  <c r="DI171" i="4"/>
  <c r="DH171" i="4"/>
  <c r="DG171" i="4"/>
  <c r="DF171" i="4"/>
  <c r="DE171" i="4"/>
  <c r="DE221" i="4" s="1"/>
  <c r="DD171" i="4"/>
  <c r="DC171" i="4"/>
  <c r="DB171" i="4"/>
  <c r="DA171" i="4"/>
  <c r="CZ171" i="4"/>
  <c r="CY171" i="4"/>
  <c r="CX171" i="4"/>
  <c r="CW171" i="4"/>
  <c r="CW221" i="4" s="1"/>
  <c r="CV171" i="4"/>
  <c r="CU171" i="4"/>
  <c r="CT171" i="4"/>
  <c r="CS171" i="4"/>
  <c r="CS221" i="4" s="1"/>
  <c r="CR171" i="4"/>
  <c r="CQ171" i="4"/>
  <c r="CP171" i="4"/>
  <c r="CO171" i="4"/>
  <c r="CN171" i="4"/>
  <c r="CM171" i="4"/>
  <c r="CL171" i="4"/>
  <c r="CK171" i="4"/>
  <c r="GP170" i="4"/>
  <c r="GO170" i="4"/>
  <c r="GN170" i="4"/>
  <c r="GM170" i="4"/>
  <c r="GM220" i="4" s="1"/>
  <c r="GL170" i="4"/>
  <c r="GK170" i="4"/>
  <c r="GJ170" i="4"/>
  <c r="GI170" i="4"/>
  <c r="GH170" i="4"/>
  <c r="GG170" i="4"/>
  <c r="GF170" i="4"/>
  <c r="GE170" i="4"/>
  <c r="GE220" i="4" s="1"/>
  <c r="GD170" i="4"/>
  <c r="GD220" i="4" s="1"/>
  <c r="GC170" i="4"/>
  <c r="GB170" i="4"/>
  <c r="GA170" i="4"/>
  <c r="FZ170" i="4"/>
  <c r="FY170" i="4"/>
  <c r="FX170" i="4"/>
  <c r="FW170" i="4"/>
  <c r="FV170" i="4"/>
  <c r="FU170" i="4"/>
  <c r="FT170" i="4"/>
  <c r="FS170" i="4"/>
  <c r="FR170" i="4"/>
  <c r="FQ170" i="4"/>
  <c r="FQ220" i="4" s="1"/>
  <c r="FP170" i="4"/>
  <c r="FO170" i="4"/>
  <c r="FN170" i="4"/>
  <c r="FN220" i="4" s="1"/>
  <c r="FM170" i="4"/>
  <c r="FL170" i="4"/>
  <c r="FK170" i="4"/>
  <c r="FJ170" i="4"/>
  <c r="FI170" i="4"/>
  <c r="FH170" i="4"/>
  <c r="FG170" i="4"/>
  <c r="FG220" i="4" s="1"/>
  <c r="FF170" i="4"/>
  <c r="FF220" i="4" s="1"/>
  <c r="FE170" i="4"/>
  <c r="FD170" i="4"/>
  <c r="FC170" i="4"/>
  <c r="FB170" i="4"/>
  <c r="FA170" i="4"/>
  <c r="EZ170" i="4"/>
  <c r="EY170" i="4"/>
  <c r="EX170" i="4"/>
  <c r="EW170" i="4"/>
  <c r="EV170" i="4"/>
  <c r="EU170" i="4"/>
  <c r="ET170" i="4"/>
  <c r="ET220" i="4" s="1"/>
  <c r="ES170" i="4"/>
  <c r="ER170" i="4"/>
  <c r="EQ170" i="4"/>
  <c r="EQ220" i="4" s="1"/>
  <c r="EP170" i="4"/>
  <c r="EP220" i="4" s="1"/>
  <c r="EO170" i="4"/>
  <c r="EN170" i="4"/>
  <c r="EM170" i="4"/>
  <c r="EL170" i="4"/>
  <c r="EK170" i="4"/>
  <c r="EJ170" i="4"/>
  <c r="EI170" i="4"/>
  <c r="EH170" i="4"/>
  <c r="EG170" i="4"/>
  <c r="EF170" i="4"/>
  <c r="EE170" i="4"/>
  <c r="ED170" i="4"/>
  <c r="EC170" i="4"/>
  <c r="EC220" i="4" s="1"/>
  <c r="EB170" i="4"/>
  <c r="EA170" i="4"/>
  <c r="DZ170" i="4"/>
  <c r="DY170" i="4"/>
  <c r="DX170" i="4"/>
  <c r="DW170" i="4"/>
  <c r="DV170" i="4"/>
  <c r="DU170" i="4"/>
  <c r="DU220" i="4" s="1"/>
  <c r="DT170" i="4"/>
  <c r="DS170" i="4"/>
  <c r="DS220" i="4" s="1"/>
  <c r="DR170" i="4"/>
  <c r="DR220" i="4" s="1"/>
  <c r="DQ170" i="4"/>
  <c r="DP170" i="4"/>
  <c r="DO170" i="4"/>
  <c r="DN170" i="4"/>
  <c r="DM170" i="4"/>
  <c r="DL170" i="4"/>
  <c r="DK170" i="4"/>
  <c r="DJ170" i="4"/>
  <c r="DI170" i="4"/>
  <c r="DH170" i="4"/>
  <c r="DG170" i="4"/>
  <c r="DF170" i="4"/>
  <c r="DF220" i="4" s="1"/>
  <c r="DE170" i="4"/>
  <c r="DD170" i="4"/>
  <c r="DC170" i="4"/>
  <c r="DC220" i="4" s="1"/>
  <c r="DB170" i="4"/>
  <c r="DB220" i="4" s="1"/>
  <c r="DA170" i="4"/>
  <c r="CZ170" i="4"/>
  <c r="CY170" i="4"/>
  <c r="CX170" i="4"/>
  <c r="CW170" i="4"/>
  <c r="CV170" i="4"/>
  <c r="CU170" i="4"/>
  <c r="CU220" i="4" s="1"/>
  <c r="CT170" i="4"/>
  <c r="CS170" i="4"/>
  <c r="CR170" i="4"/>
  <c r="CQ170" i="4"/>
  <c r="CP170" i="4"/>
  <c r="CO170" i="4"/>
  <c r="CO220" i="4" s="1"/>
  <c r="CN170" i="4"/>
  <c r="CM170" i="4"/>
  <c r="CL170" i="4"/>
  <c r="CK170" i="4"/>
  <c r="GP169" i="4"/>
  <c r="GO169" i="4"/>
  <c r="GN169" i="4"/>
  <c r="GM169" i="4"/>
  <c r="GL169" i="4"/>
  <c r="GL219" i="4" s="1"/>
  <c r="GK169" i="4"/>
  <c r="GJ169" i="4"/>
  <c r="GJ219" i="4" s="1"/>
  <c r="GI169" i="4"/>
  <c r="GH169" i="4"/>
  <c r="GG169" i="4"/>
  <c r="GF169" i="4"/>
  <c r="GE169" i="4"/>
  <c r="GD169" i="4"/>
  <c r="GD219" i="4" s="1"/>
  <c r="GC169" i="4"/>
  <c r="GB169" i="4"/>
  <c r="GA169" i="4"/>
  <c r="FZ169" i="4"/>
  <c r="FY169" i="4"/>
  <c r="FX169" i="4"/>
  <c r="FW169" i="4"/>
  <c r="FW219" i="4" s="1"/>
  <c r="FV169" i="4"/>
  <c r="FU169" i="4"/>
  <c r="FT169" i="4"/>
  <c r="FS169" i="4"/>
  <c r="FR169" i="4"/>
  <c r="FQ169" i="4"/>
  <c r="FP169" i="4"/>
  <c r="FO169" i="4"/>
  <c r="FO219" i="4" s="1"/>
  <c r="FN169" i="4"/>
  <c r="FN219" i="4" s="1"/>
  <c r="FM169" i="4"/>
  <c r="FL169" i="4"/>
  <c r="FL219" i="4" s="1"/>
  <c r="FK169" i="4"/>
  <c r="FJ169" i="4"/>
  <c r="FI169" i="4"/>
  <c r="FH169" i="4"/>
  <c r="FG169" i="4"/>
  <c r="FF169" i="4"/>
  <c r="FE169" i="4"/>
  <c r="FD169" i="4"/>
  <c r="FC169" i="4"/>
  <c r="FB169" i="4"/>
  <c r="FA169" i="4"/>
  <c r="EZ169" i="4"/>
  <c r="EY169" i="4"/>
  <c r="EX169" i="4"/>
  <c r="EX219" i="4" s="1"/>
  <c r="EW169" i="4"/>
  <c r="EV169" i="4"/>
  <c r="EU169" i="4"/>
  <c r="ET169" i="4"/>
  <c r="ES169" i="4"/>
  <c r="ER169" i="4"/>
  <c r="EQ169" i="4"/>
  <c r="EQ219" i="4" s="1"/>
  <c r="EP169" i="4"/>
  <c r="EP219" i="4" s="1"/>
  <c r="EO169" i="4"/>
  <c r="EN169" i="4"/>
  <c r="EM169" i="4"/>
  <c r="EL169" i="4"/>
  <c r="EK169" i="4"/>
  <c r="EJ169" i="4"/>
  <c r="EI169" i="4"/>
  <c r="EH169" i="4"/>
  <c r="EG169" i="4"/>
  <c r="EF169" i="4"/>
  <c r="EE169" i="4"/>
  <c r="EE219" i="4" s="1"/>
  <c r="ED169" i="4"/>
  <c r="EC169" i="4"/>
  <c r="EB169" i="4"/>
  <c r="EA169" i="4"/>
  <c r="EA219" i="4" s="1"/>
  <c r="DZ169" i="4"/>
  <c r="DZ219" i="4" s="1"/>
  <c r="DY169" i="4"/>
  <c r="DX169" i="4"/>
  <c r="DW169" i="4"/>
  <c r="DV169" i="4"/>
  <c r="DU169" i="4"/>
  <c r="DT169" i="4"/>
  <c r="DS169" i="4"/>
  <c r="DR169" i="4"/>
  <c r="DQ169" i="4"/>
  <c r="DP169" i="4"/>
  <c r="DO169" i="4"/>
  <c r="DN169" i="4"/>
  <c r="DM169" i="4"/>
  <c r="DL169" i="4"/>
  <c r="DK169" i="4"/>
  <c r="DK219" i="4" s="1"/>
  <c r="DJ169" i="4"/>
  <c r="DI169" i="4"/>
  <c r="DH169" i="4"/>
  <c r="DG169" i="4"/>
  <c r="DF169" i="4"/>
  <c r="DE169" i="4"/>
  <c r="DD169" i="4"/>
  <c r="DC169" i="4"/>
  <c r="DC219" i="4" s="1"/>
  <c r="DB169" i="4"/>
  <c r="DB219" i="4" s="1"/>
  <c r="DA169" i="4"/>
  <c r="CZ169" i="4"/>
  <c r="CY169" i="4"/>
  <c r="CX169" i="4"/>
  <c r="CW169" i="4"/>
  <c r="CV169" i="4"/>
  <c r="CU169" i="4"/>
  <c r="CT169" i="4"/>
  <c r="CS169" i="4"/>
  <c r="CR169" i="4"/>
  <c r="CQ169" i="4"/>
  <c r="CQ219" i="4" s="1"/>
  <c r="CP169" i="4"/>
  <c r="CO169" i="4"/>
  <c r="CN169" i="4"/>
  <c r="CN219" i="4" s="1"/>
  <c r="CM169" i="4"/>
  <c r="CM219" i="4" s="1"/>
  <c r="CL169" i="4"/>
  <c r="CL219" i="4" s="1"/>
  <c r="CK169" i="4"/>
  <c r="GP168" i="4"/>
  <c r="GO168" i="4"/>
  <c r="GN168" i="4"/>
  <c r="GN218" i="4" s="1"/>
  <c r="GM168" i="4"/>
  <c r="GL168" i="4"/>
  <c r="GK168" i="4"/>
  <c r="GJ168" i="4"/>
  <c r="GJ218" i="4" s="1"/>
  <c r="GI168" i="4"/>
  <c r="GH168" i="4"/>
  <c r="GG168" i="4"/>
  <c r="GF168" i="4"/>
  <c r="GE168" i="4"/>
  <c r="GD168" i="4"/>
  <c r="GC168" i="4"/>
  <c r="GB168" i="4"/>
  <c r="GA168" i="4"/>
  <c r="FZ168" i="4"/>
  <c r="FY168" i="4"/>
  <c r="FX168" i="4"/>
  <c r="FX218" i="4" s="1"/>
  <c r="FW168" i="4"/>
  <c r="FV168" i="4"/>
  <c r="FU168" i="4"/>
  <c r="FT168" i="4"/>
  <c r="FT218" i="4" s="1"/>
  <c r="FS168" i="4"/>
  <c r="FR168" i="4"/>
  <c r="FQ168" i="4"/>
  <c r="FP168" i="4"/>
  <c r="FO168" i="4"/>
  <c r="FN168" i="4"/>
  <c r="FM168" i="4"/>
  <c r="FL168" i="4"/>
  <c r="FK168" i="4"/>
  <c r="FJ168" i="4"/>
  <c r="FI168" i="4"/>
  <c r="FH168" i="4"/>
  <c r="FH218" i="4" s="1"/>
  <c r="FG168" i="4"/>
  <c r="FF168" i="4"/>
  <c r="FE168" i="4"/>
  <c r="FD168" i="4"/>
  <c r="FC168" i="4"/>
  <c r="FB168" i="4"/>
  <c r="FA168" i="4"/>
  <c r="EZ168" i="4"/>
  <c r="EZ218" i="4" s="1"/>
  <c r="EY168" i="4"/>
  <c r="EX168" i="4"/>
  <c r="EW168" i="4"/>
  <c r="EW218" i="4" s="1"/>
  <c r="EV168" i="4"/>
  <c r="EV218" i="4" s="1"/>
  <c r="EU168" i="4"/>
  <c r="ET168" i="4"/>
  <c r="ES168" i="4"/>
  <c r="ER168" i="4"/>
  <c r="EQ168" i="4"/>
  <c r="EP168" i="4"/>
  <c r="EO168" i="4"/>
  <c r="EN168" i="4"/>
  <c r="EM168" i="4"/>
  <c r="EL168" i="4"/>
  <c r="EK168" i="4"/>
  <c r="EJ168" i="4"/>
  <c r="EJ218" i="4" s="1"/>
  <c r="EI168" i="4"/>
  <c r="EH168" i="4"/>
  <c r="EG168" i="4"/>
  <c r="EF168" i="4"/>
  <c r="EE168" i="4"/>
  <c r="ED168" i="4"/>
  <c r="EC168" i="4"/>
  <c r="EB168" i="4"/>
  <c r="EB218" i="4" s="1"/>
  <c r="EA168" i="4"/>
  <c r="DZ168" i="4"/>
  <c r="DY168" i="4"/>
  <c r="DX168" i="4"/>
  <c r="DW168" i="4"/>
  <c r="DV168" i="4"/>
  <c r="DU168" i="4"/>
  <c r="DT168" i="4"/>
  <c r="DS168" i="4"/>
  <c r="DR168" i="4"/>
  <c r="DQ168" i="4"/>
  <c r="DP168" i="4"/>
  <c r="DO168" i="4"/>
  <c r="DO218" i="4" s="1"/>
  <c r="DN168" i="4"/>
  <c r="DM168" i="4"/>
  <c r="DL168" i="4"/>
  <c r="DL218" i="4" s="1"/>
  <c r="DK168" i="4"/>
  <c r="DJ168" i="4"/>
  <c r="DI168" i="4"/>
  <c r="DH168" i="4"/>
  <c r="DH218" i="4" s="1"/>
  <c r="DG168" i="4"/>
  <c r="DF168" i="4"/>
  <c r="DE168" i="4"/>
  <c r="DD168" i="4"/>
  <c r="DC168" i="4"/>
  <c r="DB168" i="4"/>
  <c r="DA168" i="4"/>
  <c r="CZ168" i="4"/>
  <c r="CY168" i="4"/>
  <c r="CX168" i="4"/>
  <c r="CW168" i="4"/>
  <c r="CV168" i="4"/>
  <c r="CV218" i="4" s="1"/>
  <c r="CU168" i="4"/>
  <c r="CT168" i="4"/>
  <c r="CS168" i="4"/>
  <c r="CR168" i="4"/>
  <c r="CQ168" i="4"/>
  <c r="CP168" i="4"/>
  <c r="CO168" i="4"/>
  <c r="CN168" i="4"/>
  <c r="CN218" i="4" s="1"/>
  <c r="CM168" i="4"/>
  <c r="CL168" i="4"/>
  <c r="CK168" i="4"/>
  <c r="CK218" i="4" s="1"/>
  <c r="GP167" i="4"/>
  <c r="GO167" i="4"/>
  <c r="GN167" i="4"/>
  <c r="GM167" i="4"/>
  <c r="GL167" i="4"/>
  <c r="GK167" i="4"/>
  <c r="GJ167" i="4"/>
  <c r="GI167" i="4"/>
  <c r="GH167" i="4"/>
  <c r="GG167" i="4"/>
  <c r="GF167" i="4"/>
  <c r="GF217" i="4" s="1"/>
  <c r="GE167" i="4"/>
  <c r="GD167" i="4"/>
  <c r="GC167" i="4"/>
  <c r="GB167" i="4"/>
  <c r="GA167" i="4"/>
  <c r="FZ167" i="4"/>
  <c r="FY167" i="4"/>
  <c r="FX167" i="4"/>
  <c r="FW167" i="4"/>
  <c r="FV167" i="4"/>
  <c r="FV217" i="4" s="1"/>
  <c r="FU167" i="4"/>
  <c r="FU217" i="4" s="1"/>
  <c r="FT167" i="4"/>
  <c r="FS167" i="4"/>
  <c r="FR167" i="4"/>
  <c r="FQ167" i="4"/>
  <c r="FP167" i="4"/>
  <c r="FO167" i="4"/>
  <c r="FN167" i="4"/>
  <c r="FM167" i="4"/>
  <c r="FL167" i="4"/>
  <c r="FK167" i="4"/>
  <c r="FJ167" i="4"/>
  <c r="FI167" i="4"/>
  <c r="FH167" i="4"/>
  <c r="FH217" i="4" s="1"/>
  <c r="FG167" i="4"/>
  <c r="FF167" i="4"/>
  <c r="FE167" i="4"/>
  <c r="FE217" i="4" s="1"/>
  <c r="FD167" i="4"/>
  <c r="FC167" i="4"/>
  <c r="FB167" i="4"/>
  <c r="FA167" i="4"/>
  <c r="EZ167" i="4"/>
  <c r="EY167" i="4"/>
  <c r="EX167" i="4"/>
  <c r="EW167" i="4"/>
  <c r="EV167" i="4"/>
  <c r="EU167" i="4"/>
  <c r="ET167" i="4"/>
  <c r="ES167" i="4"/>
  <c r="ER167" i="4"/>
  <c r="EQ167" i="4"/>
  <c r="EP167" i="4"/>
  <c r="EO167" i="4"/>
  <c r="EN167" i="4"/>
  <c r="EM167" i="4"/>
  <c r="EL167" i="4"/>
  <c r="EK167" i="4"/>
  <c r="EJ167" i="4"/>
  <c r="EJ217" i="4" s="1"/>
  <c r="EI167" i="4"/>
  <c r="EH167" i="4"/>
  <c r="EG167" i="4"/>
  <c r="EG217" i="4" s="1"/>
  <c r="EF167" i="4"/>
  <c r="EE167" i="4"/>
  <c r="ED167" i="4"/>
  <c r="EC167" i="4"/>
  <c r="EB167" i="4"/>
  <c r="EA167" i="4"/>
  <c r="DZ167" i="4"/>
  <c r="DY167" i="4"/>
  <c r="DX167" i="4"/>
  <c r="DW167" i="4"/>
  <c r="DV167" i="4"/>
  <c r="DU167" i="4"/>
  <c r="DT167" i="4"/>
  <c r="DS167" i="4"/>
  <c r="DR167" i="4"/>
  <c r="DQ167" i="4"/>
  <c r="DP167" i="4"/>
  <c r="DO167" i="4"/>
  <c r="DN167" i="4"/>
  <c r="DM167" i="4"/>
  <c r="DL167" i="4"/>
  <c r="DK167" i="4"/>
  <c r="DJ167" i="4"/>
  <c r="DJ217" i="4" s="1"/>
  <c r="DI167" i="4"/>
  <c r="DH167" i="4"/>
  <c r="DG167" i="4"/>
  <c r="DF167" i="4"/>
  <c r="DE167" i="4"/>
  <c r="DD167" i="4"/>
  <c r="DC167" i="4"/>
  <c r="DB167" i="4"/>
  <c r="DA167" i="4"/>
  <c r="CZ167" i="4"/>
  <c r="CY167" i="4"/>
  <c r="CX167" i="4"/>
  <c r="CW167" i="4"/>
  <c r="CV167" i="4"/>
  <c r="CU167" i="4"/>
  <c r="CT167" i="4"/>
  <c r="CS167" i="4"/>
  <c r="CS217" i="4" s="1"/>
  <c r="CR167" i="4"/>
  <c r="CQ167" i="4"/>
  <c r="CP167" i="4"/>
  <c r="CO167" i="4"/>
  <c r="CN167" i="4"/>
  <c r="CM167" i="4"/>
  <c r="CL167" i="4"/>
  <c r="CK167" i="4"/>
  <c r="A156" i="4"/>
  <c r="A150" i="4"/>
  <c r="GN148" i="4"/>
  <c r="GM148" i="4"/>
  <c r="GI148" i="4"/>
  <c r="GF148" i="4"/>
  <c r="GE148" i="4"/>
  <c r="GA148" i="4"/>
  <c r="FX148" i="4"/>
  <c r="FW148" i="4"/>
  <c r="FS148" i="4"/>
  <c r="FP148" i="4"/>
  <c r="FO148" i="4"/>
  <c r="FK148" i="4"/>
  <c r="FH148" i="4"/>
  <c r="FG148" i="4"/>
  <c r="FC148" i="4"/>
  <c r="EZ148" i="4"/>
  <c r="EY148" i="4"/>
  <c r="EU148" i="4"/>
  <c r="ER148" i="4"/>
  <c r="EQ148" i="4"/>
  <c r="EM148" i="4"/>
  <c r="EJ148" i="4"/>
  <c r="EI148" i="4"/>
  <c r="EE148" i="4"/>
  <c r="EB148" i="4"/>
  <c r="EA148" i="4"/>
  <c r="DW148" i="4"/>
  <c r="DT148" i="4"/>
  <c r="DS148" i="4"/>
  <c r="DO148" i="4"/>
  <c r="DL148" i="4"/>
  <c r="DK148" i="4"/>
  <c r="DG148" i="4"/>
  <c r="DD148" i="4"/>
  <c r="DC148" i="4"/>
  <c r="CY148" i="4"/>
  <c r="CV148" i="4"/>
  <c r="CU148" i="4"/>
  <c r="CQ148" i="4"/>
  <c r="CN148" i="4"/>
  <c r="CM148" i="4"/>
  <c r="CI148" i="4"/>
  <c r="CF148" i="4"/>
  <c r="CE148" i="4"/>
  <c r="CA148" i="4"/>
  <c r="BX148" i="4"/>
  <c r="BW148" i="4"/>
  <c r="BS148" i="4"/>
  <c r="BP148" i="4"/>
  <c r="BO148" i="4"/>
  <c r="BK148" i="4"/>
  <c r="BH148" i="4"/>
  <c r="BG148" i="4"/>
  <c r="BC148" i="4"/>
  <c r="AZ148" i="4"/>
  <c r="AY148" i="4"/>
  <c r="AU148" i="4"/>
  <c r="AR148" i="4"/>
  <c r="AQ148" i="4"/>
  <c r="AM148" i="4"/>
  <c r="AJ148" i="4"/>
  <c r="AI148" i="4"/>
  <c r="AE148" i="4"/>
  <c r="AB148" i="4"/>
  <c r="AA148" i="4"/>
  <c r="W148" i="4"/>
  <c r="T148" i="4"/>
  <c r="S148" i="4"/>
  <c r="O148" i="4"/>
  <c r="L148" i="4"/>
  <c r="K148" i="4"/>
  <c r="A136" i="4"/>
  <c r="A131" i="4"/>
  <c r="A128" i="4"/>
  <c r="A127" i="4"/>
  <c r="A123" i="4"/>
  <c r="A122" i="4"/>
  <c r="K121" i="4"/>
  <c r="K120" i="4"/>
  <c r="D120" i="4"/>
  <c r="GL148" i="4" s="1"/>
  <c r="D114" i="4"/>
  <c r="C111" i="4"/>
  <c r="A111" i="4"/>
  <c r="C110" i="4"/>
  <c r="A110" i="4"/>
  <c r="A106" i="4"/>
  <c r="A124" i="4" s="1"/>
  <c r="A105" i="4"/>
  <c r="A104" i="4"/>
  <c r="B103" i="4"/>
  <c r="A103" i="4"/>
  <c r="A121" i="4" s="1"/>
  <c r="A96" i="4"/>
  <c r="A134" i="4" s="1"/>
  <c r="A93" i="4"/>
  <c r="A116" i="4" s="1"/>
  <c r="A92" i="4"/>
  <c r="A130" i="4" s="1"/>
  <c r="A158" i="4" s="1"/>
  <c r="B88" i="4"/>
  <c r="B87" i="4"/>
  <c r="E67" i="4"/>
  <c r="E66" i="4"/>
  <c r="C65" i="4"/>
  <c r="B65" i="4"/>
  <c r="B108" i="4" s="1"/>
  <c r="A65" i="4"/>
  <c r="A108" i="4" s="1"/>
  <c r="A126" i="4" s="1"/>
  <c r="C64" i="4"/>
  <c r="C107" i="4" s="1"/>
  <c r="A64" i="4"/>
  <c r="B64" i="4" s="1"/>
  <c r="C63" i="4"/>
  <c r="B63" i="4"/>
  <c r="B106" i="4" s="1"/>
  <c r="A63" i="4"/>
  <c r="C62" i="4"/>
  <c r="C105" i="4" s="1"/>
  <c r="A62" i="4"/>
  <c r="B62" i="4" s="1"/>
  <c r="B105" i="4" s="1"/>
  <c r="C61" i="4"/>
  <c r="E61" i="4" s="1"/>
  <c r="B61" i="4"/>
  <c r="B104" i="4" s="1"/>
  <c r="A61" i="4"/>
  <c r="C60" i="4"/>
  <c r="E60" i="4" s="1"/>
  <c r="A60" i="4"/>
  <c r="B60" i="4" s="1"/>
  <c r="D56" i="4"/>
  <c r="A55" i="4"/>
  <c r="A54" i="4"/>
  <c r="A53" i="4"/>
  <c r="A52" i="4"/>
  <c r="A51" i="4"/>
  <c r="A50" i="4"/>
  <c r="C46" i="4"/>
  <c r="B46" i="4"/>
  <c r="C45" i="4"/>
  <c r="B45" i="4"/>
  <c r="C44" i="4"/>
  <c r="B44" i="4"/>
  <c r="C43" i="4"/>
  <c r="B43" i="4"/>
  <c r="C42" i="4"/>
  <c r="B42" i="4"/>
  <c r="C41" i="4"/>
  <c r="B41" i="4"/>
  <c r="C40" i="4"/>
  <c r="B40" i="4"/>
  <c r="B24" i="4"/>
  <c r="B16" i="4"/>
  <c r="B15" i="4"/>
  <c r="B14" i="4"/>
  <c r="B13" i="4"/>
  <c r="B12" i="4"/>
  <c r="B11" i="4"/>
  <c r="D6" i="4"/>
  <c r="C6" i="4"/>
  <c r="B6" i="4"/>
  <c r="D5" i="4"/>
  <c r="C5" i="4"/>
  <c r="B5" i="4"/>
  <c r="D4" i="4"/>
  <c r="C4" i="4"/>
  <c r="B4" i="4"/>
  <c r="H3" i="4"/>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B86" i="2"/>
  <c r="B85" i="2"/>
  <c r="B84" i="2"/>
  <c r="B60" i="2"/>
  <c r="H51" i="2"/>
  <c r="H50" i="2"/>
  <c r="H49" i="2"/>
  <c r="H48" i="2"/>
  <c r="H47" i="2"/>
  <c r="H46" i="2"/>
  <c r="H45" i="2"/>
  <c r="H44" i="2"/>
  <c r="B5" i="2"/>
  <c r="K24" i="1"/>
  <c r="H24" i="1"/>
  <c r="B24" i="1"/>
  <c r="F17" i="1"/>
  <c r="D6" i="1"/>
  <c r="F5" i="1"/>
  <c r="EK217" i="4" l="1"/>
  <c r="EK192" i="4"/>
  <c r="ER217" i="4"/>
  <c r="ER192" i="4"/>
  <c r="FX217" i="4"/>
  <c r="FX192" i="4"/>
  <c r="EF232" i="4"/>
  <c r="EF207" i="4"/>
  <c r="DA225" i="4"/>
  <c r="C34" i="4"/>
  <c r="J49" i="2" s="1"/>
  <c r="B29" i="4"/>
  <c r="B50" i="4"/>
  <c r="B34" i="4"/>
  <c r="C31" i="4"/>
  <c r="J46" i="2" s="1"/>
  <c r="B25" i="4"/>
  <c r="J8" i="2"/>
  <c r="L6" i="1" s="1"/>
  <c r="F5" i="2"/>
  <c r="C36" i="4"/>
  <c r="B31" i="4"/>
  <c r="D5" i="2"/>
  <c r="B56" i="4"/>
  <c r="B51" i="4"/>
  <c r="B33" i="4"/>
  <c r="C30" i="4"/>
  <c r="J45" i="2" s="1"/>
  <c r="B22" i="4"/>
  <c r="L2" i="2"/>
  <c r="B30" i="4"/>
  <c r="B21" i="4"/>
  <c r="H8" i="2" s="1"/>
  <c r="L2" i="1"/>
  <c r="C29" i="4"/>
  <c r="J44" i="2" s="1"/>
  <c r="B23" i="4"/>
  <c r="J5" i="2" s="1"/>
  <c r="L5" i="1" s="1"/>
  <c r="BD231" i="4"/>
  <c r="B52" i="4"/>
  <c r="B20" i="4"/>
  <c r="C68" i="4"/>
  <c r="C109" i="4" s="1"/>
  <c r="C103" i="4"/>
  <c r="B42" i="1"/>
  <c r="B32" i="4"/>
  <c r="B54" i="4"/>
  <c r="A95" i="4"/>
  <c r="B107" i="4"/>
  <c r="L227" i="4"/>
  <c r="E65" i="4"/>
  <c r="C108" i="4"/>
  <c r="C32" i="4"/>
  <c r="J47" i="2" s="1"/>
  <c r="C33" i="4"/>
  <c r="J48" i="2" s="1"/>
  <c r="A233" i="4"/>
  <c r="A208" i="4"/>
  <c r="A183" i="4"/>
  <c r="A234" i="4"/>
  <c r="A209" i="4"/>
  <c r="A184" i="4"/>
  <c r="A159" i="4"/>
  <c r="CX224" i="4"/>
  <c r="CH228" i="4"/>
  <c r="A224" i="4"/>
  <c r="A199" i="4"/>
  <c r="A174" i="4"/>
  <c r="A149" i="4"/>
  <c r="A115" i="4"/>
  <c r="BW224" i="4"/>
  <c r="CA225" i="4"/>
  <c r="DK226" i="4"/>
  <c r="V228" i="4"/>
  <c r="BQ230" i="4"/>
  <c r="C106" i="4"/>
  <c r="E63" i="4"/>
  <c r="AV178" i="4"/>
  <c r="A219" i="4"/>
  <c r="A194" i="4"/>
  <c r="A169" i="4"/>
  <c r="A144" i="4"/>
  <c r="A227" i="4"/>
  <c r="A202" i="4"/>
  <c r="A177" i="4"/>
  <c r="A152" i="4"/>
  <c r="A230" i="4"/>
  <c r="A205" i="4"/>
  <c r="A180" i="4"/>
  <c r="A155" i="4"/>
  <c r="CP219" i="4"/>
  <c r="CX219" i="4"/>
  <c r="DF219" i="4"/>
  <c r="DN219" i="4"/>
  <c r="DV219" i="4"/>
  <c r="ED219" i="4"/>
  <c r="EL219" i="4"/>
  <c r="ET219" i="4"/>
  <c r="FB219" i="4"/>
  <c r="FJ219" i="4"/>
  <c r="FR219" i="4"/>
  <c r="FZ219" i="4"/>
  <c r="GH219" i="4"/>
  <c r="GP219" i="4"/>
  <c r="AI177" i="4"/>
  <c r="E64" i="4"/>
  <c r="A237" i="4"/>
  <c r="A212" i="4"/>
  <c r="A187" i="4"/>
  <c r="A162" i="4"/>
  <c r="AD176" i="4"/>
  <c r="BQ177" i="4"/>
  <c r="A229" i="4"/>
  <c r="A204" i="4"/>
  <c r="A179" i="4"/>
  <c r="A154" i="4"/>
  <c r="DP189" i="4"/>
  <c r="DH189" i="4"/>
  <c r="CZ189" i="4"/>
  <c r="CR189" i="4"/>
  <c r="CJ189" i="4"/>
  <c r="CB189" i="4"/>
  <c r="BT189" i="4"/>
  <c r="BL189" i="4"/>
  <c r="BD189" i="4"/>
  <c r="AV189" i="4"/>
  <c r="AN189" i="4"/>
  <c r="AF189" i="4"/>
  <c r="X189" i="4"/>
  <c r="P189" i="4"/>
  <c r="DM189" i="4"/>
  <c r="DE189" i="4"/>
  <c r="CW189" i="4"/>
  <c r="CO189" i="4"/>
  <c r="CG189" i="4"/>
  <c r="BY189" i="4"/>
  <c r="BQ189" i="4"/>
  <c r="BI189" i="4"/>
  <c r="BA189" i="4"/>
  <c r="AS189" i="4"/>
  <c r="AK189" i="4"/>
  <c r="AC189" i="4"/>
  <c r="U189" i="4"/>
  <c r="M189" i="4"/>
  <c r="DL189" i="4"/>
  <c r="DD189" i="4"/>
  <c r="CV189" i="4"/>
  <c r="CN189" i="4"/>
  <c r="CF189" i="4"/>
  <c r="BX189" i="4"/>
  <c r="BP189" i="4"/>
  <c r="BH189" i="4"/>
  <c r="AZ189" i="4"/>
  <c r="AR189" i="4"/>
  <c r="AJ189" i="4"/>
  <c r="AB189" i="4"/>
  <c r="T189" i="4"/>
  <c r="L189" i="4"/>
  <c r="DN189" i="4"/>
  <c r="DA189" i="4"/>
  <c r="CM189" i="4"/>
  <c r="CA189" i="4"/>
  <c r="BN189" i="4"/>
  <c r="BB189" i="4"/>
  <c r="AO189" i="4"/>
  <c r="AA189" i="4"/>
  <c r="O189" i="4"/>
  <c r="DM181" i="4"/>
  <c r="DE181" i="4"/>
  <c r="CW181" i="4"/>
  <c r="CO181" i="4"/>
  <c r="CG181" i="4"/>
  <c r="BY181" i="4"/>
  <c r="BQ181" i="4"/>
  <c r="BI181" i="4"/>
  <c r="BA181" i="4"/>
  <c r="AS181" i="4"/>
  <c r="AK181" i="4"/>
  <c r="AC181" i="4"/>
  <c r="U181" i="4"/>
  <c r="M181" i="4"/>
  <c r="DJ180" i="4"/>
  <c r="DB180" i="4"/>
  <c r="CT180" i="4"/>
  <c r="CL180" i="4"/>
  <c r="CD180" i="4"/>
  <c r="BV180" i="4"/>
  <c r="BN180" i="4"/>
  <c r="BF180" i="4"/>
  <c r="AX180" i="4"/>
  <c r="AP180" i="4"/>
  <c r="AH180" i="4"/>
  <c r="Z180" i="4"/>
  <c r="R180" i="4"/>
  <c r="DK189" i="4"/>
  <c r="CY189" i="4"/>
  <c r="CL189" i="4"/>
  <c r="BZ189" i="4"/>
  <c r="BM189" i="4"/>
  <c r="AY189" i="4"/>
  <c r="AM189" i="4"/>
  <c r="Z189" i="4"/>
  <c r="N189" i="4"/>
  <c r="DJ189" i="4"/>
  <c r="CX189" i="4"/>
  <c r="CK189" i="4"/>
  <c r="BW189" i="4"/>
  <c r="BK189" i="4"/>
  <c r="AX189" i="4"/>
  <c r="AL189" i="4"/>
  <c r="Y189" i="4"/>
  <c r="K189" i="4"/>
  <c r="DO189" i="4"/>
  <c r="CS189" i="4"/>
  <c r="BV189" i="4"/>
  <c r="BE189" i="4"/>
  <c r="AH189" i="4"/>
  <c r="Q189" i="4"/>
  <c r="DK181" i="4"/>
  <c r="DB181" i="4"/>
  <c r="CS181" i="4"/>
  <c r="CJ181" i="4"/>
  <c r="CA181" i="4"/>
  <c r="BR181" i="4"/>
  <c r="BH181" i="4"/>
  <c r="AY181" i="4"/>
  <c r="AP181" i="4"/>
  <c r="AG181" i="4"/>
  <c r="X181" i="4"/>
  <c r="O181" i="4"/>
  <c r="DH180" i="4"/>
  <c r="CY180" i="4"/>
  <c r="CP180" i="4"/>
  <c r="CG180" i="4"/>
  <c r="BX180" i="4"/>
  <c r="BO180" i="4"/>
  <c r="BE180" i="4"/>
  <c r="AV180" i="4"/>
  <c r="AM180" i="4"/>
  <c r="AD180" i="4"/>
  <c r="U180" i="4"/>
  <c r="L180" i="4"/>
  <c r="DP179" i="4"/>
  <c r="DH179" i="4"/>
  <c r="CZ179" i="4"/>
  <c r="CR179" i="4"/>
  <c r="CJ179" i="4"/>
  <c r="CB179" i="4"/>
  <c r="BT179" i="4"/>
  <c r="BL179" i="4"/>
  <c r="BD179" i="4"/>
  <c r="AV179" i="4"/>
  <c r="AN179" i="4"/>
  <c r="AF179" i="4"/>
  <c r="X179" i="4"/>
  <c r="P179" i="4"/>
  <c r="DM178" i="4"/>
  <c r="DE178" i="4"/>
  <c r="CW178" i="4"/>
  <c r="CO178" i="4"/>
  <c r="CG178" i="4"/>
  <c r="BY178" i="4"/>
  <c r="BQ178" i="4"/>
  <c r="BI178" i="4"/>
  <c r="BA178" i="4"/>
  <c r="AS178" i="4"/>
  <c r="AK178" i="4"/>
  <c r="AC178" i="4"/>
  <c r="U178" i="4"/>
  <c r="M178" i="4"/>
  <c r="DJ177" i="4"/>
  <c r="DB177" i="4"/>
  <c r="CT177" i="4"/>
  <c r="CL177" i="4"/>
  <c r="CD177" i="4"/>
  <c r="BV177" i="4"/>
  <c r="BN177" i="4"/>
  <c r="BF177" i="4"/>
  <c r="AX177" i="4"/>
  <c r="AP177" i="4"/>
  <c r="AH177" i="4"/>
  <c r="Z177" i="4"/>
  <c r="R177" i="4"/>
  <c r="DO176" i="4"/>
  <c r="DG176" i="4"/>
  <c r="CY176" i="4"/>
  <c r="CQ176" i="4"/>
  <c r="CI176" i="4"/>
  <c r="CA176" i="4"/>
  <c r="BS176" i="4"/>
  <c r="BK176" i="4"/>
  <c r="BC176" i="4"/>
  <c r="AU176" i="4"/>
  <c r="AM176" i="4"/>
  <c r="AE176" i="4"/>
  <c r="W176" i="4"/>
  <c r="O176" i="4"/>
  <c r="DL175" i="4"/>
  <c r="DD175" i="4"/>
  <c r="CV175" i="4"/>
  <c r="CN175" i="4"/>
  <c r="CF175" i="4"/>
  <c r="BX175" i="4"/>
  <c r="BP175" i="4"/>
  <c r="BH175" i="4"/>
  <c r="AZ175" i="4"/>
  <c r="AR175" i="4"/>
  <c r="AJ175" i="4"/>
  <c r="AB175" i="4"/>
  <c r="T175" i="4"/>
  <c r="L175" i="4"/>
  <c r="DI174" i="4"/>
  <c r="DA174" i="4"/>
  <c r="CS174" i="4"/>
  <c r="CK174" i="4"/>
  <c r="CC174" i="4"/>
  <c r="BU174" i="4"/>
  <c r="BM174" i="4"/>
  <c r="BE174" i="4"/>
  <c r="AW174" i="4"/>
  <c r="AO174" i="4"/>
  <c r="AG174" i="4"/>
  <c r="Y174" i="4"/>
  <c r="Q174" i="4"/>
  <c r="DI189" i="4"/>
  <c r="CQ189" i="4"/>
  <c r="BU189" i="4"/>
  <c r="BC189" i="4"/>
  <c r="AG189" i="4"/>
  <c r="DJ181" i="4"/>
  <c r="DA181" i="4"/>
  <c r="CR181" i="4"/>
  <c r="CI181" i="4"/>
  <c r="BZ181" i="4"/>
  <c r="BP181" i="4"/>
  <c r="BG181" i="4"/>
  <c r="AX181" i="4"/>
  <c r="AO181" i="4"/>
  <c r="AF181" i="4"/>
  <c r="W181" i="4"/>
  <c r="N181" i="4"/>
  <c r="DP180" i="4"/>
  <c r="DG180" i="4"/>
  <c r="CX180" i="4"/>
  <c r="CO180" i="4"/>
  <c r="CF180" i="4"/>
  <c r="BW180" i="4"/>
  <c r="BM180" i="4"/>
  <c r="BD180" i="4"/>
  <c r="AU180" i="4"/>
  <c r="AL180" i="4"/>
  <c r="AC180" i="4"/>
  <c r="T180" i="4"/>
  <c r="K180" i="4"/>
  <c r="DO179" i="4"/>
  <c r="DG179" i="4"/>
  <c r="CY179" i="4"/>
  <c r="CQ179" i="4"/>
  <c r="CI179" i="4"/>
  <c r="CA179" i="4"/>
  <c r="BS179" i="4"/>
  <c r="BK179" i="4"/>
  <c r="BC179" i="4"/>
  <c r="AU179" i="4"/>
  <c r="AM179" i="4"/>
  <c r="AE179" i="4"/>
  <c r="W179" i="4"/>
  <c r="O179" i="4"/>
  <c r="DL178" i="4"/>
  <c r="DD178" i="4"/>
  <c r="CV178" i="4"/>
  <c r="CN178" i="4"/>
  <c r="CF178" i="4"/>
  <c r="BX178" i="4"/>
  <c r="BP178" i="4"/>
  <c r="BH178" i="4"/>
  <c r="AZ178" i="4"/>
  <c r="AR178" i="4"/>
  <c r="AJ178" i="4"/>
  <c r="AB178" i="4"/>
  <c r="T178" i="4"/>
  <c r="L178" i="4"/>
  <c r="DI177" i="4"/>
  <c r="DA177" i="4"/>
  <c r="CS177" i="4"/>
  <c r="CK177" i="4"/>
  <c r="CC177" i="4"/>
  <c r="BU177" i="4"/>
  <c r="BM177" i="4"/>
  <c r="BE177" i="4"/>
  <c r="AW177" i="4"/>
  <c r="DG189" i="4"/>
  <c r="CP189" i="4"/>
  <c r="BS189" i="4"/>
  <c r="AW189" i="4"/>
  <c r="AE189" i="4"/>
  <c r="DI181" i="4"/>
  <c r="CZ181" i="4"/>
  <c r="CQ181" i="4"/>
  <c r="CH181" i="4"/>
  <c r="BX181" i="4"/>
  <c r="BO181" i="4"/>
  <c r="BF181" i="4"/>
  <c r="AW181" i="4"/>
  <c r="AN181" i="4"/>
  <c r="AE181" i="4"/>
  <c r="V181" i="4"/>
  <c r="L181" i="4"/>
  <c r="DO180" i="4"/>
  <c r="DF180" i="4"/>
  <c r="CW180" i="4"/>
  <c r="CN180" i="4"/>
  <c r="CE180" i="4"/>
  <c r="BU180" i="4"/>
  <c r="BL180" i="4"/>
  <c r="BC180" i="4"/>
  <c r="AT180" i="4"/>
  <c r="AK180" i="4"/>
  <c r="AB180" i="4"/>
  <c r="S180" i="4"/>
  <c r="DN179" i="4"/>
  <c r="DF179" i="4"/>
  <c r="CX179" i="4"/>
  <c r="CP179" i="4"/>
  <c r="CH179" i="4"/>
  <c r="BZ179" i="4"/>
  <c r="BR179" i="4"/>
  <c r="BJ179" i="4"/>
  <c r="BB179" i="4"/>
  <c r="AT179" i="4"/>
  <c r="AL179" i="4"/>
  <c r="AD179" i="4"/>
  <c r="V179" i="4"/>
  <c r="N179" i="4"/>
  <c r="DK178" i="4"/>
  <c r="DC178" i="4"/>
  <c r="CU178" i="4"/>
  <c r="CM178" i="4"/>
  <c r="CE178" i="4"/>
  <c r="BW178" i="4"/>
  <c r="BO178" i="4"/>
  <c r="BG178" i="4"/>
  <c r="AY178" i="4"/>
  <c r="AQ178" i="4"/>
  <c r="AI178" i="4"/>
  <c r="AA178" i="4"/>
  <c r="S178" i="4"/>
  <c r="K178" i="4"/>
  <c r="DP177" i="4"/>
  <c r="DH177" i="4"/>
  <c r="CZ177" i="4"/>
  <c r="CR177" i="4"/>
  <c r="CJ177" i="4"/>
  <c r="CB177" i="4"/>
  <c r="BT177" i="4"/>
  <c r="BL177" i="4"/>
  <c r="BD177" i="4"/>
  <c r="AV177" i="4"/>
  <c r="AN177" i="4"/>
  <c r="AF177" i="4"/>
  <c r="X177" i="4"/>
  <c r="P177" i="4"/>
  <c r="DM176" i="4"/>
  <c r="DE176" i="4"/>
  <c r="CW176" i="4"/>
  <c r="CO176" i="4"/>
  <c r="CG176" i="4"/>
  <c r="BY176" i="4"/>
  <c r="BQ176" i="4"/>
  <c r="BI176" i="4"/>
  <c r="BA176" i="4"/>
  <c r="AS176" i="4"/>
  <c r="AK176" i="4"/>
  <c r="AC176" i="4"/>
  <c r="U176" i="4"/>
  <c r="M176" i="4"/>
  <c r="CU189" i="4"/>
  <c r="BO189" i="4"/>
  <c r="AI189" i="4"/>
  <c r="DG181" i="4"/>
  <c r="CT181" i="4"/>
  <c r="CD181" i="4"/>
  <c r="BN181" i="4"/>
  <c r="BB181" i="4"/>
  <c r="AL181" i="4"/>
  <c r="Y181" i="4"/>
  <c r="DE180" i="4"/>
  <c r="CR180" i="4"/>
  <c r="CB180" i="4"/>
  <c r="BP180" i="4"/>
  <c r="AZ180" i="4"/>
  <c r="AJ180" i="4"/>
  <c r="W180" i="4"/>
  <c r="DI179" i="4"/>
  <c r="CU179" i="4"/>
  <c r="CG179" i="4"/>
  <c r="BV179" i="4"/>
  <c r="BH179" i="4"/>
  <c r="AW179" i="4"/>
  <c r="AI179" i="4"/>
  <c r="U179" i="4"/>
  <c r="DF178" i="4"/>
  <c r="CR178" i="4"/>
  <c r="CD178" i="4"/>
  <c r="BS178" i="4"/>
  <c r="BE178" i="4"/>
  <c r="AT178" i="4"/>
  <c r="AF178" i="4"/>
  <c r="R178" i="4"/>
  <c r="DN177" i="4"/>
  <c r="DC177" i="4"/>
  <c r="CO177" i="4"/>
  <c r="CA177" i="4"/>
  <c r="BP177" i="4"/>
  <c r="BB177" i="4"/>
  <c r="AQ177" i="4"/>
  <c r="AE177" i="4"/>
  <c r="U177" i="4"/>
  <c r="K177" i="4"/>
  <c r="DJ176" i="4"/>
  <c r="CZ176" i="4"/>
  <c r="CN176" i="4"/>
  <c r="CD176" i="4"/>
  <c r="BT176" i="4"/>
  <c r="BH176" i="4"/>
  <c r="AX176" i="4"/>
  <c r="AN176" i="4"/>
  <c r="AB176" i="4"/>
  <c r="R176" i="4"/>
  <c r="DI175" i="4"/>
  <c r="CZ175" i="4"/>
  <c r="CQ175" i="4"/>
  <c r="CH175" i="4"/>
  <c r="BY175" i="4"/>
  <c r="BO175" i="4"/>
  <c r="BF175" i="4"/>
  <c r="AW175" i="4"/>
  <c r="AN175" i="4"/>
  <c r="AE175" i="4"/>
  <c r="V175" i="4"/>
  <c r="M175" i="4"/>
  <c r="DO174" i="4"/>
  <c r="DF174" i="4"/>
  <c r="CW174" i="4"/>
  <c r="CN174" i="4"/>
  <c r="CE174" i="4"/>
  <c r="BV174" i="4"/>
  <c r="BL174" i="4"/>
  <c r="BC174" i="4"/>
  <c r="AT174" i="4"/>
  <c r="AK174" i="4"/>
  <c r="AB174" i="4"/>
  <c r="S174" i="4"/>
  <c r="CT189" i="4"/>
  <c r="BJ189" i="4"/>
  <c r="AD189" i="4"/>
  <c r="DF181" i="4"/>
  <c r="CP181" i="4"/>
  <c r="CC181" i="4"/>
  <c r="BM181" i="4"/>
  <c r="AZ181" i="4"/>
  <c r="AJ181" i="4"/>
  <c r="T181" i="4"/>
  <c r="DD180" i="4"/>
  <c r="CQ180" i="4"/>
  <c r="CA180" i="4"/>
  <c r="BK180" i="4"/>
  <c r="AY180" i="4"/>
  <c r="AI180" i="4"/>
  <c r="V180" i="4"/>
  <c r="DE179" i="4"/>
  <c r="CT179" i="4"/>
  <c r="CF179" i="4"/>
  <c r="BU179" i="4"/>
  <c r="BG179" i="4"/>
  <c r="AS179" i="4"/>
  <c r="AH179" i="4"/>
  <c r="T179" i="4"/>
  <c r="DP178" i="4"/>
  <c r="DB178" i="4"/>
  <c r="CQ178" i="4"/>
  <c r="CC178" i="4"/>
  <c r="BR178" i="4"/>
  <c r="BD178" i="4"/>
  <c r="AP178" i="4"/>
  <c r="AE178" i="4"/>
  <c r="Q178" i="4"/>
  <c r="DM177" i="4"/>
  <c r="CY177" i="4"/>
  <c r="CN177" i="4"/>
  <c r="BZ177" i="4"/>
  <c r="BO177" i="4"/>
  <c r="BA177" i="4"/>
  <c r="AO177" i="4"/>
  <c r="AD177" i="4"/>
  <c r="T177" i="4"/>
  <c r="DI176" i="4"/>
  <c r="CX176" i="4"/>
  <c r="CM176" i="4"/>
  <c r="CC176" i="4"/>
  <c r="BR176" i="4"/>
  <c r="BG176" i="4"/>
  <c r="AW176" i="4"/>
  <c r="AL176" i="4"/>
  <c r="AA176" i="4"/>
  <c r="Q176" i="4"/>
  <c r="DH175" i="4"/>
  <c r="CY175" i="4"/>
  <c r="CP175" i="4"/>
  <c r="CG175" i="4"/>
  <c r="BW175" i="4"/>
  <c r="BN175" i="4"/>
  <c r="BE175" i="4"/>
  <c r="AV175" i="4"/>
  <c r="AM175" i="4"/>
  <c r="AD175" i="4"/>
  <c r="U175" i="4"/>
  <c r="K175" i="4"/>
  <c r="DN174" i="4"/>
  <c r="DE174" i="4"/>
  <c r="CV174" i="4"/>
  <c r="CM174" i="4"/>
  <c r="CD174" i="4"/>
  <c r="BT174" i="4"/>
  <c r="BK174" i="4"/>
  <c r="BB174" i="4"/>
  <c r="AS174" i="4"/>
  <c r="AJ174" i="4"/>
  <c r="AA174" i="4"/>
  <c r="R174" i="4"/>
  <c r="CI189" i="4"/>
  <c r="BG189" i="4"/>
  <c r="W189" i="4"/>
  <c r="CH189" i="4"/>
  <c r="BF189" i="4"/>
  <c r="V189" i="4"/>
  <c r="DP181" i="4"/>
  <c r="DC181" i="4"/>
  <c r="CM181" i="4"/>
  <c r="BW181" i="4"/>
  <c r="BK181" i="4"/>
  <c r="AU181" i="4"/>
  <c r="AH181" i="4"/>
  <c r="R181" i="4"/>
  <c r="DN180" i="4"/>
  <c r="DA180" i="4"/>
  <c r="CK180" i="4"/>
  <c r="BY180" i="4"/>
  <c r="BI180" i="4"/>
  <c r="AS180" i="4"/>
  <c r="AF180" i="4"/>
  <c r="P180" i="4"/>
  <c r="DC179" i="4"/>
  <c r="CO179" i="4"/>
  <c r="CD179" i="4"/>
  <c r="BP179" i="4"/>
  <c r="BE179" i="4"/>
  <c r="AQ179" i="4"/>
  <c r="AC179" i="4"/>
  <c r="R179" i="4"/>
  <c r="DN178" i="4"/>
  <c r="CZ178" i="4"/>
  <c r="CL178" i="4"/>
  <c r="CA178" i="4"/>
  <c r="BM178" i="4"/>
  <c r="BB178" i="4"/>
  <c r="AN178" i="4"/>
  <c r="Z178" i="4"/>
  <c r="O178" i="4"/>
  <c r="DK177" i="4"/>
  <c r="CW177" i="4"/>
  <c r="CI177" i="4"/>
  <c r="BX177" i="4"/>
  <c r="BJ177" i="4"/>
  <c r="AY177" i="4"/>
  <c r="AL177" i="4"/>
  <c r="AB177" i="4"/>
  <c r="Q177" i="4"/>
  <c r="DF176" i="4"/>
  <c r="CU176" i="4"/>
  <c r="CK176" i="4"/>
  <c r="BZ176" i="4"/>
  <c r="BO176" i="4"/>
  <c r="BE176" i="4"/>
  <c r="AT176" i="4"/>
  <c r="AI176" i="4"/>
  <c r="Y176" i="4"/>
  <c r="N176" i="4"/>
  <c r="DO175" i="4"/>
  <c r="DF175" i="4"/>
  <c r="CW175" i="4"/>
  <c r="CM175" i="4"/>
  <c r="CD175" i="4"/>
  <c r="BU175" i="4"/>
  <c r="BL175" i="4"/>
  <c r="BC175" i="4"/>
  <c r="AT175" i="4"/>
  <c r="AK175" i="4"/>
  <c r="AA175" i="4"/>
  <c r="R175" i="4"/>
  <c r="DL174" i="4"/>
  <c r="DC174" i="4"/>
  <c r="CT174" i="4"/>
  <c r="CJ174" i="4"/>
  <c r="CA174" i="4"/>
  <c r="BR174" i="4"/>
  <c r="BI174" i="4"/>
  <c r="AZ174" i="4"/>
  <c r="AQ174" i="4"/>
  <c r="AH174" i="4"/>
  <c r="X174" i="4"/>
  <c r="O174" i="4"/>
  <c r="CE189" i="4"/>
  <c r="AU189" i="4"/>
  <c r="S189" i="4"/>
  <c r="DO181" i="4"/>
  <c r="CY181" i="4"/>
  <c r="CL181" i="4"/>
  <c r="BV181" i="4"/>
  <c r="BJ181" i="4"/>
  <c r="AT181" i="4"/>
  <c r="AD181" i="4"/>
  <c r="Q181" i="4"/>
  <c r="DM180" i="4"/>
  <c r="CZ180" i="4"/>
  <c r="CJ180" i="4"/>
  <c r="BT180" i="4"/>
  <c r="BH180" i="4"/>
  <c r="AR180" i="4"/>
  <c r="AE180" i="4"/>
  <c r="O180" i="4"/>
  <c r="DM179" i="4"/>
  <c r="DB179" i="4"/>
  <c r="CN179" i="4"/>
  <c r="CC179" i="4"/>
  <c r="BO179" i="4"/>
  <c r="BA179" i="4"/>
  <c r="AP179" i="4"/>
  <c r="AB179" i="4"/>
  <c r="Q179" i="4"/>
  <c r="DJ178" i="4"/>
  <c r="CY178" i="4"/>
  <c r="CK178" i="4"/>
  <c r="BZ178" i="4"/>
  <c r="BL178" i="4"/>
  <c r="AX178" i="4"/>
  <c r="AM178" i="4"/>
  <c r="Y178" i="4"/>
  <c r="N178" i="4"/>
  <c r="DG177" i="4"/>
  <c r="CV177" i="4"/>
  <c r="CH177" i="4"/>
  <c r="BW177" i="4"/>
  <c r="BI177" i="4"/>
  <c r="AU177" i="4"/>
  <c r="AK177" i="4"/>
  <c r="AA177" i="4"/>
  <c r="O177" i="4"/>
  <c r="DP176" i="4"/>
  <c r="DD176" i="4"/>
  <c r="CT176" i="4"/>
  <c r="CJ176" i="4"/>
  <c r="BX176" i="4"/>
  <c r="BN176" i="4"/>
  <c r="BD176" i="4"/>
  <c r="AR176" i="4"/>
  <c r="AH176" i="4"/>
  <c r="X176" i="4"/>
  <c r="L176" i="4"/>
  <c r="DN175" i="4"/>
  <c r="DE175" i="4"/>
  <c r="CU175" i="4"/>
  <c r="CL175" i="4"/>
  <c r="CC175" i="4"/>
  <c r="BT175" i="4"/>
  <c r="BK175" i="4"/>
  <c r="BB175" i="4"/>
  <c r="AS175" i="4"/>
  <c r="AI175" i="4"/>
  <c r="Z175" i="4"/>
  <c r="Q175" i="4"/>
  <c r="DK174" i="4"/>
  <c r="DB174" i="4"/>
  <c r="CR174" i="4"/>
  <c r="CI174" i="4"/>
  <c r="BZ174" i="4"/>
  <c r="BQ174" i="4"/>
  <c r="BH174" i="4"/>
  <c r="AY174" i="4"/>
  <c r="AP174" i="4"/>
  <c r="AF174" i="4"/>
  <c r="W174" i="4"/>
  <c r="N174" i="4"/>
  <c r="DF189" i="4"/>
  <c r="CD189" i="4"/>
  <c r="AT189" i="4"/>
  <c r="R189" i="4"/>
  <c r="AQ189" i="4"/>
  <c r="DD181" i="4"/>
  <c r="CB181" i="4"/>
  <c r="AV181" i="4"/>
  <c r="S181" i="4"/>
  <c r="CM180" i="4"/>
  <c r="BJ180" i="4"/>
  <c r="AG180" i="4"/>
  <c r="DD179" i="4"/>
  <c r="CE179" i="4"/>
  <c r="BF179" i="4"/>
  <c r="AG179" i="4"/>
  <c r="DO178" i="4"/>
  <c r="CP178" i="4"/>
  <c r="BN178" i="4"/>
  <c r="AO178" i="4"/>
  <c r="P178" i="4"/>
  <c r="CX177" i="4"/>
  <c r="BY177" i="4"/>
  <c r="AZ177" i="4"/>
  <c r="AC177" i="4"/>
  <c r="DH176" i="4"/>
  <c r="CL176" i="4"/>
  <c r="BP176" i="4"/>
  <c r="AV176" i="4"/>
  <c r="Z176" i="4"/>
  <c r="DG175" i="4"/>
  <c r="CO175" i="4"/>
  <c r="BV175" i="4"/>
  <c r="BD175" i="4"/>
  <c r="AL175" i="4"/>
  <c r="S175" i="4"/>
  <c r="DM174" i="4"/>
  <c r="CU174" i="4"/>
  <c r="CB174" i="4"/>
  <c r="BJ174" i="4"/>
  <c r="AR174" i="4"/>
  <c r="Z174" i="4"/>
  <c r="AP189" i="4"/>
  <c r="CX181" i="4"/>
  <c r="BU181" i="4"/>
  <c r="AR181" i="4"/>
  <c r="P181" i="4"/>
  <c r="DL180" i="4"/>
  <c r="CI180" i="4"/>
  <c r="BG180" i="4"/>
  <c r="AA180" i="4"/>
  <c r="DA179" i="4"/>
  <c r="BY179" i="4"/>
  <c r="AZ179" i="4"/>
  <c r="AA179" i="4"/>
  <c r="DI178" i="4"/>
  <c r="CJ178" i="4"/>
  <c r="BK178" i="4"/>
  <c r="AL178" i="4"/>
  <c r="CU177" i="4"/>
  <c r="BS177" i="4"/>
  <c r="AT177" i="4"/>
  <c r="Y177" i="4"/>
  <c r="DC176" i="4"/>
  <c r="CH176" i="4"/>
  <c r="BM176" i="4"/>
  <c r="AQ176" i="4"/>
  <c r="V176" i="4"/>
  <c r="DC175" i="4"/>
  <c r="CK175" i="4"/>
  <c r="BS175" i="4"/>
  <c r="BA175" i="4"/>
  <c r="AH175" i="4"/>
  <c r="P175" i="4"/>
  <c r="DJ174" i="4"/>
  <c r="CQ174" i="4"/>
  <c r="BY174" i="4"/>
  <c r="BG174" i="4"/>
  <c r="AN174" i="4"/>
  <c r="V174" i="4"/>
  <c r="CV181" i="4"/>
  <c r="BT181" i="4"/>
  <c r="AQ181" i="4"/>
  <c r="K181" i="4"/>
  <c r="DK180" i="4"/>
  <c r="CH180" i="4"/>
  <c r="BB180" i="4"/>
  <c r="Y180" i="4"/>
  <c r="CW179" i="4"/>
  <c r="BX179" i="4"/>
  <c r="AY179" i="4"/>
  <c r="Z179" i="4"/>
  <c r="DH178" i="4"/>
  <c r="CI178" i="4"/>
  <c r="BJ178" i="4"/>
  <c r="AH178" i="4"/>
  <c r="CQ177" i="4"/>
  <c r="BR177" i="4"/>
  <c r="AS177" i="4"/>
  <c r="W177" i="4"/>
  <c r="DB176" i="4"/>
  <c r="CF176" i="4"/>
  <c r="BL176" i="4"/>
  <c r="AP176" i="4"/>
  <c r="T176" i="4"/>
  <c r="DB175" i="4"/>
  <c r="CJ175" i="4"/>
  <c r="BR175" i="4"/>
  <c r="AY175" i="4"/>
  <c r="AG175" i="4"/>
  <c r="O175" i="4"/>
  <c r="DH174" i="4"/>
  <c r="CP174" i="4"/>
  <c r="BX174" i="4"/>
  <c r="BF174" i="4"/>
  <c r="AM174" i="4"/>
  <c r="U174" i="4"/>
  <c r="CU181" i="4"/>
  <c r="BS181" i="4"/>
  <c r="AM181" i="4"/>
  <c r="DC189" i="4"/>
  <c r="CN181" i="4"/>
  <c r="BL181" i="4"/>
  <c r="AI181" i="4"/>
  <c r="DC180" i="4"/>
  <c r="BZ180" i="4"/>
  <c r="AW180" i="4"/>
  <c r="Q180" i="4"/>
  <c r="CS179" i="4"/>
  <c r="BQ179" i="4"/>
  <c r="AR179" i="4"/>
  <c r="S179" i="4"/>
  <c r="DA178" i="4"/>
  <c r="CB178" i="4"/>
  <c r="BC178" i="4"/>
  <c r="AD178" i="4"/>
  <c r="DL177" i="4"/>
  <c r="CM177" i="4"/>
  <c r="BK177" i="4"/>
  <c r="AM177" i="4"/>
  <c r="S177" i="4"/>
  <c r="CV176" i="4"/>
  <c r="CB176" i="4"/>
  <c r="BF176" i="4"/>
  <c r="AJ176" i="4"/>
  <c r="P176" i="4"/>
  <c r="DP175" i="4"/>
  <c r="CX175" i="4"/>
  <c r="CE175" i="4"/>
  <c r="BM175" i="4"/>
  <c r="AU175" i="4"/>
  <c r="AC175" i="4"/>
  <c r="DD174" i="4"/>
  <c r="CL174" i="4"/>
  <c r="BS174" i="4"/>
  <c r="BA174" i="4"/>
  <c r="AI174" i="4"/>
  <c r="P174" i="4"/>
  <c r="DB189" i="4"/>
  <c r="DN181" i="4"/>
  <c r="CK181" i="4"/>
  <c r="BE181" i="4"/>
  <c r="AB181" i="4"/>
  <c r="CV180" i="4"/>
  <c r="BS180" i="4"/>
  <c r="AQ180" i="4"/>
  <c r="N180" i="4"/>
  <c r="DL179" i="4"/>
  <c r="CM179" i="4"/>
  <c r="BN179" i="4"/>
  <c r="AO179" i="4"/>
  <c r="M179" i="4"/>
  <c r="CX178" i="4"/>
  <c r="BV178" i="4"/>
  <c r="AW178" i="4"/>
  <c r="X178" i="4"/>
  <c r="DF177" i="4"/>
  <c r="CG177" i="4"/>
  <c r="BH177" i="4"/>
  <c r="AJ177" i="4"/>
  <c r="N177" i="4"/>
  <c r="DN176" i="4"/>
  <c r="CS176" i="4"/>
  <c r="BW176" i="4"/>
  <c r="BB176" i="4"/>
  <c r="AG176" i="4"/>
  <c r="K176" i="4"/>
  <c r="DM175" i="4"/>
  <c r="CT175" i="4"/>
  <c r="CB175" i="4"/>
  <c r="BJ175" i="4"/>
  <c r="AQ175" i="4"/>
  <c r="Y175" i="4"/>
  <c r="CZ174" i="4"/>
  <c r="CH174" i="4"/>
  <c r="BP174" i="4"/>
  <c r="AX174" i="4"/>
  <c r="AE174" i="4"/>
  <c r="M174" i="4"/>
  <c r="BR189" i="4"/>
  <c r="BC181" i="4"/>
  <c r="BA180" i="4"/>
  <c r="CL179" i="4"/>
  <c r="Y179" i="4"/>
  <c r="BU178" i="4"/>
  <c r="BG177" i="4"/>
  <c r="BV176" i="4"/>
  <c r="S176" i="4"/>
  <c r="CS175" i="4"/>
  <c r="AX175" i="4"/>
  <c r="CO174" i="4"/>
  <c r="AU174" i="4"/>
  <c r="AA181" i="4"/>
  <c r="AO180" i="4"/>
  <c r="CK179" i="4"/>
  <c r="L179" i="4"/>
  <c r="BT178" i="4"/>
  <c r="DO177" i="4"/>
  <c r="BC177" i="4"/>
  <c r="BU176" i="4"/>
  <c r="CR175" i="4"/>
  <c r="AP175" i="4"/>
  <c r="CG174" i="4"/>
  <c r="AL174" i="4"/>
  <c r="Z181" i="4"/>
  <c r="DI180" i="4"/>
  <c r="AN180" i="4"/>
  <c r="BW179" i="4"/>
  <c r="K179" i="4"/>
  <c r="BF178" i="4"/>
  <c r="DE177" i="4"/>
  <c r="AR177" i="4"/>
  <c r="DL176" i="4"/>
  <c r="BJ176" i="4"/>
  <c r="CI175" i="4"/>
  <c r="AO175" i="4"/>
  <c r="CF174" i="4"/>
  <c r="AD174" i="4"/>
  <c r="DL181" i="4"/>
  <c r="CU180" i="4"/>
  <c r="X180" i="4"/>
  <c r="BM179" i="4"/>
  <c r="DH181" i="4"/>
  <c r="CS180" i="4"/>
  <c r="M180" i="4"/>
  <c r="BI179" i="4"/>
  <c r="DG178" i="4"/>
  <c r="AU178" i="4"/>
  <c r="CP177" i="4"/>
  <c r="AG177" i="4"/>
  <c r="DA176" i="4"/>
  <c r="AY176" i="4"/>
  <c r="BZ175" i="4"/>
  <c r="X175" i="4"/>
  <c r="DP174" i="4"/>
  <c r="BO174" i="4"/>
  <c r="T174" i="4"/>
  <c r="CF181" i="4"/>
  <c r="CC180" i="4"/>
  <c r="DK179" i="4"/>
  <c r="AX179" i="4"/>
  <c r="CT178" i="4"/>
  <c r="AG178" i="4"/>
  <c r="CF177" i="4"/>
  <c r="V177" i="4"/>
  <c r="CR176" i="4"/>
  <c r="AO176" i="4"/>
  <c r="DK175" i="4"/>
  <c r="BQ175" i="4"/>
  <c r="W175" i="4"/>
  <c r="DG174" i="4"/>
  <c r="BN174" i="4"/>
  <c r="L174" i="4"/>
  <c r="CE181" i="4"/>
  <c r="BR180" i="4"/>
  <c r="DJ179" i="4"/>
  <c r="AK179" i="4"/>
  <c r="CS178" i="4"/>
  <c r="W178" i="4"/>
  <c r="CE177" i="4"/>
  <c r="M177" i="4"/>
  <c r="CP176" i="4"/>
  <c r="AF176" i="4"/>
  <c r="DJ175" i="4"/>
  <c r="BI175" i="4"/>
  <c r="N175" i="4"/>
  <c r="CY174" i="4"/>
  <c r="BD174" i="4"/>
  <c r="K174" i="4"/>
  <c r="C104" i="4"/>
  <c r="A119" i="4"/>
  <c r="A226" i="4"/>
  <c r="A201" i="4"/>
  <c r="A176" i="4"/>
  <c r="A151" i="4"/>
  <c r="P223" i="4"/>
  <c r="X223" i="4"/>
  <c r="AF223" i="4"/>
  <c r="AN223" i="4"/>
  <c r="AV223" i="4"/>
  <c r="BD223" i="4"/>
  <c r="BL223" i="4"/>
  <c r="BT223" i="4"/>
  <c r="CB223" i="4"/>
  <c r="CJ223" i="4"/>
  <c r="AC174" i="4"/>
  <c r="AF175" i="4"/>
  <c r="AZ176" i="4"/>
  <c r="DD177" i="4"/>
  <c r="AJ179" i="4"/>
  <c r="B53" i="4"/>
  <c r="B68" i="4"/>
  <c r="B109" i="4" s="1"/>
  <c r="E62" i="4"/>
  <c r="A94" i="4"/>
  <c r="AV174" i="4"/>
  <c r="BG175" i="4"/>
  <c r="CE176" i="4"/>
  <c r="CV179" i="4"/>
  <c r="CC189" i="4"/>
  <c r="A91" i="4"/>
  <c r="M148" i="4"/>
  <c r="U148" i="4"/>
  <c r="AC148" i="4"/>
  <c r="AK148" i="4"/>
  <c r="AS148" i="4"/>
  <c r="BA148" i="4"/>
  <c r="BI148" i="4"/>
  <c r="BQ148" i="4"/>
  <c r="BY148" i="4"/>
  <c r="CG148" i="4"/>
  <c r="CO148" i="4"/>
  <c r="CW148" i="4"/>
  <c r="DE148" i="4"/>
  <c r="DM148" i="4"/>
  <c r="DU148" i="4"/>
  <c r="EC148" i="4"/>
  <c r="EK148" i="4"/>
  <c r="ES148" i="4"/>
  <c r="FA148" i="4"/>
  <c r="FI148" i="4"/>
  <c r="FQ148" i="4"/>
  <c r="FY148" i="4"/>
  <c r="GG148" i="4"/>
  <c r="GO148" i="4"/>
  <c r="CQ217" i="4"/>
  <c r="CQ192" i="4"/>
  <c r="CY217" i="4"/>
  <c r="CY192" i="4"/>
  <c r="CY193" i="4" s="1"/>
  <c r="DG217" i="4"/>
  <c r="DG192" i="4"/>
  <c r="DO217" i="4"/>
  <c r="DO192" i="4"/>
  <c r="DO193" i="4" s="1"/>
  <c r="DO194" i="4" s="1"/>
  <c r="DO195" i="4" s="1"/>
  <c r="DW217" i="4"/>
  <c r="DW192" i="4"/>
  <c r="EE217" i="4"/>
  <c r="EE192" i="4"/>
  <c r="EM217" i="4"/>
  <c r="EM192" i="4"/>
  <c r="EU217" i="4"/>
  <c r="EU192" i="4"/>
  <c r="FC217" i="4"/>
  <c r="FC192" i="4"/>
  <c r="FK217" i="4"/>
  <c r="FK192" i="4"/>
  <c r="FS217" i="4"/>
  <c r="FS192" i="4"/>
  <c r="GA217" i="4"/>
  <c r="GA192" i="4"/>
  <c r="GI217" i="4"/>
  <c r="GI192" i="4"/>
  <c r="CN220" i="4"/>
  <c r="CV220" i="4"/>
  <c r="DD220" i="4"/>
  <c r="DL220" i="4"/>
  <c r="DT220" i="4"/>
  <c r="EB220" i="4"/>
  <c r="EJ220" i="4"/>
  <c r="ER220" i="4"/>
  <c r="EZ220" i="4"/>
  <c r="FH220" i="4"/>
  <c r="FP220" i="4"/>
  <c r="FX220" i="4"/>
  <c r="GF220" i="4"/>
  <c r="GN220" i="4"/>
  <c r="DX223" i="4"/>
  <c r="EF223" i="4"/>
  <c r="EN223" i="4"/>
  <c r="EV223" i="4"/>
  <c r="FD223" i="4"/>
  <c r="FL223" i="4"/>
  <c r="FT223" i="4"/>
  <c r="GB223" i="4"/>
  <c r="GJ223" i="4"/>
  <c r="CP236" i="4"/>
  <c r="CX236" i="4"/>
  <c r="DF236" i="4"/>
  <c r="DN236" i="4"/>
  <c r="DV236" i="4"/>
  <c r="ED236" i="4"/>
  <c r="EL236" i="4"/>
  <c r="ET236" i="4"/>
  <c r="FB236" i="4"/>
  <c r="FJ236" i="4"/>
  <c r="FR236" i="4"/>
  <c r="FZ236" i="4"/>
  <c r="GH236" i="4"/>
  <c r="GP236" i="4"/>
  <c r="A107" i="4"/>
  <c r="A125" i="4" s="1"/>
  <c r="N148" i="4"/>
  <c r="V148" i="4"/>
  <c r="AD148" i="4"/>
  <c r="AL148" i="4"/>
  <c r="AT148" i="4"/>
  <c r="BB148" i="4"/>
  <c r="BJ148" i="4"/>
  <c r="BR148" i="4"/>
  <c r="BZ148" i="4"/>
  <c r="CH148" i="4"/>
  <c r="CP148" i="4"/>
  <c r="CX148" i="4"/>
  <c r="DF148" i="4"/>
  <c r="DN148" i="4"/>
  <c r="DV148" i="4"/>
  <c r="ED148" i="4"/>
  <c r="EL148" i="4"/>
  <c r="ET148" i="4"/>
  <c r="FB148" i="4"/>
  <c r="FJ148" i="4"/>
  <c r="FR148" i="4"/>
  <c r="FZ148" i="4"/>
  <c r="GH148" i="4"/>
  <c r="GP148" i="4"/>
  <c r="CR217" i="4"/>
  <c r="CR192" i="4"/>
  <c r="CR193" i="4" s="1"/>
  <c r="CR194" i="4" s="1"/>
  <c r="CR195" i="4" s="1"/>
  <c r="CR196" i="4" s="1"/>
  <c r="CZ217" i="4"/>
  <c r="CZ192" i="4"/>
  <c r="DH217" i="4"/>
  <c r="DH192" i="4"/>
  <c r="DH193" i="4" s="1"/>
  <c r="DH194" i="4" s="1"/>
  <c r="DP217" i="4"/>
  <c r="DP192" i="4"/>
  <c r="DP193" i="4" s="1"/>
  <c r="DP194" i="4" s="1"/>
  <c r="DP195" i="4" s="1"/>
  <c r="DP196" i="4" s="1"/>
  <c r="DP197" i="4" s="1"/>
  <c r="DX217" i="4"/>
  <c r="DX192" i="4"/>
  <c r="DX193" i="4" s="1"/>
  <c r="DX194" i="4" s="1"/>
  <c r="DX195" i="4" s="1"/>
  <c r="DX196" i="4" s="1"/>
  <c r="EF217" i="4"/>
  <c r="EF192" i="4"/>
  <c r="EN217" i="4"/>
  <c r="EN192" i="4"/>
  <c r="EV217" i="4"/>
  <c r="EV192" i="4"/>
  <c r="EV193" i="4" s="1"/>
  <c r="FD217" i="4"/>
  <c r="FD192" i="4"/>
  <c r="FD193" i="4" s="1"/>
  <c r="FD194" i="4" s="1"/>
  <c r="FD195" i="4" s="1"/>
  <c r="FD196" i="4" s="1"/>
  <c r="FL217" i="4"/>
  <c r="FL192" i="4"/>
  <c r="FT217" i="4"/>
  <c r="FT192" i="4"/>
  <c r="GB217" i="4"/>
  <c r="GB192" i="4"/>
  <c r="GJ217" i="4"/>
  <c r="GJ192" i="4"/>
  <c r="GJ193" i="4" s="1"/>
  <c r="GJ194" i="4" s="1"/>
  <c r="GJ195" i="4" s="1"/>
  <c r="GJ196" i="4" s="1"/>
  <c r="GJ197" i="4" s="1"/>
  <c r="GJ198" i="4" s="1"/>
  <c r="CS218" i="4"/>
  <c r="DA218" i="4"/>
  <c r="DI218" i="4"/>
  <c r="CK219" i="4"/>
  <c r="CS219" i="4"/>
  <c r="DA219" i="4"/>
  <c r="DI219" i="4"/>
  <c r="DQ219" i="4"/>
  <c r="DY219" i="4"/>
  <c r="EG219" i="4"/>
  <c r="EO219" i="4"/>
  <c r="EW219" i="4"/>
  <c r="FE219" i="4"/>
  <c r="FM219" i="4"/>
  <c r="FU219" i="4"/>
  <c r="GC219" i="4"/>
  <c r="GK219" i="4"/>
  <c r="A225" i="4"/>
  <c r="A200" i="4"/>
  <c r="A175" i="4"/>
  <c r="A231" i="4"/>
  <c r="A206" i="4"/>
  <c r="A181" i="4"/>
  <c r="A239" i="4"/>
  <c r="A214" i="4"/>
  <c r="A189" i="4"/>
  <c r="A164" i="4"/>
  <c r="P148" i="4"/>
  <c r="X148" i="4"/>
  <c r="AF148" i="4"/>
  <c r="AN148" i="4"/>
  <c r="AV148" i="4"/>
  <c r="BD148" i="4"/>
  <c r="BL148" i="4"/>
  <c r="BT148" i="4"/>
  <c r="CB148" i="4"/>
  <c r="CJ148" i="4"/>
  <c r="CR148" i="4"/>
  <c r="CZ148" i="4"/>
  <c r="DH148" i="4"/>
  <c r="DP148" i="4"/>
  <c r="DX148" i="4"/>
  <c r="EF148" i="4"/>
  <c r="EN148" i="4"/>
  <c r="EV148" i="4"/>
  <c r="FD148" i="4"/>
  <c r="FL148" i="4"/>
  <c r="FT148" i="4"/>
  <c r="GB148" i="4"/>
  <c r="GJ148" i="4"/>
  <c r="CL221" i="4"/>
  <c r="CT221" i="4"/>
  <c r="DB221" i="4"/>
  <c r="DJ221" i="4"/>
  <c r="DZ221" i="4"/>
  <c r="EH221" i="4"/>
  <c r="EP221" i="4"/>
  <c r="EX221" i="4"/>
  <c r="FF221" i="4"/>
  <c r="FN221" i="4"/>
  <c r="FV221" i="4"/>
  <c r="GD221" i="4"/>
  <c r="GL221" i="4"/>
  <c r="CO222" i="4"/>
  <c r="CW222" i="4"/>
  <c r="DE222" i="4"/>
  <c r="DM222" i="4"/>
  <c r="DU222" i="4"/>
  <c r="EC222" i="4"/>
  <c r="EK222" i="4"/>
  <c r="ES222" i="4"/>
  <c r="FA222" i="4"/>
  <c r="FI222" i="4"/>
  <c r="FQ222" i="4"/>
  <c r="FY222" i="4"/>
  <c r="GG222" i="4"/>
  <c r="GO222" i="4"/>
  <c r="Q148" i="4"/>
  <c r="Y148" i="4"/>
  <c r="AG148" i="4"/>
  <c r="AO148" i="4"/>
  <c r="AW148" i="4"/>
  <c r="BE148" i="4"/>
  <c r="BM148" i="4"/>
  <c r="BU148" i="4"/>
  <c r="CC148" i="4"/>
  <c r="CK148" i="4"/>
  <c r="CS148" i="4"/>
  <c r="DA148" i="4"/>
  <c r="DI148" i="4"/>
  <c r="DQ148" i="4"/>
  <c r="DY148" i="4"/>
  <c r="EG148" i="4"/>
  <c r="EO148" i="4"/>
  <c r="EW148" i="4"/>
  <c r="FE148" i="4"/>
  <c r="FM148" i="4"/>
  <c r="FU148" i="4"/>
  <c r="GC148" i="4"/>
  <c r="GK148" i="4"/>
  <c r="CM217" i="4"/>
  <c r="CM192" i="4"/>
  <c r="CU217" i="4"/>
  <c r="CU192" i="4"/>
  <c r="DC217" i="4"/>
  <c r="DC192" i="4"/>
  <c r="DK217" i="4"/>
  <c r="DK192" i="4"/>
  <c r="DS217" i="4"/>
  <c r="DS192" i="4"/>
  <c r="EA217" i="4"/>
  <c r="EA192" i="4"/>
  <c r="EI192" i="4"/>
  <c r="EI217" i="4"/>
  <c r="EQ217" i="4"/>
  <c r="EQ192" i="4"/>
  <c r="EY217" i="4"/>
  <c r="EY192" i="4"/>
  <c r="FG217" i="4"/>
  <c r="FG192" i="4"/>
  <c r="FO217" i="4"/>
  <c r="FO192" i="4"/>
  <c r="FW217" i="4"/>
  <c r="FW192" i="4"/>
  <c r="GE217" i="4"/>
  <c r="GE192" i="4"/>
  <c r="GM217" i="4"/>
  <c r="GM192" i="4"/>
  <c r="CR220" i="4"/>
  <c r="CZ220" i="4"/>
  <c r="DH220" i="4"/>
  <c r="DH195" i="4"/>
  <c r="DP220" i="4"/>
  <c r="DX220" i="4"/>
  <c r="EF220" i="4"/>
  <c r="EN220" i="4"/>
  <c r="EV220" i="4"/>
  <c r="FD220" i="4"/>
  <c r="FL220" i="4"/>
  <c r="FT220" i="4"/>
  <c r="GB220" i="4"/>
  <c r="GJ220" i="4"/>
  <c r="CM221" i="4"/>
  <c r="CU221" i="4"/>
  <c r="DC221" i="4"/>
  <c r="DK221" i="4"/>
  <c r="DS221" i="4"/>
  <c r="EA221" i="4"/>
  <c r="EI221" i="4"/>
  <c r="EQ221" i="4"/>
  <c r="EY221" i="4"/>
  <c r="FG221" i="4"/>
  <c r="FO221" i="4"/>
  <c r="FW221" i="4"/>
  <c r="GE221" i="4"/>
  <c r="GM221" i="4"/>
  <c r="R148" i="4"/>
  <c r="Z148" i="4"/>
  <c r="AH148" i="4"/>
  <c r="AP148" i="4"/>
  <c r="AX148" i="4"/>
  <c r="BF148" i="4"/>
  <c r="BN148" i="4"/>
  <c r="BV148" i="4"/>
  <c r="CD148" i="4"/>
  <c r="CL148" i="4"/>
  <c r="CT148" i="4"/>
  <c r="DB148" i="4"/>
  <c r="DJ148" i="4"/>
  <c r="DR148" i="4"/>
  <c r="DZ148" i="4"/>
  <c r="EH148" i="4"/>
  <c r="EP148" i="4"/>
  <c r="EX148" i="4"/>
  <c r="FF148" i="4"/>
  <c r="FN148" i="4"/>
  <c r="FV148" i="4"/>
  <c r="GD148" i="4"/>
  <c r="CN217" i="4"/>
  <c r="CN192" i="4"/>
  <c r="CN193" i="4" s="1"/>
  <c r="CN194" i="4" s="1"/>
  <c r="CN195" i="4" s="1"/>
  <c r="CN196" i="4" s="1"/>
  <c r="CN197" i="4" s="1"/>
  <c r="CV217" i="4"/>
  <c r="CV192" i="4"/>
  <c r="DD217" i="4"/>
  <c r="DD192" i="4"/>
  <c r="DD193" i="4" s="1"/>
  <c r="DD194" i="4" s="1"/>
  <c r="DD195" i="4" s="1"/>
  <c r="DD196" i="4" s="1"/>
  <c r="DL217" i="4"/>
  <c r="DL192" i="4"/>
  <c r="DT217" i="4"/>
  <c r="DT192" i="4"/>
  <c r="CO218" i="4"/>
  <c r="CW218" i="4"/>
  <c r="DE218" i="4"/>
  <c r="DM218" i="4"/>
  <c r="DU218" i="4"/>
  <c r="EC218" i="4"/>
  <c r="EK218" i="4"/>
  <c r="EK193" i="4"/>
  <c r="EK194" i="4" s="1"/>
  <c r="EK195" i="4" s="1"/>
  <c r="EK196" i="4" s="1"/>
  <c r="EK197" i="4" s="1"/>
  <c r="EK198" i="4" s="1"/>
  <c r="ES218" i="4"/>
  <c r="FA218" i="4"/>
  <c r="FI218" i="4"/>
  <c r="FQ218" i="4"/>
  <c r="FY218" i="4"/>
  <c r="GG218" i="4"/>
  <c r="GO218" i="4"/>
  <c r="CO219" i="4"/>
  <c r="CW219" i="4"/>
  <c r="DE219" i="4"/>
  <c r="DM219" i="4"/>
  <c r="DU219" i="4"/>
  <c r="EC219" i="4"/>
  <c r="EK219" i="4"/>
  <c r="ES219" i="4"/>
  <c r="FA219" i="4"/>
  <c r="FI219" i="4"/>
  <c r="FQ219" i="4"/>
  <c r="FY219" i="4"/>
  <c r="GG219" i="4"/>
  <c r="GO219" i="4"/>
  <c r="CK220" i="4"/>
  <c r="CS220" i="4"/>
  <c r="DA220" i="4"/>
  <c r="DI220" i="4"/>
  <c r="DQ220" i="4"/>
  <c r="DY220" i="4"/>
  <c r="EG220" i="4"/>
  <c r="EO220" i="4"/>
  <c r="EW220" i="4"/>
  <c r="FE220" i="4"/>
  <c r="FM220" i="4"/>
  <c r="FU220" i="4"/>
  <c r="GC220" i="4"/>
  <c r="GK220" i="4"/>
  <c r="CO217" i="4"/>
  <c r="CO192" i="4"/>
  <c r="CO193" i="4" s="1"/>
  <c r="CO194" i="4" s="1"/>
  <c r="CO195" i="4" s="1"/>
  <c r="CO196" i="4" s="1"/>
  <c r="CO197" i="4" s="1"/>
  <c r="CW217" i="4"/>
  <c r="CW192" i="4"/>
  <c r="CW193" i="4" s="1"/>
  <c r="CW194" i="4" s="1"/>
  <c r="CW195" i="4" s="1"/>
  <c r="CW196" i="4" s="1"/>
  <c r="CW197" i="4" s="1"/>
  <c r="DE217" i="4"/>
  <c r="DE192" i="4"/>
  <c r="DE193" i="4" s="1"/>
  <c r="DE194" i="4" s="1"/>
  <c r="DE195" i="4" s="1"/>
  <c r="DE196" i="4" s="1"/>
  <c r="DE197" i="4" s="1"/>
  <c r="DM217" i="4"/>
  <c r="DM192" i="4"/>
  <c r="DM193" i="4" s="1"/>
  <c r="DM194" i="4" s="1"/>
  <c r="DM195" i="4" s="1"/>
  <c r="DM196" i="4" s="1"/>
  <c r="DM197" i="4" s="1"/>
  <c r="DU217" i="4"/>
  <c r="DU192" i="4"/>
  <c r="DU193" i="4" s="1"/>
  <c r="DU194" i="4" s="1"/>
  <c r="EC217" i="4"/>
  <c r="EC192" i="4"/>
  <c r="EC193" i="4" s="1"/>
  <c r="EC194" i="4" s="1"/>
  <c r="EC195" i="4" s="1"/>
  <c r="EC196" i="4" s="1"/>
  <c r="EC197" i="4" s="1"/>
  <c r="EC198" i="4" s="1"/>
  <c r="ES217" i="4"/>
  <c r="ES192" i="4"/>
  <c r="ES193" i="4" s="1"/>
  <c r="ES194" i="4" s="1"/>
  <c r="ES195" i="4" s="1"/>
  <c r="ES196" i="4" s="1"/>
  <c r="ES197" i="4" s="1"/>
  <c r="ES198" i="4" s="1"/>
  <c r="FA217" i="4"/>
  <c r="FA192" i="4"/>
  <c r="FA193" i="4" s="1"/>
  <c r="FA194" i="4" s="1"/>
  <c r="FA195" i="4" s="1"/>
  <c r="FA196" i="4" s="1"/>
  <c r="FA197" i="4" s="1"/>
  <c r="FA198" i="4" s="1"/>
  <c r="FI217" i="4"/>
  <c r="FI192" i="4"/>
  <c r="FI193" i="4" s="1"/>
  <c r="FI194" i="4" s="1"/>
  <c r="FI195" i="4" s="1"/>
  <c r="FQ217" i="4"/>
  <c r="FQ192" i="4"/>
  <c r="FQ193" i="4" s="1"/>
  <c r="FQ194" i="4" s="1"/>
  <c r="FQ195" i="4" s="1"/>
  <c r="FQ196" i="4" s="1"/>
  <c r="FQ197" i="4" s="1"/>
  <c r="FQ198" i="4" s="1"/>
  <c r="CP218" i="4"/>
  <c r="CX218" i="4"/>
  <c r="DF218" i="4"/>
  <c r="DN218" i="4"/>
  <c r="DV218" i="4"/>
  <c r="ED218" i="4"/>
  <c r="EL218" i="4"/>
  <c r="ET218" i="4"/>
  <c r="FB218" i="4"/>
  <c r="FJ218" i="4"/>
  <c r="FR218" i="4"/>
  <c r="FZ218" i="4"/>
  <c r="GH218" i="4"/>
  <c r="GP218" i="4"/>
  <c r="CN221" i="4"/>
  <c r="CV221" i="4"/>
  <c r="DD221" i="4"/>
  <c r="DL221" i="4"/>
  <c r="DT221" i="4"/>
  <c r="EB221" i="4"/>
  <c r="EJ221" i="4"/>
  <c r="ER221" i="4"/>
  <c r="EZ221" i="4"/>
  <c r="FH221" i="4"/>
  <c r="FP221" i="4"/>
  <c r="FX221" i="4"/>
  <c r="GF221" i="4"/>
  <c r="GN221" i="4"/>
  <c r="CP222" i="4"/>
  <c r="CX222" i="4"/>
  <c r="DF222" i="4"/>
  <c r="DN222" i="4"/>
  <c r="DV222" i="4"/>
  <c r="ED222" i="4"/>
  <c r="EL222" i="4"/>
  <c r="ET222" i="4"/>
  <c r="FB222" i="4"/>
  <c r="FJ222" i="4"/>
  <c r="FR222" i="4"/>
  <c r="FZ222" i="4"/>
  <c r="GH222" i="4"/>
  <c r="GP222" i="4"/>
  <c r="Q223" i="4"/>
  <c r="Y223" i="4"/>
  <c r="AG223" i="4"/>
  <c r="AO223" i="4"/>
  <c r="AW223" i="4"/>
  <c r="BE223" i="4"/>
  <c r="BM223" i="4"/>
  <c r="BU223" i="4"/>
  <c r="CC223" i="4"/>
  <c r="DQ223" i="4"/>
  <c r="DY223" i="4"/>
  <c r="EG223" i="4"/>
  <c r="EO223" i="4"/>
  <c r="EW223" i="4"/>
  <c r="FE223" i="4"/>
  <c r="FM223" i="4"/>
  <c r="FU223" i="4"/>
  <c r="GC223" i="4"/>
  <c r="GK223" i="4"/>
  <c r="FV192" i="4"/>
  <c r="CP217" i="4"/>
  <c r="CP192" i="4"/>
  <c r="CP193" i="4" s="1"/>
  <c r="CP194" i="4" s="1"/>
  <c r="CP195" i="4" s="1"/>
  <c r="CP196" i="4" s="1"/>
  <c r="CP197" i="4" s="1"/>
  <c r="CX217" i="4"/>
  <c r="CX192" i="4"/>
  <c r="CX193" i="4" s="1"/>
  <c r="CX194" i="4" s="1"/>
  <c r="DF217" i="4"/>
  <c r="DF192" i="4"/>
  <c r="DF193" i="4" s="1"/>
  <c r="DF194" i="4" s="1"/>
  <c r="DF195" i="4" s="1"/>
  <c r="DF196" i="4" s="1"/>
  <c r="DF197" i="4" s="1"/>
  <c r="DN217" i="4"/>
  <c r="DN192" i="4"/>
  <c r="DN193" i="4" s="1"/>
  <c r="DN194" i="4" s="1"/>
  <c r="DN195" i="4" s="1"/>
  <c r="DN196" i="4" s="1"/>
  <c r="DN197" i="4" s="1"/>
  <c r="DV217" i="4"/>
  <c r="DV192" i="4"/>
  <c r="DV193" i="4" s="1"/>
  <c r="DV194" i="4" s="1"/>
  <c r="DV195" i="4" s="1"/>
  <c r="DV196" i="4" s="1"/>
  <c r="DV197" i="4" s="1"/>
  <c r="DV198" i="4" s="1"/>
  <c r="ED217" i="4"/>
  <c r="ED192" i="4"/>
  <c r="ED193" i="4" s="1"/>
  <c r="ED194" i="4" s="1"/>
  <c r="ED195" i="4" s="1"/>
  <c r="ED196" i="4" s="1"/>
  <c r="ED197" i="4" s="1"/>
  <c r="ED198" i="4" s="1"/>
  <c r="EL217" i="4"/>
  <c r="EL192" i="4"/>
  <c r="EL193" i="4" s="1"/>
  <c r="EL194" i="4" s="1"/>
  <c r="ET217" i="4"/>
  <c r="ET192" i="4"/>
  <c r="ET193" i="4" s="1"/>
  <c r="ET194" i="4" s="1"/>
  <c r="ET195" i="4" s="1"/>
  <c r="ET196" i="4" s="1"/>
  <c r="ET197" i="4" s="1"/>
  <c r="ET198" i="4" s="1"/>
  <c r="FB217" i="4"/>
  <c r="FB192" i="4"/>
  <c r="FB193" i="4" s="1"/>
  <c r="FB194" i="4" s="1"/>
  <c r="FB195" i="4" s="1"/>
  <c r="FB196" i="4" s="1"/>
  <c r="FB197" i="4" s="1"/>
  <c r="FB198" i="4" s="1"/>
  <c r="FJ217" i="4"/>
  <c r="FJ192" i="4"/>
  <c r="FJ193" i="4" s="1"/>
  <c r="FJ194" i="4" s="1"/>
  <c r="FJ195" i="4" s="1"/>
  <c r="FR217" i="4"/>
  <c r="FR192" i="4"/>
  <c r="FR193" i="4" s="1"/>
  <c r="FR194" i="4" s="1"/>
  <c r="FR195" i="4" s="1"/>
  <c r="FR196" i="4" s="1"/>
  <c r="FR197" i="4" s="1"/>
  <c r="FZ217" i="4"/>
  <c r="FZ192" i="4"/>
  <c r="FZ193" i="4" s="1"/>
  <c r="FZ194" i="4" s="1"/>
  <c r="FZ195" i="4" s="1"/>
  <c r="FZ196" i="4" s="1"/>
  <c r="FZ197" i="4" s="1"/>
  <c r="FZ198" i="4" s="1"/>
  <c r="GH217" i="4"/>
  <c r="GH192" i="4"/>
  <c r="GH193" i="4" s="1"/>
  <c r="GH194" i="4" s="1"/>
  <c r="GH195" i="4" s="1"/>
  <c r="GH196" i="4" s="1"/>
  <c r="GH197" i="4" s="1"/>
  <c r="GH198" i="4" s="1"/>
  <c r="GP217" i="4"/>
  <c r="GP192" i="4"/>
  <c r="GP193" i="4" s="1"/>
  <c r="GP194" i="4" s="1"/>
  <c r="GP195" i="4" s="1"/>
  <c r="GP196" i="4" s="1"/>
  <c r="GP197" i="4" s="1"/>
  <c r="GP198" i="4" s="1"/>
  <c r="CR219" i="4"/>
  <c r="CZ219" i="4"/>
  <c r="DH219" i="4"/>
  <c r="DP219" i="4"/>
  <c r="DX219" i="4"/>
  <c r="EF219" i="4"/>
  <c r="CQ222" i="4"/>
  <c r="CY222" i="4"/>
  <c r="DG222" i="4"/>
  <c r="DO222" i="4"/>
  <c r="DW222" i="4"/>
  <c r="EE222" i="4"/>
  <c r="EM222" i="4"/>
  <c r="EU222" i="4"/>
  <c r="FC222" i="4"/>
  <c r="FK222" i="4"/>
  <c r="FS222" i="4"/>
  <c r="GA222" i="4"/>
  <c r="GI222" i="4"/>
  <c r="R223" i="4"/>
  <c r="Z223" i="4"/>
  <c r="AH223" i="4"/>
  <c r="AP223" i="4"/>
  <c r="AX223" i="4"/>
  <c r="BF223" i="4"/>
  <c r="BN223" i="4"/>
  <c r="BV223" i="4"/>
  <c r="CD223" i="4"/>
  <c r="DR223" i="4"/>
  <c r="DZ223" i="4"/>
  <c r="EH223" i="4"/>
  <c r="EP223" i="4"/>
  <c r="EX223" i="4"/>
  <c r="FF223" i="4"/>
  <c r="FN223" i="4"/>
  <c r="FV223" i="4"/>
  <c r="GD223" i="4"/>
  <c r="GL223" i="4"/>
  <c r="CP232" i="4"/>
  <c r="CP207" i="4"/>
  <c r="CX232" i="4"/>
  <c r="CX207" i="4"/>
  <c r="CX208" i="4" s="1"/>
  <c r="DF232" i="4"/>
  <c r="DF207" i="4"/>
  <c r="DN232" i="4"/>
  <c r="DN207" i="4"/>
  <c r="DN208" i="4" s="1"/>
  <c r="DN209" i="4" s="1"/>
  <c r="DN210" i="4" s="1"/>
  <c r="DN211" i="4" s="1"/>
  <c r="DN212" i="4" s="1"/>
  <c r="DV232" i="4"/>
  <c r="DV207" i="4"/>
  <c r="ED232" i="4"/>
  <c r="ED207" i="4"/>
  <c r="ED208" i="4" s="1"/>
  <c r="EL232" i="4"/>
  <c r="EL207" i="4"/>
  <c r="ET232" i="4"/>
  <c r="ET207" i="4"/>
  <c r="ET208" i="4" s="1"/>
  <c r="ET209" i="4" s="1"/>
  <c r="ET210" i="4" s="1"/>
  <c r="ET211" i="4" s="1"/>
  <c r="ET212" i="4" s="1"/>
  <c r="ET213" i="4" s="1"/>
  <c r="FB232" i="4"/>
  <c r="FB207" i="4"/>
  <c r="FJ232" i="4"/>
  <c r="FJ207" i="4"/>
  <c r="FJ208" i="4" s="1"/>
  <c r="FJ209" i="4" s="1"/>
  <c r="FR232" i="4"/>
  <c r="FR207" i="4"/>
  <c r="FZ232" i="4"/>
  <c r="FZ207" i="4"/>
  <c r="FZ208" i="4" s="1"/>
  <c r="FZ209" i="4" s="1"/>
  <c r="FZ210" i="4" s="1"/>
  <c r="FZ211" i="4" s="1"/>
  <c r="FZ212" i="4" s="1"/>
  <c r="FZ213" i="4" s="1"/>
  <c r="GH232" i="4"/>
  <c r="GH207" i="4"/>
  <c r="GP232" i="4"/>
  <c r="GP207" i="4"/>
  <c r="GP208" i="4" s="1"/>
  <c r="GP209" i="4" s="1"/>
  <c r="CL234" i="4"/>
  <c r="DB234" i="4"/>
  <c r="DJ234" i="4"/>
  <c r="DR234" i="4"/>
  <c r="DZ234" i="4"/>
  <c r="EP234" i="4"/>
  <c r="EX234" i="4"/>
  <c r="FF234" i="4"/>
  <c r="CN237" i="4"/>
  <c r="CV237" i="4"/>
  <c r="DD237" i="4"/>
  <c r="DL237" i="4"/>
  <c r="DT237" i="4"/>
  <c r="EB237" i="4"/>
  <c r="EJ237" i="4"/>
  <c r="ER237" i="4"/>
  <c r="EZ237" i="4"/>
  <c r="FH237" i="4"/>
  <c r="FP237" i="4"/>
  <c r="FX237" i="4"/>
  <c r="GF237" i="4"/>
  <c r="GN237" i="4"/>
  <c r="DU238" i="4"/>
  <c r="EC238" i="4"/>
  <c r="EK238" i="4"/>
  <c r="ES238" i="4"/>
  <c r="FA238" i="4"/>
  <c r="FI238" i="4"/>
  <c r="FQ238" i="4"/>
  <c r="FY238" i="4"/>
  <c r="DQ218" i="4"/>
  <c r="DY218" i="4"/>
  <c r="EG218" i="4"/>
  <c r="EO218" i="4"/>
  <c r="FE218" i="4"/>
  <c r="FM218" i="4"/>
  <c r="FU218" i="4"/>
  <c r="GC218" i="4"/>
  <c r="GK218" i="4"/>
  <c r="CQ221" i="4"/>
  <c r="CY221" i="4"/>
  <c r="DG221" i="4"/>
  <c r="DO221" i="4"/>
  <c r="DO196" i="4"/>
  <c r="DO197" i="4" s="1"/>
  <c r="DW221" i="4"/>
  <c r="EE221" i="4"/>
  <c r="EM221" i="4"/>
  <c r="EU221" i="4"/>
  <c r="FC221" i="4"/>
  <c r="FK221" i="4"/>
  <c r="FS221" i="4"/>
  <c r="GA221" i="4"/>
  <c r="GI221" i="4"/>
  <c r="CQ232" i="4"/>
  <c r="CQ207" i="4"/>
  <c r="CY232" i="4"/>
  <c r="CY207" i="4"/>
  <c r="DG232" i="4"/>
  <c r="DG207" i="4"/>
  <c r="DG208" i="4" s="1"/>
  <c r="DG209" i="4" s="1"/>
  <c r="DG210" i="4" s="1"/>
  <c r="DG211" i="4" s="1"/>
  <c r="DG212" i="4" s="1"/>
  <c r="DO232" i="4"/>
  <c r="DO207" i="4"/>
  <c r="DW232" i="4"/>
  <c r="DW207" i="4"/>
  <c r="EE232" i="4"/>
  <c r="EE207" i="4"/>
  <c r="EE208" i="4" s="1"/>
  <c r="EE209" i="4" s="1"/>
  <c r="EE210" i="4" s="1"/>
  <c r="EM232" i="4"/>
  <c r="EM207" i="4"/>
  <c r="EM208" i="4" s="1"/>
  <c r="EU232" i="4"/>
  <c r="EU207" i="4"/>
  <c r="FC232" i="4"/>
  <c r="FC207" i="4"/>
  <c r="FK232" i="4"/>
  <c r="FK207" i="4"/>
  <c r="FK208" i="4" s="1"/>
  <c r="FK209" i="4" s="1"/>
  <c r="FK210" i="4" s="1"/>
  <c r="FS232" i="4"/>
  <c r="FS207" i="4"/>
  <c r="FS208" i="4" s="1"/>
  <c r="FS209" i="4" s="1"/>
  <c r="FS210" i="4" s="1"/>
  <c r="FS211" i="4" s="1"/>
  <c r="FS212" i="4" s="1"/>
  <c r="FS213" i="4" s="1"/>
  <c r="GA232" i="4"/>
  <c r="GA207" i="4"/>
  <c r="GI232" i="4"/>
  <c r="GI207" i="4"/>
  <c r="CM235" i="4"/>
  <c r="CU235" i="4"/>
  <c r="DC235" i="4"/>
  <c r="DK235" i="4"/>
  <c r="DS235" i="4"/>
  <c r="EA235" i="4"/>
  <c r="EI235" i="4"/>
  <c r="EQ235" i="4"/>
  <c r="EY235" i="4"/>
  <c r="FG235" i="4"/>
  <c r="FO235" i="4"/>
  <c r="FW235" i="4"/>
  <c r="GE235" i="4"/>
  <c r="GM235" i="4"/>
  <c r="CL218" i="4"/>
  <c r="CT218" i="4"/>
  <c r="DB218" i="4"/>
  <c r="DJ218" i="4"/>
  <c r="DR218" i="4"/>
  <c r="DZ218" i="4"/>
  <c r="EH218" i="4"/>
  <c r="EP218" i="4"/>
  <c r="EX218" i="4"/>
  <c r="FF218" i="4"/>
  <c r="FN218" i="4"/>
  <c r="FV218" i="4"/>
  <c r="FV193" i="4"/>
  <c r="FV194" i="4" s="1"/>
  <c r="FV195" i="4" s="1"/>
  <c r="FV196" i="4" s="1"/>
  <c r="FV197" i="4" s="1"/>
  <c r="FV198" i="4" s="1"/>
  <c r="GD218" i="4"/>
  <c r="GL218" i="4"/>
  <c r="CL222" i="4"/>
  <c r="CT222" i="4"/>
  <c r="DB222" i="4"/>
  <c r="DJ222" i="4"/>
  <c r="DR222" i="4"/>
  <c r="DZ222" i="4"/>
  <c r="EH222" i="4"/>
  <c r="EP222" i="4"/>
  <c r="EX222" i="4"/>
  <c r="FF222" i="4"/>
  <c r="FN222" i="4"/>
  <c r="FV222" i="4"/>
  <c r="GD222" i="4"/>
  <c r="GL222" i="4"/>
  <c r="M223" i="4"/>
  <c r="U223" i="4"/>
  <c r="AC223" i="4"/>
  <c r="AK223" i="4"/>
  <c r="AS223" i="4"/>
  <c r="BA223" i="4"/>
  <c r="BI223" i="4"/>
  <c r="BQ223" i="4"/>
  <c r="BY223" i="4"/>
  <c r="CG223" i="4"/>
  <c r="DU223" i="4"/>
  <c r="EC223" i="4"/>
  <c r="EK223" i="4"/>
  <c r="ES223" i="4"/>
  <c r="FA223" i="4"/>
  <c r="FI223" i="4"/>
  <c r="FQ223" i="4"/>
  <c r="FY223" i="4"/>
  <c r="GG223" i="4"/>
  <c r="GO223" i="4"/>
  <c r="CN235" i="4"/>
  <c r="CV235" i="4"/>
  <c r="DD235" i="4"/>
  <c r="DL235" i="4"/>
  <c r="DT235" i="4"/>
  <c r="EB235" i="4"/>
  <c r="EJ235" i="4"/>
  <c r="ER235" i="4"/>
  <c r="EZ235" i="4"/>
  <c r="FH235" i="4"/>
  <c r="FP235" i="4"/>
  <c r="FX235" i="4"/>
  <c r="GF235" i="4"/>
  <c r="GN235" i="4"/>
  <c r="DJ192" i="4"/>
  <c r="DJ193" i="4" s="1"/>
  <c r="DJ194" i="4" s="1"/>
  <c r="DJ195" i="4" s="1"/>
  <c r="DJ196" i="4" s="1"/>
  <c r="DJ197" i="4" s="1"/>
  <c r="CL217" i="4"/>
  <c r="CL192" i="4"/>
  <c r="CL193" i="4" s="1"/>
  <c r="CL194" i="4" s="1"/>
  <c r="CL195" i="4" s="1"/>
  <c r="CL196" i="4" s="1"/>
  <c r="CL197" i="4" s="1"/>
  <c r="CT217" i="4"/>
  <c r="CT192" i="4"/>
  <c r="CT193" i="4" s="1"/>
  <c r="DB217" i="4"/>
  <c r="DB192" i="4"/>
  <c r="DB193" i="4" s="1"/>
  <c r="DB194" i="4" s="1"/>
  <c r="DB195" i="4" s="1"/>
  <c r="DB196" i="4" s="1"/>
  <c r="DB197" i="4" s="1"/>
  <c r="DR217" i="4"/>
  <c r="DR192" i="4"/>
  <c r="DR193" i="4" s="1"/>
  <c r="DR194" i="4" s="1"/>
  <c r="DR195" i="4" s="1"/>
  <c r="DR196" i="4" s="1"/>
  <c r="DR197" i="4" s="1"/>
  <c r="DR198" i="4" s="1"/>
  <c r="DZ217" i="4"/>
  <c r="DZ192" i="4"/>
  <c r="DZ193" i="4" s="1"/>
  <c r="DZ194" i="4" s="1"/>
  <c r="DZ195" i="4" s="1"/>
  <c r="DZ196" i="4" s="1"/>
  <c r="DZ197" i="4" s="1"/>
  <c r="DZ198" i="4" s="1"/>
  <c r="EH217" i="4"/>
  <c r="EH192" i="4"/>
  <c r="EH193" i="4" s="1"/>
  <c r="EH194" i="4" s="1"/>
  <c r="EH195" i="4" s="1"/>
  <c r="EH196" i="4" s="1"/>
  <c r="EH197" i="4" s="1"/>
  <c r="EH198" i="4" s="1"/>
  <c r="EP217" i="4"/>
  <c r="EP192" i="4"/>
  <c r="EP193" i="4" s="1"/>
  <c r="EP194" i="4" s="1"/>
  <c r="EP195" i="4" s="1"/>
  <c r="EP196" i="4" s="1"/>
  <c r="EP197" i="4" s="1"/>
  <c r="EP198" i="4" s="1"/>
  <c r="EX217" i="4"/>
  <c r="EX192" i="4"/>
  <c r="EX193" i="4" s="1"/>
  <c r="EX194" i="4" s="1"/>
  <c r="FF217" i="4"/>
  <c r="FF192" i="4"/>
  <c r="FF193" i="4" s="1"/>
  <c r="FF194" i="4" s="1"/>
  <c r="FF195" i="4" s="1"/>
  <c r="FF196" i="4" s="1"/>
  <c r="FF197" i="4" s="1"/>
  <c r="FF198" i="4" s="1"/>
  <c r="FN217" i="4"/>
  <c r="FN192" i="4"/>
  <c r="FN193" i="4" s="1"/>
  <c r="FN194" i="4" s="1"/>
  <c r="GD217" i="4"/>
  <c r="GD192" i="4"/>
  <c r="GD193" i="4" s="1"/>
  <c r="GD194" i="4" s="1"/>
  <c r="GD195" i="4" s="1"/>
  <c r="GD196" i="4" s="1"/>
  <c r="GD197" i="4" s="1"/>
  <c r="GD198" i="4" s="1"/>
  <c r="GL217" i="4"/>
  <c r="GL192" i="4"/>
  <c r="GL193" i="4" s="1"/>
  <c r="GL194" i="4" s="1"/>
  <c r="GL195" i="4" s="1"/>
  <c r="GL196" i="4" s="1"/>
  <c r="GL197" i="4" s="1"/>
  <c r="GL198" i="4" s="1"/>
  <c r="CM218" i="4"/>
  <c r="CM193" i="4"/>
  <c r="CM194" i="4" s="1"/>
  <c r="CU218" i="4"/>
  <c r="CU193" i="4"/>
  <c r="DC218" i="4"/>
  <c r="DC193" i="4"/>
  <c r="DK218" i="4"/>
  <c r="DK193" i="4"/>
  <c r="DS218" i="4"/>
  <c r="DS193" i="4"/>
  <c r="DS194" i="4" s="1"/>
  <c r="EA218" i="4"/>
  <c r="EA193" i="4"/>
  <c r="EA194" i="4" s="1"/>
  <c r="EI218" i="4"/>
  <c r="EI193" i="4"/>
  <c r="EI194" i="4" s="1"/>
  <c r="EI195" i="4" s="1"/>
  <c r="EI196" i="4" s="1"/>
  <c r="EI197" i="4" s="1"/>
  <c r="EQ218" i="4"/>
  <c r="EQ193" i="4"/>
  <c r="EY218" i="4"/>
  <c r="EY193" i="4"/>
  <c r="EY194" i="4" s="1"/>
  <c r="FG218" i="4"/>
  <c r="FG193" i="4"/>
  <c r="FO218" i="4"/>
  <c r="FO193" i="4"/>
  <c r="FO194" i="4" s="1"/>
  <c r="FO195" i="4" s="1"/>
  <c r="FO196" i="4" s="1"/>
  <c r="FO197" i="4" s="1"/>
  <c r="FO198" i="4" s="1"/>
  <c r="FW218" i="4"/>
  <c r="FW193" i="4"/>
  <c r="GE218" i="4"/>
  <c r="GE193" i="4"/>
  <c r="GE194" i="4" s="1"/>
  <c r="GE195" i="4" s="1"/>
  <c r="GE196" i="4" s="1"/>
  <c r="GE197" i="4" s="1"/>
  <c r="GE198" i="4" s="1"/>
  <c r="GM218" i="4"/>
  <c r="GM193" i="4"/>
  <c r="CV219" i="4"/>
  <c r="DD219" i="4"/>
  <c r="DL219" i="4"/>
  <c r="DT219" i="4"/>
  <c r="EB219" i="4"/>
  <c r="EJ219" i="4"/>
  <c r="ER219" i="4"/>
  <c r="EZ219" i="4"/>
  <c r="FH219" i="4"/>
  <c r="FP219" i="4"/>
  <c r="FX219" i="4"/>
  <c r="GF219" i="4"/>
  <c r="GN219" i="4"/>
  <c r="CQ220" i="4"/>
  <c r="CY220" i="4"/>
  <c r="DG220" i="4"/>
  <c r="DO220" i="4"/>
  <c r="DW220" i="4"/>
  <c r="EE220" i="4"/>
  <c r="EM220" i="4"/>
  <c r="EU220" i="4"/>
  <c r="FC220" i="4"/>
  <c r="FK220" i="4"/>
  <c r="FS220" i="4"/>
  <c r="GA220" i="4"/>
  <c r="GI220" i="4"/>
  <c r="CO236" i="4"/>
  <c r="CW236" i="4"/>
  <c r="DE236" i="4"/>
  <c r="DM236" i="4"/>
  <c r="DU236" i="4"/>
  <c r="EC236" i="4"/>
  <c r="EK236" i="4"/>
  <c r="ES236" i="4"/>
  <c r="FA236" i="4"/>
  <c r="FI236" i="4"/>
  <c r="FQ236" i="4"/>
  <c r="FY236" i="4"/>
  <c r="GG236" i="4"/>
  <c r="GO236" i="4"/>
  <c r="CQ234" i="4"/>
  <c r="CY234" i="4"/>
  <c r="DG234" i="4"/>
  <c r="DO234" i="4"/>
  <c r="DW234" i="4"/>
  <c r="EE234" i="4"/>
  <c r="EM234" i="4"/>
  <c r="EM209" i="4"/>
  <c r="EM210" i="4" s="1"/>
  <c r="EM211" i="4" s="1"/>
  <c r="EM212" i="4" s="1"/>
  <c r="EM213" i="4" s="1"/>
  <c r="EU234" i="4"/>
  <c r="FC234" i="4"/>
  <c r="FK234" i="4"/>
  <c r="FS234" i="4"/>
  <c r="GA234" i="4"/>
  <c r="GI234" i="4"/>
  <c r="CO235" i="4"/>
  <c r="CW235" i="4"/>
  <c r="DE235" i="4"/>
  <c r="DM235" i="4"/>
  <c r="DU235" i="4"/>
  <c r="EC235" i="4"/>
  <c r="EK235" i="4"/>
  <c r="ES235" i="4"/>
  <c r="FA235" i="4"/>
  <c r="FI235" i="4"/>
  <c r="FQ235" i="4"/>
  <c r="FY235" i="4"/>
  <c r="GG235" i="4"/>
  <c r="GO235" i="4"/>
  <c r="FW194" i="4"/>
  <c r="FJ196" i="4"/>
  <c r="FJ197" i="4" s="1"/>
  <c r="FJ198" i="4" s="1"/>
  <c r="CK217" i="4"/>
  <c r="CK192" i="4"/>
  <c r="CK193" i="4" s="1"/>
  <c r="CK194" i="4" s="1"/>
  <c r="CK195" i="4" s="1"/>
  <c r="CK196" i="4" s="1"/>
  <c r="CK197" i="4" s="1"/>
  <c r="DA217" i="4"/>
  <c r="DA192" i="4"/>
  <c r="DA193" i="4" s="1"/>
  <c r="DA194" i="4" s="1"/>
  <c r="DA195" i="4" s="1"/>
  <c r="DA196" i="4" s="1"/>
  <c r="DA197" i="4" s="1"/>
  <c r="DI217" i="4"/>
  <c r="DI192" i="4"/>
  <c r="DI193" i="4" s="1"/>
  <c r="DI194" i="4" s="1"/>
  <c r="DI195" i="4" s="1"/>
  <c r="DI196" i="4" s="1"/>
  <c r="DQ217" i="4"/>
  <c r="DQ192" i="4"/>
  <c r="DQ193" i="4" s="1"/>
  <c r="DQ194" i="4" s="1"/>
  <c r="DQ195" i="4" s="1"/>
  <c r="DQ196" i="4" s="1"/>
  <c r="DQ197" i="4" s="1"/>
  <c r="DQ198" i="4" s="1"/>
  <c r="DY217" i="4"/>
  <c r="DY192" i="4"/>
  <c r="DY193" i="4" s="1"/>
  <c r="DY194" i="4" s="1"/>
  <c r="DY195" i="4" s="1"/>
  <c r="DY196" i="4" s="1"/>
  <c r="DY197" i="4" s="1"/>
  <c r="DY198" i="4" s="1"/>
  <c r="EO217" i="4"/>
  <c r="EO192" i="4"/>
  <c r="EO193" i="4" s="1"/>
  <c r="EO194" i="4" s="1"/>
  <c r="EO195" i="4" s="1"/>
  <c r="EO196" i="4" s="1"/>
  <c r="EO197" i="4" s="1"/>
  <c r="EO198" i="4" s="1"/>
  <c r="EW217" i="4"/>
  <c r="EW192" i="4"/>
  <c r="EW193" i="4" s="1"/>
  <c r="EW194" i="4" s="1"/>
  <c r="EW195" i="4" s="1"/>
  <c r="FM217" i="4"/>
  <c r="FM192" i="4"/>
  <c r="FM193" i="4" s="1"/>
  <c r="FM194" i="4" s="1"/>
  <c r="FM195" i="4" s="1"/>
  <c r="FM196" i="4" s="1"/>
  <c r="FM197" i="4" s="1"/>
  <c r="FM198" i="4" s="1"/>
  <c r="GC217" i="4"/>
  <c r="GC192" i="4"/>
  <c r="GC193" i="4" s="1"/>
  <c r="GC194" i="4" s="1"/>
  <c r="GC195" i="4" s="1"/>
  <c r="GC196" i="4" s="1"/>
  <c r="GC197" i="4" s="1"/>
  <c r="GC198" i="4" s="1"/>
  <c r="GK217" i="4"/>
  <c r="GK192" i="4"/>
  <c r="GK193" i="4" s="1"/>
  <c r="GK194" i="4" s="1"/>
  <c r="GK195" i="4" s="1"/>
  <c r="GK196" i="4" s="1"/>
  <c r="GK197" i="4" s="1"/>
  <c r="GK198" i="4" s="1"/>
  <c r="DD218" i="4"/>
  <c r="DT218" i="4"/>
  <c r="DT193" i="4"/>
  <c r="DT194" i="4" s="1"/>
  <c r="DT195" i="4" s="1"/>
  <c r="DT196" i="4" s="1"/>
  <c r="DT197" i="4" s="1"/>
  <c r="DT198" i="4" s="1"/>
  <c r="ER218" i="4"/>
  <c r="ER193" i="4"/>
  <c r="ER194" i="4" s="1"/>
  <c r="ER195" i="4" s="1"/>
  <c r="ER196" i="4" s="1"/>
  <c r="ER197" i="4" s="1"/>
  <c r="ER198" i="4" s="1"/>
  <c r="FP218" i="4"/>
  <c r="GF218" i="4"/>
  <c r="CY219" i="4"/>
  <c r="CY194" i="4"/>
  <c r="CY195" i="4" s="1"/>
  <c r="CY196" i="4" s="1"/>
  <c r="CY197" i="4" s="1"/>
  <c r="DG219" i="4"/>
  <c r="DO219" i="4"/>
  <c r="DW219" i="4"/>
  <c r="EM219" i="4"/>
  <c r="EU219" i="4"/>
  <c r="FC219" i="4"/>
  <c r="FK219" i="4"/>
  <c r="FS219" i="4"/>
  <c r="GA219" i="4"/>
  <c r="GI219" i="4"/>
  <c r="CL220" i="4"/>
  <c r="CT220" i="4"/>
  <c r="DJ220" i="4"/>
  <c r="DZ220" i="4"/>
  <c r="EH220" i="4"/>
  <c r="EX220" i="4"/>
  <c r="EX195" i="4"/>
  <c r="EX196" i="4" s="1"/>
  <c r="EX197" i="4" s="1"/>
  <c r="EX198" i="4" s="1"/>
  <c r="FV220" i="4"/>
  <c r="GL220" i="4"/>
  <c r="CO221" i="4"/>
  <c r="DM221" i="4"/>
  <c r="DU221" i="4"/>
  <c r="EC221" i="4"/>
  <c r="FA221" i="4"/>
  <c r="FI221" i="4"/>
  <c r="FI196" i="4"/>
  <c r="FI197" i="4" s="1"/>
  <c r="FI198" i="4" s="1"/>
  <c r="FQ221" i="4"/>
  <c r="FY221" i="4"/>
  <c r="GO221" i="4"/>
  <c r="CR222" i="4"/>
  <c r="CR197" i="4"/>
  <c r="CZ222" i="4"/>
  <c r="DH222" i="4"/>
  <c r="DP222" i="4"/>
  <c r="DX222" i="4"/>
  <c r="DX197" i="4"/>
  <c r="DX198" i="4" s="1"/>
  <c r="EF222" i="4"/>
  <c r="EN222" i="4"/>
  <c r="EV222" i="4"/>
  <c r="FD222" i="4"/>
  <c r="FD197" i="4"/>
  <c r="FD198" i="4" s="1"/>
  <c r="FL222" i="4"/>
  <c r="GB222" i="4"/>
  <c r="GJ222" i="4"/>
  <c r="K223" i="4"/>
  <c r="S223" i="4"/>
  <c r="AI223" i="4"/>
  <c r="AQ223" i="4"/>
  <c r="BG223" i="4"/>
  <c r="BW223" i="4"/>
  <c r="CE223" i="4"/>
  <c r="DS223" i="4"/>
  <c r="EI223" i="4"/>
  <c r="EI198" i="4"/>
  <c r="FG223" i="4"/>
  <c r="FW223" i="4"/>
  <c r="GE223" i="4"/>
  <c r="CK233" i="4"/>
  <c r="CS233" i="4"/>
  <c r="DA233" i="4"/>
  <c r="DI233" i="4"/>
  <c r="DQ233" i="4"/>
  <c r="DY233" i="4"/>
  <c r="EG233" i="4"/>
  <c r="EO233" i="4"/>
  <c r="EW233" i="4"/>
  <c r="FE233" i="4"/>
  <c r="FM233" i="4"/>
  <c r="FU233" i="4"/>
  <c r="GC233" i="4"/>
  <c r="GK233" i="4"/>
  <c r="CR234" i="4"/>
  <c r="CZ234" i="4"/>
  <c r="DH234" i="4"/>
  <c r="DP234" i="4"/>
  <c r="DX234" i="4"/>
  <c r="EF234" i="4"/>
  <c r="EN234" i="4"/>
  <c r="EV234" i="4"/>
  <c r="FD234" i="4"/>
  <c r="FL234" i="4"/>
  <c r="FT234" i="4"/>
  <c r="GB234" i="4"/>
  <c r="GJ234" i="4"/>
  <c r="CP235" i="4"/>
  <c r="CX235" i="4"/>
  <c r="DF235" i="4"/>
  <c r="DN235" i="4"/>
  <c r="DV235" i="4"/>
  <c r="ED235" i="4"/>
  <c r="EL235" i="4"/>
  <c r="ET235" i="4"/>
  <c r="FB235" i="4"/>
  <c r="FJ235" i="4"/>
  <c r="FJ210" i="4"/>
  <c r="FJ211" i="4" s="1"/>
  <c r="FJ212" i="4" s="1"/>
  <c r="FJ213" i="4" s="1"/>
  <c r="FR235" i="4"/>
  <c r="FZ235" i="4"/>
  <c r="GH235" i="4"/>
  <c r="GP235" i="4"/>
  <c r="GP210" i="4"/>
  <c r="GP211" i="4" s="1"/>
  <c r="GP212" i="4" s="1"/>
  <c r="GP213" i="4" s="1"/>
  <c r="CS192" i="4"/>
  <c r="CS193" i="4" s="1"/>
  <c r="CS194" i="4" s="1"/>
  <c r="CS195" i="4" s="1"/>
  <c r="CS196" i="4" s="1"/>
  <c r="FE192" i="4"/>
  <c r="FE193" i="4" s="1"/>
  <c r="FE194" i="4" s="1"/>
  <c r="FE195" i="4" s="1"/>
  <c r="FE196" i="4" s="1"/>
  <c r="FE197" i="4" s="1"/>
  <c r="FE198" i="4" s="1"/>
  <c r="GF192" i="4"/>
  <c r="GF193" i="4" s="1"/>
  <c r="GF194" i="4" s="1"/>
  <c r="GF195" i="4" s="1"/>
  <c r="GF196" i="4" s="1"/>
  <c r="GF197" i="4" s="1"/>
  <c r="GF198" i="4" s="1"/>
  <c r="CV193" i="4"/>
  <c r="CV194" i="4" s="1"/>
  <c r="CV195" i="4" s="1"/>
  <c r="CV196" i="4" s="1"/>
  <c r="CV197" i="4" s="1"/>
  <c r="DC194" i="4"/>
  <c r="DC195" i="4" s="1"/>
  <c r="DC196" i="4" s="1"/>
  <c r="DC197" i="4" s="1"/>
  <c r="DI197" i="4"/>
  <c r="EB207" i="4"/>
  <c r="EN219" i="4"/>
  <c r="EV219" i="4"/>
  <c r="EV194" i="4"/>
  <c r="EV195" i="4" s="1"/>
  <c r="EV196" i="4" s="1"/>
  <c r="EV197" i="4" s="1"/>
  <c r="EV198" i="4" s="1"/>
  <c r="FD219" i="4"/>
  <c r="FT219" i="4"/>
  <c r="GB219" i="4"/>
  <c r="CM220" i="4"/>
  <c r="CM195" i="4"/>
  <c r="CM196" i="4" s="1"/>
  <c r="DK220" i="4"/>
  <c r="EA220" i="4"/>
  <c r="EA195" i="4"/>
  <c r="EA196" i="4" s="1"/>
  <c r="EA197" i="4" s="1"/>
  <c r="EA198" i="4" s="1"/>
  <c r="EI220" i="4"/>
  <c r="EY220" i="4"/>
  <c r="EY195" i="4"/>
  <c r="EY196" i="4" s="1"/>
  <c r="EY197" i="4" s="1"/>
  <c r="EY198" i="4" s="1"/>
  <c r="FO220" i="4"/>
  <c r="FW220" i="4"/>
  <c r="FW195" i="4"/>
  <c r="FW196" i="4" s="1"/>
  <c r="FW197" i="4" s="1"/>
  <c r="FW198" i="4" s="1"/>
  <c r="CP221" i="4"/>
  <c r="CX221" i="4"/>
  <c r="DF221" i="4"/>
  <c r="DN221" i="4"/>
  <c r="ED221" i="4"/>
  <c r="EL221" i="4"/>
  <c r="ET221" i="4"/>
  <c r="FB221" i="4"/>
  <c r="FR221" i="4"/>
  <c r="FZ221" i="4"/>
  <c r="GH221" i="4"/>
  <c r="GP221" i="4"/>
  <c r="CK222" i="4"/>
  <c r="CS222" i="4"/>
  <c r="CS197" i="4"/>
  <c r="DA222" i="4"/>
  <c r="DQ222" i="4"/>
  <c r="DY222" i="4"/>
  <c r="EO222" i="4"/>
  <c r="FE222" i="4"/>
  <c r="FM222" i="4"/>
  <c r="GC222" i="4"/>
  <c r="T223" i="4"/>
  <c r="AJ223" i="4"/>
  <c r="BH223" i="4"/>
  <c r="BX223" i="4"/>
  <c r="CF223" i="4"/>
  <c r="DT223" i="4"/>
  <c r="ER223" i="4"/>
  <c r="EZ223" i="4"/>
  <c r="FH223" i="4"/>
  <c r="GF223" i="4"/>
  <c r="GN223" i="4"/>
  <c r="CL233" i="4"/>
  <c r="CT233" i="4"/>
  <c r="DB233" i="4"/>
  <c r="DJ233" i="4"/>
  <c r="DR233" i="4"/>
  <c r="DZ233" i="4"/>
  <c r="EH233" i="4"/>
  <c r="EP233" i="4"/>
  <c r="EX233" i="4"/>
  <c r="FF233" i="4"/>
  <c r="FN233" i="4"/>
  <c r="FV233" i="4"/>
  <c r="GD233" i="4"/>
  <c r="GL233" i="4"/>
  <c r="CK234" i="4"/>
  <c r="CS234" i="4"/>
  <c r="DA234" i="4"/>
  <c r="DI234" i="4"/>
  <c r="DQ234" i="4"/>
  <c r="DY234" i="4"/>
  <c r="EG234" i="4"/>
  <c r="EO234" i="4"/>
  <c r="EW234" i="4"/>
  <c r="FE234" i="4"/>
  <c r="FM234" i="4"/>
  <c r="FU234" i="4"/>
  <c r="GC234" i="4"/>
  <c r="GK234" i="4"/>
  <c r="EQ194" i="4"/>
  <c r="EQ195" i="4" s="1"/>
  <c r="EQ196" i="4" s="1"/>
  <c r="DS195" i="4"/>
  <c r="DS196" i="4" s="1"/>
  <c r="DS197" i="4" s="1"/>
  <c r="DS198" i="4" s="1"/>
  <c r="FN234" i="4"/>
  <c r="FV234" i="4"/>
  <c r="GD234" i="4"/>
  <c r="GL234" i="4"/>
  <c r="CK237" i="4"/>
  <c r="CS237" i="4"/>
  <c r="DA237" i="4"/>
  <c r="DI237" i="4"/>
  <c r="DQ237" i="4"/>
  <c r="DY237" i="4"/>
  <c r="EG237" i="4"/>
  <c r="EO237" i="4"/>
  <c r="EW237" i="4"/>
  <c r="FE237" i="4"/>
  <c r="FM237" i="4"/>
  <c r="FU237" i="4"/>
  <c r="GC237" i="4"/>
  <c r="GK237" i="4"/>
  <c r="M238" i="4"/>
  <c r="U238" i="4"/>
  <c r="AC238" i="4"/>
  <c r="AK238" i="4"/>
  <c r="AS238" i="4"/>
  <c r="BA238" i="4"/>
  <c r="BI238" i="4"/>
  <c r="BQ238" i="4"/>
  <c r="BY238" i="4"/>
  <c r="CG238" i="4"/>
  <c r="EG192" i="4"/>
  <c r="EG193" i="4" s="1"/>
  <c r="EG194" i="4" s="1"/>
  <c r="EG195" i="4" s="1"/>
  <c r="EG196" i="4" s="1"/>
  <c r="EG197" i="4" s="1"/>
  <c r="EG198" i="4" s="1"/>
  <c r="FH192" i="4"/>
  <c r="FH193" i="4" s="1"/>
  <c r="FH194" i="4" s="1"/>
  <c r="FH195" i="4" s="1"/>
  <c r="FH196" i="4" s="1"/>
  <c r="FH197" i="4" s="1"/>
  <c r="FH198" i="4" s="1"/>
  <c r="FT193" i="4"/>
  <c r="FT194" i="4" s="1"/>
  <c r="FT195" i="4" s="1"/>
  <c r="FT196" i="4" s="1"/>
  <c r="FT197" i="4" s="1"/>
  <c r="FT198" i="4" s="1"/>
  <c r="DK194" i="4"/>
  <c r="DK195" i="4" s="1"/>
  <c r="DK196" i="4" s="1"/>
  <c r="DK197" i="4" s="1"/>
  <c r="DU195" i="4"/>
  <c r="DU196" i="4" s="1"/>
  <c r="DU197" i="4" s="1"/>
  <c r="DU198" i="4" s="1"/>
  <c r="FN195" i="4"/>
  <c r="FN196" i="4" s="1"/>
  <c r="FN197" i="4" s="1"/>
  <c r="FN198" i="4" s="1"/>
  <c r="FP207" i="4"/>
  <c r="EB217" i="4"/>
  <c r="EB192" i="4"/>
  <c r="EB193" i="4" s="1"/>
  <c r="EB194" i="4" s="1"/>
  <c r="EB195" i="4" s="1"/>
  <c r="EB196" i="4" s="1"/>
  <c r="EB197" i="4" s="1"/>
  <c r="EB198" i="4" s="1"/>
  <c r="EZ217" i="4"/>
  <c r="EZ192" i="4"/>
  <c r="EZ193" i="4" s="1"/>
  <c r="EZ194" i="4" s="1"/>
  <c r="EZ195" i="4" s="1"/>
  <c r="EZ196" i="4" s="1"/>
  <c r="EZ197" i="4" s="1"/>
  <c r="EZ198" i="4" s="1"/>
  <c r="FP217" i="4"/>
  <c r="FP192" i="4"/>
  <c r="FP193" i="4" s="1"/>
  <c r="FP194" i="4" s="1"/>
  <c r="FP195" i="4" s="1"/>
  <c r="FP196" i="4" s="1"/>
  <c r="FP197" i="4" s="1"/>
  <c r="FP198" i="4" s="1"/>
  <c r="GN217" i="4"/>
  <c r="GN192" i="4"/>
  <c r="GN193" i="4" s="1"/>
  <c r="GN194" i="4" s="1"/>
  <c r="GN195" i="4" s="1"/>
  <c r="GN196" i="4" s="1"/>
  <c r="GN197" i="4" s="1"/>
  <c r="GN198" i="4" s="1"/>
  <c r="CQ218" i="4"/>
  <c r="CQ193" i="4"/>
  <c r="CQ194" i="4" s="1"/>
  <c r="CQ195" i="4" s="1"/>
  <c r="CQ196" i="4" s="1"/>
  <c r="CQ197" i="4" s="1"/>
  <c r="CY218" i="4"/>
  <c r="DG218" i="4"/>
  <c r="DG193" i="4"/>
  <c r="DG194" i="4" s="1"/>
  <c r="DG195" i="4" s="1"/>
  <c r="DG196" i="4" s="1"/>
  <c r="DG197" i="4" s="1"/>
  <c r="DW218" i="4"/>
  <c r="DW193" i="4"/>
  <c r="DW194" i="4" s="1"/>
  <c r="DW195" i="4" s="1"/>
  <c r="DW196" i="4" s="1"/>
  <c r="DW197" i="4" s="1"/>
  <c r="EE218" i="4"/>
  <c r="EE193" i="4"/>
  <c r="EE194" i="4" s="1"/>
  <c r="EE195" i="4" s="1"/>
  <c r="EE196" i="4" s="1"/>
  <c r="EE197" i="4" s="1"/>
  <c r="EE198" i="4" s="1"/>
  <c r="EM218" i="4"/>
  <c r="EM193" i="4"/>
  <c r="EM194" i="4" s="1"/>
  <c r="EM195" i="4" s="1"/>
  <c r="EM196" i="4" s="1"/>
  <c r="EM197" i="4" s="1"/>
  <c r="EM198" i="4" s="1"/>
  <c r="EU218" i="4"/>
  <c r="EU193" i="4"/>
  <c r="EU194" i="4" s="1"/>
  <c r="EU195" i="4" s="1"/>
  <c r="EU196" i="4" s="1"/>
  <c r="EU197" i="4" s="1"/>
  <c r="EU198" i="4" s="1"/>
  <c r="FC218" i="4"/>
  <c r="FC193" i="4"/>
  <c r="FC194" i="4" s="1"/>
  <c r="FC195" i="4" s="1"/>
  <c r="FC196" i="4" s="1"/>
  <c r="FC197" i="4" s="1"/>
  <c r="FK218" i="4"/>
  <c r="FK193" i="4"/>
  <c r="FK194" i="4" s="1"/>
  <c r="FK195" i="4" s="1"/>
  <c r="FK196" i="4" s="1"/>
  <c r="FK197" i="4" s="1"/>
  <c r="FK198" i="4" s="1"/>
  <c r="FS193" i="4"/>
  <c r="FS194" i="4" s="1"/>
  <c r="FS195" i="4" s="1"/>
  <c r="FS196" i="4" s="1"/>
  <c r="FS197" i="4" s="1"/>
  <c r="FS198" i="4" s="1"/>
  <c r="FS218" i="4"/>
  <c r="GA218" i="4"/>
  <c r="GA193" i="4"/>
  <c r="GA194" i="4" s="1"/>
  <c r="GA195" i="4" s="1"/>
  <c r="GA196" i="4" s="1"/>
  <c r="GA197" i="4" s="1"/>
  <c r="GA198" i="4" s="1"/>
  <c r="GI218" i="4"/>
  <c r="GI193" i="4"/>
  <c r="GI194" i="4" s="1"/>
  <c r="GI195" i="4" s="1"/>
  <c r="GI196" i="4" s="1"/>
  <c r="GI197" i="4" s="1"/>
  <c r="GI198" i="4" s="1"/>
  <c r="CT219" i="4"/>
  <c r="CT194" i="4"/>
  <c r="CT195" i="4" s="1"/>
  <c r="CT196" i="4" s="1"/>
  <c r="CT197" i="4" s="1"/>
  <c r="DJ219" i="4"/>
  <c r="DR219" i="4"/>
  <c r="EH219" i="4"/>
  <c r="FF219" i="4"/>
  <c r="FV219" i="4"/>
  <c r="CW220" i="4"/>
  <c r="DE220" i="4"/>
  <c r="DM220" i="4"/>
  <c r="EK220" i="4"/>
  <c r="ES220" i="4"/>
  <c r="FA220" i="4"/>
  <c r="FI220" i="4"/>
  <c r="FY220" i="4"/>
  <c r="GG220" i="4"/>
  <c r="GO220" i="4"/>
  <c r="CR221" i="4"/>
  <c r="CZ221" i="4"/>
  <c r="DH221" i="4"/>
  <c r="DH196" i="4"/>
  <c r="DH197" i="4" s="1"/>
  <c r="DP221" i="4"/>
  <c r="DX221" i="4"/>
  <c r="EF221" i="4"/>
  <c r="EN221" i="4"/>
  <c r="EV221" i="4"/>
  <c r="FL221" i="4"/>
  <c r="FT221" i="4"/>
  <c r="GB221" i="4"/>
  <c r="GJ221" i="4"/>
  <c r="DC222" i="4"/>
  <c r="DS222" i="4"/>
  <c r="EQ222" i="4"/>
  <c r="EQ197" i="4"/>
  <c r="EQ198" i="4" s="1"/>
  <c r="FG222" i="4"/>
  <c r="FO222" i="4"/>
  <c r="GE222" i="4"/>
  <c r="N223" i="4"/>
  <c r="V223" i="4"/>
  <c r="AT223" i="4"/>
  <c r="BB223" i="4"/>
  <c r="BJ223" i="4"/>
  <c r="CH223" i="4"/>
  <c r="DV223" i="4"/>
  <c r="CN232" i="4"/>
  <c r="CN207" i="4"/>
  <c r="CV232" i="4"/>
  <c r="CV207" i="4"/>
  <c r="DD232" i="4"/>
  <c r="DD207" i="4"/>
  <c r="DL232" i="4"/>
  <c r="DL207" i="4"/>
  <c r="DT232" i="4"/>
  <c r="DT207" i="4"/>
  <c r="EJ232" i="4"/>
  <c r="EJ207" i="4"/>
  <c r="EJ208" i="4" s="1"/>
  <c r="EJ209" i="4" s="1"/>
  <c r="EJ210" i="4" s="1"/>
  <c r="EJ211" i="4" s="1"/>
  <c r="EJ212" i="4" s="1"/>
  <c r="EJ213" i="4" s="1"/>
  <c r="ER232" i="4"/>
  <c r="ER207" i="4"/>
  <c r="EZ232" i="4"/>
  <c r="EZ207" i="4"/>
  <c r="EZ208" i="4" s="1"/>
  <c r="EZ209" i="4" s="1"/>
  <c r="EZ210" i="4" s="1"/>
  <c r="EZ211" i="4" s="1"/>
  <c r="EZ212" i="4" s="1"/>
  <c r="EZ213" i="4" s="1"/>
  <c r="FH232" i="4"/>
  <c r="FH207" i="4"/>
  <c r="FX232" i="4"/>
  <c r="FX207" i="4"/>
  <c r="FX208" i="4" s="1"/>
  <c r="FX209" i="4" s="1"/>
  <c r="FX210" i="4" s="1"/>
  <c r="FX211" i="4" s="1"/>
  <c r="FX212" i="4" s="1"/>
  <c r="FX213" i="4" s="1"/>
  <c r="GF232" i="4"/>
  <c r="GF207" i="4"/>
  <c r="GN232" i="4"/>
  <c r="GN207" i="4"/>
  <c r="CN233" i="4"/>
  <c r="CN208" i="4"/>
  <c r="CV233" i="4"/>
  <c r="CV208" i="4"/>
  <c r="CV209" i="4" s="1"/>
  <c r="CV210" i="4" s="1"/>
  <c r="CV211" i="4" s="1"/>
  <c r="CV212" i="4" s="1"/>
  <c r="DD233" i="4"/>
  <c r="DD208" i="4"/>
  <c r="DL233" i="4"/>
  <c r="DL208" i="4"/>
  <c r="DT233" i="4"/>
  <c r="DT208" i="4"/>
  <c r="EB233" i="4"/>
  <c r="EB208" i="4"/>
  <c r="EB209" i="4" s="1"/>
  <c r="EB210" i="4" s="1"/>
  <c r="EB211" i="4" s="1"/>
  <c r="EB212" i="4" s="1"/>
  <c r="EB213" i="4" s="1"/>
  <c r="EJ233" i="4"/>
  <c r="ER233" i="4"/>
  <c r="ER208" i="4"/>
  <c r="EZ233" i="4"/>
  <c r="FH233" i="4"/>
  <c r="FH208" i="4"/>
  <c r="FH209" i="4" s="1"/>
  <c r="FH210" i="4" s="1"/>
  <c r="FH211" i="4" s="1"/>
  <c r="FH212" i="4" s="1"/>
  <c r="FH213" i="4" s="1"/>
  <c r="FP233" i="4"/>
  <c r="FP208" i="4"/>
  <c r="FX233" i="4"/>
  <c r="GF233" i="4"/>
  <c r="GF208" i="4"/>
  <c r="GN233" i="4"/>
  <c r="GN208" i="4"/>
  <c r="GN209" i="4" s="1"/>
  <c r="GN210" i="4" s="1"/>
  <c r="GN211" i="4" s="1"/>
  <c r="GN212" i="4" s="1"/>
  <c r="GN213" i="4" s="1"/>
  <c r="CM236" i="4"/>
  <c r="CU236" i="4"/>
  <c r="DC236" i="4"/>
  <c r="DK236" i="4"/>
  <c r="DS236" i="4"/>
  <c r="EA236" i="4"/>
  <c r="EI236" i="4"/>
  <c r="EQ236" i="4"/>
  <c r="EY236" i="4"/>
  <c r="FG236" i="4"/>
  <c r="FO236" i="4"/>
  <c r="FW236" i="4"/>
  <c r="GE236" i="4"/>
  <c r="GM236" i="4"/>
  <c r="CL237" i="4"/>
  <c r="CT237" i="4"/>
  <c r="DB237" i="4"/>
  <c r="DJ237" i="4"/>
  <c r="DR237" i="4"/>
  <c r="DZ237" i="4"/>
  <c r="EH237" i="4"/>
  <c r="EP237" i="4"/>
  <c r="EX237" i="4"/>
  <c r="FF237" i="4"/>
  <c r="FN237" i="4"/>
  <c r="FV237" i="4"/>
  <c r="GD237" i="4"/>
  <c r="GL237" i="4"/>
  <c r="N238" i="4"/>
  <c r="V238" i="4"/>
  <c r="AD238" i="4"/>
  <c r="AL238" i="4"/>
  <c r="AT238" i="4"/>
  <c r="BB238" i="4"/>
  <c r="BJ238" i="4"/>
  <c r="BR238" i="4"/>
  <c r="BZ238" i="4"/>
  <c r="CH238" i="4"/>
  <c r="DS238" i="4"/>
  <c r="EA238" i="4"/>
  <c r="EI238" i="4"/>
  <c r="EQ238" i="4"/>
  <c r="EY238" i="4"/>
  <c r="FG238" i="4"/>
  <c r="FO238" i="4"/>
  <c r="FW238" i="4"/>
  <c r="GE238" i="4"/>
  <c r="GM238" i="4"/>
  <c r="FY217" i="4"/>
  <c r="FY192" i="4"/>
  <c r="FY193" i="4" s="1"/>
  <c r="FY194" i="4" s="1"/>
  <c r="FY195" i="4" s="1"/>
  <c r="FY196" i="4" s="1"/>
  <c r="FY197" i="4" s="1"/>
  <c r="FY198" i="4" s="1"/>
  <c r="GG217" i="4"/>
  <c r="GG192" i="4"/>
  <c r="GG193" i="4" s="1"/>
  <c r="GG194" i="4" s="1"/>
  <c r="GG195" i="4" s="1"/>
  <c r="GG196" i="4" s="1"/>
  <c r="GG197" i="4" s="1"/>
  <c r="GG198" i="4" s="1"/>
  <c r="GO217" i="4"/>
  <c r="GO192" i="4"/>
  <c r="GO193" i="4" s="1"/>
  <c r="GO194" i="4" s="1"/>
  <c r="GO195" i="4" s="1"/>
  <c r="GO196" i="4" s="1"/>
  <c r="GO197" i="4" s="1"/>
  <c r="GO198" i="4" s="1"/>
  <c r="CR218" i="4"/>
  <c r="CZ218" i="4"/>
  <c r="CZ193" i="4"/>
  <c r="CZ194" i="4" s="1"/>
  <c r="CZ195" i="4" s="1"/>
  <c r="CZ196" i="4" s="1"/>
  <c r="CZ197" i="4" s="1"/>
  <c r="DP218" i="4"/>
  <c r="DX218" i="4"/>
  <c r="EF218" i="4"/>
  <c r="EF193" i="4"/>
  <c r="EF194" i="4" s="1"/>
  <c r="EF195" i="4" s="1"/>
  <c r="EF196" i="4" s="1"/>
  <c r="EF197" i="4" s="1"/>
  <c r="EF198" i="4" s="1"/>
  <c r="EN218" i="4"/>
  <c r="EN193" i="4"/>
  <c r="EN194" i="4" s="1"/>
  <c r="EN195" i="4" s="1"/>
  <c r="EN196" i="4" s="1"/>
  <c r="EN197" i="4" s="1"/>
  <c r="EN198" i="4" s="1"/>
  <c r="FD218" i="4"/>
  <c r="FL218" i="4"/>
  <c r="FL193" i="4"/>
  <c r="GB218" i="4"/>
  <c r="GB193" i="4"/>
  <c r="GB194" i="4" s="1"/>
  <c r="GB195" i="4" s="1"/>
  <c r="GB196" i="4" s="1"/>
  <c r="GB197" i="4" s="1"/>
  <c r="GB198" i="4" s="1"/>
  <c r="CU219" i="4"/>
  <c r="CU194" i="4"/>
  <c r="CU195" i="4" s="1"/>
  <c r="CU196" i="4" s="1"/>
  <c r="CU197" i="4" s="1"/>
  <c r="DS219" i="4"/>
  <c r="EI219" i="4"/>
  <c r="EY219" i="4"/>
  <c r="FG219" i="4"/>
  <c r="FG194" i="4"/>
  <c r="FG195" i="4" s="1"/>
  <c r="FG196" i="4" s="1"/>
  <c r="FG197" i="4" s="1"/>
  <c r="FG198" i="4" s="1"/>
  <c r="GE219" i="4"/>
  <c r="GM219" i="4"/>
  <c r="GM194" i="4"/>
  <c r="GM195" i="4" s="1"/>
  <c r="GM196" i="4" s="1"/>
  <c r="GM197" i="4" s="1"/>
  <c r="GM198" i="4" s="1"/>
  <c r="CP220" i="4"/>
  <c r="CX220" i="4"/>
  <c r="CX195" i="4"/>
  <c r="CX196" i="4" s="1"/>
  <c r="CX197" i="4" s="1"/>
  <c r="DN220" i="4"/>
  <c r="DV220" i="4"/>
  <c r="ED220" i="4"/>
  <c r="EL220" i="4"/>
  <c r="EL195" i="4"/>
  <c r="EL196" i="4" s="1"/>
  <c r="EL197" i="4" s="1"/>
  <c r="EL198" i="4" s="1"/>
  <c r="FB220" i="4"/>
  <c r="FJ220" i="4"/>
  <c r="FR220" i="4"/>
  <c r="FZ220" i="4"/>
  <c r="GH220" i="4"/>
  <c r="GP220" i="4"/>
  <c r="CK221" i="4"/>
  <c r="DA221" i="4"/>
  <c r="DI221" i="4"/>
  <c r="DY221" i="4"/>
  <c r="EO221" i="4"/>
  <c r="EW221" i="4"/>
  <c r="EW196" i="4"/>
  <c r="EW197" i="4" s="1"/>
  <c r="EW198" i="4" s="1"/>
  <c r="FM221" i="4"/>
  <c r="GK221" i="4"/>
  <c r="CV222" i="4"/>
  <c r="DD222" i="4"/>
  <c r="DD197" i="4"/>
  <c r="EB222" i="4"/>
  <c r="EJ222" i="4"/>
  <c r="ER222" i="4"/>
  <c r="FP222" i="4"/>
  <c r="FX222" i="4"/>
  <c r="GF222" i="4"/>
  <c r="GN222" i="4"/>
  <c r="W223" i="4"/>
  <c r="AE223" i="4"/>
  <c r="AM223" i="4"/>
  <c r="AU223" i="4"/>
  <c r="BK223" i="4"/>
  <c r="BS223" i="4"/>
  <c r="CA223" i="4"/>
  <c r="CI223" i="4"/>
  <c r="DW223" i="4"/>
  <c r="DW198" i="4"/>
  <c r="EE223" i="4"/>
  <c r="EM223" i="4"/>
  <c r="EU223" i="4"/>
  <c r="FC223" i="4"/>
  <c r="FC198" i="4"/>
  <c r="FK223" i="4"/>
  <c r="FS223" i="4"/>
  <c r="GA223" i="4"/>
  <c r="CO232" i="4"/>
  <c r="CO207" i="4"/>
  <c r="CO208" i="4" s="1"/>
  <c r="CO209" i="4" s="1"/>
  <c r="CO210" i="4" s="1"/>
  <c r="CO211" i="4" s="1"/>
  <c r="CO212" i="4" s="1"/>
  <c r="CW232" i="4"/>
  <c r="CW207" i="4"/>
  <c r="DE232" i="4"/>
  <c r="DE207" i="4"/>
  <c r="DM232" i="4"/>
  <c r="DM207" i="4"/>
  <c r="DM208" i="4" s="1"/>
  <c r="DM209" i="4" s="1"/>
  <c r="DM210" i="4" s="1"/>
  <c r="DM211" i="4" s="1"/>
  <c r="DM212" i="4" s="1"/>
  <c r="DU232" i="4"/>
  <c r="DU207" i="4"/>
  <c r="DU208" i="4" s="1"/>
  <c r="DU209" i="4" s="1"/>
  <c r="DU210" i="4" s="1"/>
  <c r="DU211" i="4" s="1"/>
  <c r="DU212" i="4" s="1"/>
  <c r="DU213" i="4" s="1"/>
  <c r="EC232" i="4"/>
  <c r="EC207" i="4"/>
  <c r="EK232" i="4"/>
  <c r="EK207" i="4"/>
  <c r="ES232" i="4"/>
  <c r="ES207" i="4"/>
  <c r="ES208" i="4" s="1"/>
  <c r="ES209" i="4" s="1"/>
  <c r="ES210" i="4" s="1"/>
  <c r="ES211" i="4" s="1"/>
  <c r="ES212" i="4" s="1"/>
  <c r="ES213" i="4" s="1"/>
  <c r="FA232" i="4"/>
  <c r="FA207" i="4"/>
  <c r="FA208" i="4" s="1"/>
  <c r="FA209" i="4" s="1"/>
  <c r="FA210" i="4" s="1"/>
  <c r="FA211" i="4" s="1"/>
  <c r="FA212" i="4" s="1"/>
  <c r="FA213" i="4" s="1"/>
  <c r="FI232" i="4"/>
  <c r="FI207" i="4"/>
  <c r="FQ232" i="4"/>
  <c r="FQ207" i="4"/>
  <c r="FY232" i="4"/>
  <c r="FY207" i="4"/>
  <c r="FY208" i="4" s="1"/>
  <c r="FY209" i="4" s="1"/>
  <c r="FY210" i="4" s="1"/>
  <c r="FY211" i="4" s="1"/>
  <c r="FY212" i="4" s="1"/>
  <c r="FY213" i="4" s="1"/>
  <c r="GG232" i="4"/>
  <c r="GG207" i="4"/>
  <c r="GG208" i="4" s="1"/>
  <c r="GG209" i="4" s="1"/>
  <c r="GG210" i="4" s="1"/>
  <c r="GG211" i="4" s="1"/>
  <c r="GG212" i="4" s="1"/>
  <c r="GG213" i="4" s="1"/>
  <c r="GO232" i="4"/>
  <c r="GO207" i="4"/>
  <c r="CO233" i="4"/>
  <c r="CW233" i="4"/>
  <c r="CW208" i="4"/>
  <c r="DE233" i="4"/>
  <c r="DE208" i="4"/>
  <c r="DE209" i="4" s="1"/>
  <c r="DE210" i="4" s="1"/>
  <c r="DE211" i="4" s="1"/>
  <c r="DE212" i="4" s="1"/>
  <c r="DM233" i="4"/>
  <c r="DU233" i="4"/>
  <c r="EC233" i="4"/>
  <c r="EC208" i="4"/>
  <c r="EK233" i="4"/>
  <c r="EK208" i="4"/>
  <c r="EK209" i="4" s="1"/>
  <c r="EK210" i="4" s="1"/>
  <c r="EK211" i="4" s="1"/>
  <c r="EK212" i="4" s="1"/>
  <c r="EK213" i="4" s="1"/>
  <c r="ES233" i="4"/>
  <c r="FA233" i="4"/>
  <c r="FI233" i="4"/>
  <c r="FI208" i="4"/>
  <c r="FQ233" i="4"/>
  <c r="FQ208" i="4"/>
  <c r="FQ209" i="4" s="1"/>
  <c r="FQ210" i="4" s="1"/>
  <c r="FQ211" i="4" s="1"/>
  <c r="FQ212" i="4" s="1"/>
  <c r="FQ213" i="4" s="1"/>
  <c r="FY233" i="4"/>
  <c r="GG233" i="4"/>
  <c r="GO233" i="4"/>
  <c r="GO208" i="4"/>
  <c r="CL235" i="4"/>
  <c r="CT235" i="4"/>
  <c r="DB235" i="4"/>
  <c r="DJ235" i="4"/>
  <c r="DR235" i="4"/>
  <c r="DZ235" i="4"/>
  <c r="EH235" i="4"/>
  <c r="EP235" i="4"/>
  <c r="EX235" i="4"/>
  <c r="FF235" i="4"/>
  <c r="FN235" i="4"/>
  <c r="FV235" i="4"/>
  <c r="GD235" i="4"/>
  <c r="GL235" i="4"/>
  <c r="CM237" i="4"/>
  <c r="CU237" i="4"/>
  <c r="DC237" i="4"/>
  <c r="DK237" i="4"/>
  <c r="DS237" i="4"/>
  <c r="EA237" i="4"/>
  <c r="EI237" i="4"/>
  <c r="EQ237" i="4"/>
  <c r="EY237" i="4"/>
  <c r="FG237" i="4"/>
  <c r="FO237" i="4"/>
  <c r="FW237" i="4"/>
  <c r="GE237" i="4"/>
  <c r="GM237" i="4"/>
  <c r="O238" i="4"/>
  <c r="W238" i="4"/>
  <c r="AE238" i="4"/>
  <c r="AM238" i="4"/>
  <c r="AU238" i="4"/>
  <c r="BC238" i="4"/>
  <c r="BK238" i="4"/>
  <c r="BS238" i="4"/>
  <c r="CA238" i="4"/>
  <c r="CI238" i="4"/>
  <c r="DT238" i="4"/>
  <c r="EB238" i="4"/>
  <c r="EJ238" i="4"/>
  <c r="ER238" i="4"/>
  <c r="EZ238" i="4"/>
  <c r="FH238" i="4"/>
  <c r="FP238" i="4"/>
  <c r="FX238" i="4"/>
  <c r="GF238" i="4"/>
  <c r="GN238" i="4"/>
  <c r="EJ192" i="4"/>
  <c r="EJ193" i="4" s="1"/>
  <c r="EJ194" i="4" s="1"/>
  <c r="EJ195" i="4" s="1"/>
  <c r="EJ196" i="4" s="1"/>
  <c r="EJ197" i="4" s="1"/>
  <c r="EJ198" i="4" s="1"/>
  <c r="FU192" i="4"/>
  <c r="FU193" i="4" s="1"/>
  <c r="FU194" i="4" s="1"/>
  <c r="FU195" i="4" s="1"/>
  <c r="FU196" i="4" s="1"/>
  <c r="FU197" i="4" s="1"/>
  <c r="FU198" i="4" s="1"/>
  <c r="DL193" i="4"/>
  <c r="DL194" i="4" s="1"/>
  <c r="DL195" i="4" s="1"/>
  <c r="DL196" i="4" s="1"/>
  <c r="DL197" i="4" s="1"/>
  <c r="FX193" i="4"/>
  <c r="FX194" i="4" s="1"/>
  <c r="FX195" i="4" s="1"/>
  <c r="FX196" i="4" s="1"/>
  <c r="FX197" i="4" s="1"/>
  <c r="FX198" i="4" s="1"/>
  <c r="FL194" i="4"/>
  <c r="FL195" i="4" s="1"/>
  <c r="FL196" i="4" s="1"/>
  <c r="FL197" i="4" s="1"/>
  <c r="FL198" i="4" s="1"/>
  <c r="CM197" i="4"/>
  <c r="CK232" i="4"/>
  <c r="CK207" i="4"/>
  <c r="CK208" i="4" s="1"/>
  <c r="CK209" i="4" s="1"/>
  <c r="CK210" i="4" s="1"/>
  <c r="CK211" i="4" s="1"/>
  <c r="CK212" i="4" s="1"/>
  <c r="CS232" i="4"/>
  <c r="CS207" i="4"/>
  <c r="CS208" i="4" s="1"/>
  <c r="CS209" i="4" s="1"/>
  <c r="CS210" i="4" s="1"/>
  <c r="CS211" i="4" s="1"/>
  <c r="CS212" i="4" s="1"/>
  <c r="DA232" i="4"/>
  <c r="DA207" i="4"/>
  <c r="DA208" i="4" s="1"/>
  <c r="DA209" i="4" s="1"/>
  <c r="DA210" i="4" s="1"/>
  <c r="DA211" i="4" s="1"/>
  <c r="DA212" i="4" s="1"/>
  <c r="DI232" i="4"/>
  <c r="DI207" i="4"/>
  <c r="DI208" i="4" s="1"/>
  <c r="DI209" i="4" s="1"/>
  <c r="DI210" i="4" s="1"/>
  <c r="DI211" i="4" s="1"/>
  <c r="DI212" i="4" s="1"/>
  <c r="DQ232" i="4"/>
  <c r="DQ207" i="4"/>
  <c r="DQ208" i="4" s="1"/>
  <c r="DQ209" i="4" s="1"/>
  <c r="DQ210" i="4" s="1"/>
  <c r="DQ211" i="4" s="1"/>
  <c r="DQ212" i="4" s="1"/>
  <c r="DQ213" i="4" s="1"/>
  <c r="DY232" i="4"/>
  <c r="DY207" i="4"/>
  <c r="DY208" i="4" s="1"/>
  <c r="DY209" i="4" s="1"/>
  <c r="DY210" i="4" s="1"/>
  <c r="DY211" i="4" s="1"/>
  <c r="DY212" i="4" s="1"/>
  <c r="DY213" i="4" s="1"/>
  <c r="EG232" i="4"/>
  <c r="EG207" i="4"/>
  <c r="EG208" i="4" s="1"/>
  <c r="EG209" i="4" s="1"/>
  <c r="EG210" i="4" s="1"/>
  <c r="EG211" i="4" s="1"/>
  <c r="EG212" i="4" s="1"/>
  <c r="EG213" i="4" s="1"/>
  <c r="EO232" i="4"/>
  <c r="EO207" i="4"/>
  <c r="EO208" i="4" s="1"/>
  <c r="EO209" i="4" s="1"/>
  <c r="EO210" i="4" s="1"/>
  <c r="EO211" i="4" s="1"/>
  <c r="EO212" i="4" s="1"/>
  <c r="EO213" i="4" s="1"/>
  <c r="EW232" i="4"/>
  <c r="EW207" i="4"/>
  <c r="EW208" i="4" s="1"/>
  <c r="EW209" i="4" s="1"/>
  <c r="EW210" i="4" s="1"/>
  <c r="EW211" i="4" s="1"/>
  <c r="EW212" i="4" s="1"/>
  <c r="EW213" i="4" s="1"/>
  <c r="FE232" i="4"/>
  <c r="FE207" i="4"/>
  <c r="FE208" i="4" s="1"/>
  <c r="FE209" i="4" s="1"/>
  <c r="FE210" i="4" s="1"/>
  <c r="FE211" i="4" s="1"/>
  <c r="FE212" i="4" s="1"/>
  <c r="FE213" i="4" s="1"/>
  <c r="FM232" i="4"/>
  <c r="FM207" i="4"/>
  <c r="FM208" i="4" s="1"/>
  <c r="FM209" i="4" s="1"/>
  <c r="FM210" i="4" s="1"/>
  <c r="FM211" i="4" s="1"/>
  <c r="FM212" i="4" s="1"/>
  <c r="FM213" i="4" s="1"/>
  <c r="FU232" i="4"/>
  <c r="FU207" i="4"/>
  <c r="FU208" i="4" s="1"/>
  <c r="FU209" i="4" s="1"/>
  <c r="FU210" i="4" s="1"/>
  <c r="FU211" i="4" s="1"/>
  <c r="FU212" i="4" s="1"/>
  <c r="FU213" i="4" s="1"/>
  <c r="GC232" i="4"/>
  <c r="GC207" i="4"/>
  <c r="GC208" i="4" s="1"/>
  <c r="GC209" i="4" s="1"/>
  <c r="GK232" i="4"/>
  <c r="GK207" i="4"/>
  <c r="GK208" i="4" s="1"/>
  <c r="GK209" i="4" s="1"/>
  <c r="GK210" i="4" s="1"/>
  <c r="GK211" i="4" s="1"/>
  <c r="GK212" i="4" s="1"/>
  <c r="GK213" i="4" s="1"/>
  <c r="CP233" i="4"/>
  <c r="CP208" i="4"/>
  <c r="CP209" i="4" s="1"/>
  <c r="CP210" i="4" s="1"/>
  <c r="CP211" i="4" s="1"/>
  <c r="CX233" i="4"/>
  <c r="DF233" i="4"/>
  <c r="DF208" i="4"/>
  <c r="DF209" i="4" s="1"/>
  <c r="DF210" i="4" s="1"/>
  <c r="DF211" i="4" s="1"/>
  <c r="DF212" i="4" s="1"/>
  <c r="DN233" i="4"/>
  <c r="DV233" i="4"/>
  <c r="DV208" i="4"/>
  <c r="DV209" i="4" s="1"/>
  <c r="DV210" i="4" s="1"/>
  <c r="DV211" i="4" s="1"/>
  <c r="DV212" i="4" s="1"/>
  <c r="DV213" i="4" s="1"/>
  <c r="ED233" i="4"/>
  <c r="EL233" i="4"/>
  <c r="EL208" i="4"/>
  <c r="EL209" i="4" s="1"/>
  <c r="EL210" i="4" s="1"/>
  <c r="EL211" i="4" s="1"/>
  <c r="EL212" i="4" s="1"/>
  <c r="EL213" i="4" s="1"/>
  <c r="ET233" i="4"/>
  <c r="FB233" i="4"/>
  <c r="FB208" i="4"/>
  <c r="FB209" i="4" s="1"/>
  <c r="FB210" i="4" s="1"/>
  <c r="FB211" i="4" s="1"/>
  <c r="FJ233" i="4"/>
  <c r="FR233" i="4"/>
  <c r="FR208" i="4"/>
  <c r="FZ233" i="4"/>
  <c r="GH233" i="4"/>
  <c r="GH208" i="4"/>
  <c r="GH209" i="4" s="1"/>
  <c r="GH210" i="4" s="1"/>
  <c r="GH211" i="4" s="1"/>
  <c r="GH212" i="4" s="1"/>
  <c r="GH213" i="4" s="1"/>
  <c r="GP233" i="4"/>
  <c r="CM234" i="4"/>
  <c r="CU234" i="4"/>
  <c r="DC234" i="4"/>
  <c r="DK234" i="4"/>
  <c r="DS234" i="4"/>
  <c r="EA234" i="4"/>
  <c r="EI234" i="4"/>
  <c r="EQ234" i="4"/>
  <c r="EY234" i="4"/>
  <c r="FG234" i="4"/>
  <c r="FO234" i="4"/>
  <c r="FW234" i="4"/>
  <c r="GE234" i="4"/>
  <c r="GM234" i="4"/>
  <c r="CQ235" i="4"/>
  <c r="CY235" i="4"/>
  <c r="DG235" i="4"/>
  <c r="DO235" i="4"/>
  <c r="DW235" i="4"/>
  <c r="EE235" i="4"/>
  <c r="EM235" i="4"/>
  <c r="EU235" i="4"/>
  <c r="FC235" i="4"/>
  <c r="FK235" i="4"/>
  <c r="FS235" i="4"/>
  <c r="GA235" i="4"/>
  <c r="GI235" i="4"/>
  <c r="CQ236" i="4"/>
  <c r="CY236" i="4"/>
  <c r="DG236" i="4"/>
  <c r="DO236" i="4"/>
  <c r="DW236" i="4"/>
  <c r="EE236" i="4"/>
  <c r="EE211" i="4"/>
  <c r="EE212" i="4" s="1"/>
  <c r="EE213" i="4" s="1"/>
  <c r="EM236" i="4"/>
  <c r="EU236" i="4"/>
  <c r="FC236" i="4"/>
  <c r="FK236" i="4"/>
  <c r="FK211" i="4"/>
  <c r="FK212" i="4" s="1"/>
  <c r="FK213" i="4" s="1"/>
  <c r="FS236" i="4"/>
  <c r="GA236" i="4"/>
  <c r="GI236" i="4"/>
  <c r="CP237" i="4"/>
  <c r="CP212" i="4"/>
  <c r="CX237" i="4"/>
  <c r="DF237" i="4"/>
  <c r="DN237" i="4"/>
  <c r="DV237" i="4"/>
  <c r="ED237" i="4"/>
  <c r="EL237" i="4"/>
  <c r="ET237" i="4"/>
  <c r="FB237" i="4"/>
  <c r="FB212" i="4"/>
  <c r="FB213" i="4" s="1"/>
  <c r="FJ237" i="4"/>
  <c r="FR237" i="4"/>
  <c r="FZ237" i="4"/>
  <c r="DV238" i="4"/>
  <c r="ED238" i="4"/>
  <c r="EL238" i="4"/>
  <c r="ET238" i="4"/>
  <c r="FB238" i="4"/>
  <c r="FJ238" i="4"/>
  <c r="FR238" i="4"/>
  <c r="FZ238" i="4"/>
  <c r="GH238" i="4"/>
  <c r="GP238" i="4"/>
  <c r="DO208" i="4"/>
  <c r="DO209" i="4" s="1"/>
  <c r="DO210" i="4" s="1"/>
  <c r="DO211" i="4" s="1"/>
  <c r="DO212" i="4" s="1"/>
  <c r="CL232" i="4"/>
  <c r="CL207" i="4"/>
  <c r="CL208" i="4" s="1"/>
  <c r="CL209" i="4" s="1"/>
  <c r="CL210" i="4" s="1"/>
  <c r="CL211" i="4" s="1"/>
  <c r="CL212" i="4" s="1"/>
  <c r="CT232" i="4"/>
  <c r="CT207" i="4"/>
  <c r="CT208" i="4" s="1"/>
  <c r="CT209" i="4" s="1"/>
  <c r="CT210" i="4" s="1"/>
  <c r="CT211" i="4" s="1"/>
  <c r="CT212" i="4" s="1"/>
  <c r="DB232" i="4"/>
  <c r="DB207" i="4"/>
  <c r="DB208" i="4" s="1"/>
  <c r="DB209" i="4" s="1"/>
  <c r="DB210" i="4" s="1"/>
  <c r="DB211" i="4" s="1"/>
  <c r="DB212" i="4" s="1"/>
  <c r="DJ232" i="4"/>
  <c r="DJ207" i="4"/>
  <c r="DJ208" i="4" s="1"/>
  <c r="DJ209" i="4" s="1"/>
  <c r="DJ210" i="4" s="1"/>
  <c r="DR232" i="4"/>
  <c r="DR207" i="4"/>
  <c r="DR208" i="4" s="1"/>
  <c r="DR209" i="4" s="1"/>
  <c r="DR210" i="4" s="1"/>
  <c r="DR211" i="4" s="1"/>
  <c r="DR212" i="4" s="1"/>
  <c r="DR213" i="4" s="1"/>
  <c r="DZ232" i="4"/>
  <c r="DZ207" i="4"/>
  <c r="DZ208" i="4" s="1"/>
  <c r="DZ209" i="4" s="1"/>
  <c r="DZ210" i="4" s="1"/>
  <c r="DZ211" i="4" s="1"/>
  <c r="DZ212" i="4" s="1"/>
  <c r="DZ213" i="4" s="1"/>
  <c r="EH232" i="4"/>
  <c r="EH207" i="4"/>
  <c r="EH208" i="4" s="1"/>
  <c r="EH209" i="4" s="1"/>
  <c r="EH210" i="4" s="1"/>
  <c r="EH211" i="4" s="1"/>
  <c r="EH212" i="4" s="1"/>
  <c r="EH213" i="4" s="1"/>
  <c r="EP232" i="4"/>
  <c r="EP207" i="4"/>
  <c r="EP208" i="4" s="1"/>
  <c r="EP209" i="4" s="1"/>
  <c r="EP210" i="4" s="1"/>
  <c r="EP211" i="4" s="1"/>
  <c r="EP212" i="4" s="1"/>
  <c r="EP213" i="4" s="1"/>
  <c r="EX232" i="4"/>
  <c r="EX207" i="4"/>
  <c r="EX208" i="4" s="1"/>
  <c r="EX209" i="4" s="1"/>
  <c r="EX210" i="4" s="1"/>
  <c r="EX211" i="4" s="1"/>
  <c r="EX212" i="4" s="1"/>
  <c r="EX213" i="4" s="1"/>
  <c r="FF232" i="4"/>
  <c r="FF207" i="4"/>
  <c r="FF208" i="4" s="1"/>
  <c r="FF209" i="4" s="1"/>
  <c r="FF210" i="4" s="1"/>
  <c r="FF211" i="4" s="1"/>
  <c r="FF212" i="4" s="1"/>
  <c r="FF213" i="4" s="1"/>
  <c r="FN232" i="4"/>
  <c r="FN207" i="4"/>
  <c r="FN208" i="4" s="1"/>
  <c r="FN209" i="4" s="1"/>
  <c r="FN210" i="4" s="1"/>
  <c r="FN211" i="4" s="1"/>
  <c r="FN212" i="4" s="1"/>
  <c r="FN213" i="4" s="1"/>
  <c r="FV232" i="4"/>
  <c r="FV207" i="4"/>
  <c r="FV208" i="4" s="1"/>
  <c r="FV209" i="4" s="1"/>
  <c r="FV210" i="4" s="1"/>
  <c r="GD232" i="4"/>
  <c r="GD207" i="4"/>
  <c r="GD208" i="4" s="1"/>
  <c r="GD209" i="4" s="1"/>
  <c r="GD210" i="4" s="1"/>
  <c r="GD211" i="4" s="1"/>
  <c r="GD212" i="4" s="1"/>
  <c r="GD213" i="4" s="1"/>
  <c r="GL232" i="4"/>
  <c r="GL207" i="4"/>
  <c r="GL208" i="4" s="1"/>
  <c r="GL209" i="4" s="1"/>
  <c r="GL210" i="4" s="1"/>
  <c r="GL211" i="4" s="1"/>
  <c r="GL212" i="4" s="1"/>
  <c r="GL213" i="4" s="1"/>
  <c r="CQ233" i="4"/>
  <c r="CQ208" i="4"/>
  <c r="CQ209" i="4" s="1"/>
  <c r="CQ210" i="4" s="1"/>
  <c r="CQ211" i="4" s="1"/>
  <c r="CY233" i="4"/>
  <c r="CY208" i="4"/>
  <c r="CY209" i="4" s="1"/>
  <c r="CY210" i="4" s="1"/>
  <c r="CY211" i="4" s="1"/>
  <c r="CY212" i="4" s="1"/>
  <c r="DW233" i="4"/>
  <c r="DW208" i="4"/>
  <c r="DW209" i="4" s="1"/>
  <c r="DW210" i="4" s="1"/>
  <c r="DW211" i="4" s="1"/>
  <c r="DW212" i="4" s="1"/>
  <c r="DW213" i="4" s="1"/>
  <c r="EE233" i="4"/>
  <c r="EM233" i="4"/>
  <c r="EU233" i="4"/>
  <c r="EU208" i="4"/>
  <c r="EU209" i="4" s="1"/>
  <c r="EU210" i="4" s="1"/>
  <c r="EU211" i="4" s="1"/>
  <c r="EU212" i="4" s="1"/>
  <c r="EU213" i="4" s="1"/>
  <c r="FC233" i="4"/>
  <c r="FC208" i="4"/>
  <c r="FC209" i="4" s="1"/>
  <c r="FC210" i="4" s="1"/>
  <c r="FC211" i="4" s="1"/>
  <c r="FK233" i="4"/>
  <c r="FS233" i="4"/>
  <c r="GA233" i="4"/>
  <c r="GA208" i="4"/>
  <c r="GA209" i="4" s="1"/>
  <c r="GA210" i="4" s="1"/>
  <c r="GA211" i="4" s="1"/>
  <c r="GA212" i="4" s="1"/>
  <c r="GA213" i="4" s="1"/>
  <c r="GI233" i="4"/>
  <c r="GI208" i="4"/>
  <c r="GI209" i="4" s="1"/>
  <c r="GI210" i="4" s="1"/>
  <c r="GI211" i="4" s="1"/>
  <c r="CN234" i="4"/>
  <c r="CN209" i="4"/>
  <c r="CN210" i="4" s="1"/>
  <c r="CN211" i="4" s="1"/>
  <c r="CN212" i="4" s="1"/>
  <c r="CV234" i="4"/>
  <c r="DD234" i="4"/>
  <c r="DD209" i="4"/>
  <c r="DD210" i="4" s="1"/>
  <c r="DD211" i="4" s="1"/>
  <c r="DD212" i="4" s="1"/>
  <c r="DL234" i="4"/>
  <c r="DL209" i="4"/>
  <c r="DL210" i="4" s="1"/>
  <c r="DL211" i="4" s="1"/>
  <c r="DL212" i="4" s="1"/>
  <c r="DT234" i="4"/>
  <c r="DT209" i="4"/>
  <c r="DT210" i="4" s="1"/>
  <c r="DT211" i="4" s="1"/>
  <c r="DT212" i="4" s="1"/>
  <c r="DT213" i="4" s="1"/>
  <c r="EB234" i="4"/>
  <c r="EJ234" i="4"/>
  <c r="ER234" i="4"/>
  <c r="ER209" i="4"/>
  <c r="ER210" i="4" s="1"/>
  <c r="ER211" i="4" s="1"/>
  <c r="ER212" i="4" s="1"/>
  <c r="ER213" i="4" s="1"/>
  <c r="EZ234" i="4"/>
  <c r="FH234" i="4"/>
  <c r="FP234" i="4"/>
  <c r="FP209" i="4"/>
  <c r="FP210" i="4" s="1"/>
  <c r="FX234" i="4"/>
  <c r="GF234" i="4"/>
  <c r="GF209" i="4"/>
  <c r="GF210" i="4" s="1"/>
  <c r="GF211" i="4" s="1"/>
  <c r="GF212" i="4" s="1"/>
  <c r="GF213" i="4" s="1"/>
  <c r="GN234" i="4"/>
  <c r="CR235" i="4"/>
  <c r="CZ235" i="4"/>
  <c r="DH235" i="4"/>
  <c r="DP235" i="4"/>
  <c r="DX235" i="4"/>
  <c r="EF235" i="4"/>
  <c r="EN235" i="4"/>
  <c r="EV235" i="4"/>
  <c r="FD235" i="4"/>
  <c r="FL235" i="4"/>
  <c r="FT235" i="4"/>
  <c r="GB235" i="4"/>
  <c r="GJ235" i="4"/>
  <c r="CR236" i="4"/>
  <c r="CZ236" i="4"/>
  <c r="DH236" i="4"/>
  <c r="DX236" i="4"/>
  <c r="EF236" i="4"/>
  <c r="EN236" i="4"/>
  <c r="EV236" i="4"/>
  <c r="FD236" i="4"/>
  <c r="FL236" i="4"/>
  <c r="FT236" i="4"/>
  <c r="GB236" i="4"/>
  <c r="GJ236" i="4"/>
  <c r="K238" i="4"/>
  <c r="S238" i="4"/>
  <c r="AA238" i="4"/>
  <c r="AI238" i="4"/>
  <c r="AQ238" i="4"/>
  <c r="AY238" i="4"/>
  <c r="BG238" i="4"/>
  <c r="BO238" i="4"/>
  <c r="BW238" i="4"/>
  <c r="CE238" i="4"/>
  <c r="DW238" i="4"/>
  <c r="EE238" i="4"/>
  <c r="EM238" i="4"/>
  <c r="EU238" i="4"/>
  <c r="FC238" i="4"/>
  <c r="FK238" i="4"/>
  <c r="FS238" i="4"/>
  <c r="GA238" i="4"/>
  <c r="GI238" i="4"/>
  <c r="ET223" i="4"/>
  <c r="FR223" i="4"/>
  <c r="FR198" i="4"/>
  <c r="GH223" i="4"/>
  <c r="CM232" i="4"/>
  <c r="CM207" i="4"/>
  <c r="CM208" i="4" s="1"/>
  <c r="CM209" i="4" s="1"/>
  <c r="CM210" i="4" s="1"/>
  <c r="CM211" i="4" s="1"/>
  <c r="CM212" i="4" s="1"/>
  <c r="CU232" i="4"/>
  <c r="CU207" i="4"/>
  <c r="DC232" i="4"/>
  <c r="DC207" i="4"/>
  <c r="DC208" i="4" s="1"/>
  <c r="DC209" i="4" s="1"/>
  <c r="DC210" i="4" s="1"/>
  <c r="DC211" i="4" s="1"/>
  <c r="DC212" i="4" s="1"/>
  <c r="DK232" i="4"/>
  <c r="DK207" i="4"/>
  <c r="DS232" i="4"/>
  <c r="DS207" i="4"/>
  <c r="DS208" i="4" s="1"/>
  <c r="DS209" i="4" s="1"/>
  <c r="DS210" i="4" s="1"/>
  <c r="DS211" i="4" s="1"/>
  <c r="DS212" i="4" s="1"/>
  <c r="DS213" i="4" s="1"/>
  <c r="EA232" i="4"/>
  <c r="EA207" i="4"/>
  <c r="EI232" i="4"/>
  <c r="EI207" i="4"/>
  <c r="EI208" i="4" s="1"/>
  <c r="EI209" i="4" s="1"/>
  <c r="EI210" i="4" s="1"/>
  <c r="EI211" i="4" s="1"/>
  <c r="EI212" i="4" s="1"/>
  <c r="EI213" i="4" s="1"/>
  <c r="EQ232" i="4"/>
  <c r="EQ207" i="4"/>
  <c r="EY232" i="4"/>
  <c r="EY207" i="4"/>
  <c r="EY208" i="4" s="1"/>
  <c r="EY209" i="4" s="1"/>
  <c r="EY210" i="4" s="1"/>
  <c r="EY211" i="4" s="1"/>
  <c r="EY212" i="4" s="1"/>
  <c r="EY213" i="4" s="1"/>
  <c r="FG232" i="4"/>
  <c r="FG207" i="4"/>
  <c r="FO232" i="4"/>
  <c r="FO207" i="4"/>
  <c r="FW232" i="4"/>
  <c r="FW207" i="4"/>
  <c r="GE232" i="4"/>
  <c r="GE207" i="4"/>
  <c r="GE208" i="4" s="1"/>
  <c r="GE209" i="4" s="1"/>
  <c r="GE210" i="4" s="1"/>
  <c r="GE211" i="4" s="1"/>
  <c r="GE212" i="4" s="1"/>
  <c r="GE213" i="4" s="1"/>
  <c r="GM232" i="4"/>
  <c r="GM207" i="4"/>
  <c r="CR233" i="4"/>
  <c r="CZ233" i="4"/>
  <c r="DH233" i="4"/>
  <c r="DP233" i="4"/>
  <c r="DX233" i="4"/>
  <c r="EF233" i="4"/>
  <c r="EF208" i="4"/>
  <c r="EF209" i="4" s="1"/>
  <c r="EF210" i="4" s="1"/>
  <c r="EF211" i="4" s="1"/>
  <c r="EF212" i="4" s="1"/>
  <c r="EF213" i="4" s="1"/>
  <c r="EN233" i="4"/>
  <c r="EV233" i="4"/>
  <c r="FD233" i="4"/>
  <c r="FL233" i="4"/>
  <c r="FT233" i="4"/>
  <c r="GB233" i="4"/>
  <c r="GJ233" i="4"/>
  <c r="CO234" i="4"/>
  <c r="CW234" i="4"/>
  <c r="CW209" i="4"/>
  <c r="CW210" i="4" s="1"/>
  <c r="CW211" i="4" s="1"/>
  <c r="DE234" i="4"/>
  <c r="DM234" i="4"/>
  <c r="DU234" i="4"/>
  <c r="EC234" i="4"/>
  <c r="EC209" i="4"/>
  <c r="EC210" i="4" s="1"/>
  <c r="EC211" i="4" s="1"/>
  <c r="EC212" i="4" s="1"/>
  <c r="EC213" i="4" s="1"/>
  <c r="EK234" i="4"/>
  <c r="ES234" i="4"/>
  <c r="FA234" i="4"/>
  <c r="FI234" i="4"/>
  <c r="FI209" i="4"/>
  <c r="FI210" i="4" s="1"/>
  <c r="FI211" i="4" s="1"/>
  <c r="FQ234" i="4"/>
  <c r="FY234" i="4"/>
  <c r="GG234" i="4"/>
  <c r="GO234" i="4"/>
  <c r="GO209" i="4"/>
  <c r="GO210" i="4" s="1"/>
  <c r="GO211" i="4" s="1"/>
  <c r="CK236" i="4"/>
  <c r="CS236" i="4"/>
  <c r="DA236" i="4"/>
  <c r="DI236" i="4"/>
  <c r="DQ236" i="4"/>
  <c r="DY236" i="4"/>
  <c r="EG236" i="4"/>
  <c r="EO236" i="4"/>
  <c r="EW236" i="4"/>
  <c r="FE236" i="4"/>
  <c r="FM236" i="4"/>
  <c r="FU236" i="4"/>
  <c r="GC236" i="4"/>
  <c r="GK236" i="4"/>
  <c r="CR237" i="4"/>
  <c r="CZ237" i="4"/>
  <c r="DH237" i="4"/>
  <c r="DP237" i="4"/>
  <c r="DX237" i="4"/>
  <c r="EF237" i="4"/>
  <c r="EN237" i="4"/>
  <c r="EV237" i="4"/>
  <c r="FD237" i="4"/>
  <c r="FL237" i="4"/>
  <c r="FT237" i="4"/>
  <c r="GB237" i="4"/>
  <c r="GJ237" i="4"/>
  <c r="L238" i="4"/>
  <c r="T238" i="4"/>
  <c r="AB238" i="4"/>
  <c r="AJ238" i="4"/>
  <c r="AR238" i="4"/>
  <c r="AZ238" i="4"/>
  <c r="BH238" i="4"/>
  <c r="BP238" i="4"/>
  <c r="BX238" i="4"/>
  <c r="CF238" i="4"/>
  <c r="CL236" i="4"/>
  <c r="CT236" i="4"/>
  <c r="DB236" i="4"/>
  <c r="DJ236" i="4"/>
  <c r="DJ211" i="4"/>
  <c r="DJ212" i="4" s="1"/>
  <c r="DR236" i="4"/>
  <c r="DZ236" i="4"/>
  <c r="EH236" i="4"/>
  <c r="EP236" i="4"/>
  <c r="EX236" i="4"/>
  <c r="FF236" i="4"/>
  <c r="FN236" i="4"/>
  <c r="FV236" i="4"/>
  <c r="FV211" i="4"/>
  <c r="FV212" i="4" s="1"/>
  <c r="FV213" i="4" s="1"/>
  <c r="GD236" i="4"/>
  <c r="GL236" i="4"/>
  <c r="CO237" i="4"/>
  <c r="CW237" i="4"/>
  <c r="CW212" i="4"/>
  <c r="DE237" i="4"/>
  <c r="DM237" i="4"/>
  <c r="DU237" i="4"/>
  <c r="EC237" i="4"/>
  <c r="EK237" i="4"/>
  <c r="ES237" i="4"/>
  <c r="FA237" i="4"/>
  <c r="FI237" i="4"/>
  <c r="FI212" i="4"/>
  <c r="FI213" i="4" s="1"/>
  <c r="FQ237" i="4"/>
  <c r="FY237" i="4"/>
  <c r="GG237" i="4"/>
  <c r="GO237" i="4"/>
  <c r="GO212" i="4"/>
  <c r="GO213" i="4" s="1"/>
  <c r="P238" i="4"/>
  <c r="X238" i="4"/>
  <c r="AF238" i="4"/>
  <c r="AN238" i="4"/>
  <c r="AV238" i="4"/>
  <c r="BD238" i="4"/>
  <c r="BL238" i="4"/>
  <c r="BT238" i="4"/>
  <c r="CB238" i="4"/>
  <c r="CJ238" i="4"/>
  <c r="DX238" i="4"/>
  <c r="EF238" i="4"/>
  <c r="EN238" i="4"/>
  <c r="EV238" i="4"/>
  <c r="FD238" i="4"/>
  <c r="FL238" i="4"/>
  <c r="FT238" i="4"/>
  <c r="GB238" i="4"/>
  <c r="GJ238" i="4"/>
  <c r="GH237" i="4"/>
  <c r="GP237" i="4"/>
  <c r="Q238" i="4"/>
  <c r="Y238" i="4"/>
  <c r="AG238" i="4"/>
  <c r="AO238" i="4"/>
  <c r="AW238" i="4"/>
  <c r="BE238" i="4"/>
  <c r="BM238" i="4"/>
  <c r="BU238" i="4"/>
  <c r="CC238" i="4"/>
  <c r="DQ238" i="4"/>
  <c r="DY238" i="4"/>
  <c r="EG238" i="4"/>
  <c r="EO238" i="4"/>
  <c r="EW238" i="4"/>
  <c r="FE238" i="4"/>
  <c r="FM238" i="4"/>
  <c r="FU238" i="4"/>
  <c r="CR232" i="4"/>
  <c r="CR207" i="4"/>
  <c r="CR208" i="4" s="1"/>
  <c r="CR209" i="4" s="1"/>
  <c r="CR210" i="4" s="1"/>
  <c r="CR211" i="4" s="1"/>
  <c r="CR212" i="4" s="1"/>
  <c r="CZ232" i="4"/>
  <c r="CZ207" i="4"/>
  <c r="CZ208" i="4" s="1"/>
  <c r="CZ209" i="4" s="1"/>
  <c r="CZ210" i="4" s="1"/>
  <c r="CZ211" i="4" s="1"/>
  <c r="CZ212" i="4" s="1"/>
  <c r="DH232" i="4"/>
  <c r="DH207" i="4"/>
  <c r="DH208" i="4" s="1"/>
  <c r="DH209" i="4" s="1"/>
  <c r="DH210" i="4" s="1"/>
  <c r="DH211" i="4" s="1"/>
  <c r="DH212" i="4" s="1"/>
  <c r="DP232" i="4"/>
  <c r="DP207" i="4"/>
  <c r="DP208" i="4" s="1"/>
  <c r="DP209" i="4" s="1"/>
  <c r="DP210" i="4" s="1"/>
  <c r="DP211" i="4" s="1"/>
  <c r="DP212" i="4" s="1"/>
  <c r="DX232" i="4"/>
  <c r="DX207" i="4"/>
  <c r="DX208" i="4" s="1"/>
  <c r="DX209" i="4" s="1"/>
  <c r="DX210" i="4" s="1"/>
  <c r="DX211" i="4" s="1"/>
  <c r="DX212" i="4" s="1"/>
  <c r="DX213" i="4" s="1"/>
  <c r="EN232" i="4"/>
  <c r="EN207" i="4"/>
  <c r="EN208" i="4" s="1"/>
  <c r="EN209" i="4" s="1"/>
  <c r="EN210" i="4" s="1"/>
  <c r="EN211" i="4" s="1"/>
  <c r="EN212" i="4" s="1"/>
  <c r="EN213" i="4" s="1"/>
  <c r="EV232" i="4"/>
  <c r="EV207" i="4"/>
  <c r="EV208" i="4" s="1"/>
  <c r="EV209" i="4" s="1"/>
  <c r="EV210" i="4" s="1"/>
  <c r="EV211" i="4" s="1"/>
  <c r="EV212" i="4" s="1"/>
  <c r="EV213" i="4" s="1"/>
  <c r="FD232" i="4"/>
  <c r="FD207" i="4"/>
  <c r="FD208" i="4" s="1"/>
  <c r="FD209" i="4" s="1"/>
  <c r="FD210" i="4" s="1"/>
  <c r="FD211" i="4" s="1"/>
  <c r="FD212" i="4" s="1"/>
  <c r="FD213" i="4" s="1"/>
  <c r="FL232" i="4"/>
  <c r="FL207" i="4"/>
  <c r="FL208" i="4" s="1"/>
  <c r="FL209" i="4" s="1"/>
  <c r="FL210" i="4" s="1"/>
  <c r="FL211" i="4" s="1"/>
  <c r="FL212" i="4" s="1"/>
  <c r="FL213" i="4" s="1"/>
  <c r="FT232" i="4"/>
  <c r="FT207" i="4"/>
  <c r="FT208" i="4" s="1"/>
  <c r="FT209" i="4" s="1"/>
  <c r="FT210" i="4" s="1"/>
  <c r="FT211" i="4" s="1"/>
  <c r="FT212" i="4" s="1"/>
  <c r="FT213" i="4" s="1"/>
  <c r="GB232" i="4"/>
  <c r="GB207" i="4"/>
  <c r="GB208" i="4" s="1"/>
  <c r="GB209" i="4" s="1"/>
  <c r="GB210" i="4" s="1"/>
  <c r="GB211" i="4" s="1"/>
  <c r="GB212" i="4" s="1"/>
  <c r="GB213" i="4" s="1"/>
  <c r="GJ232" i="4"/>
  <c r="GJ207" i="4"/>
  <c r="GJ208" i="4" s="1"/>
  <c r="GJ209" i="4" s="1"/>
  <c r="GJ210" i="4" s="1"/>
  <c r="GJ211" i="4" s="1"/>
  <c r="GJ212" i="4" s="1"/>
  <c r="GJ213" i="4" s="1"/>
  <c r="CM233" i="4"/>
  <c r="CU233" i="4"/>
  <c r="CU208" i="4"/>
  <c r="CU209" i="4" s="1"/>
  <c r="CU210" i="4" s="1"/>
  <c r="CU211" i="4" s="1"/>
  <c r="CU212" i="4" s="1"/>
  <c r="DC233" i="4"/>
  <c r="DK233" i="4"/>
  <c r="DK208" i="4"/>
  <c r="DK209" i="4" s="1"/>
  <c r="DK210" i="4" s="1"/>
  <c r="DK211" i="4" s="1"/>
  <c r="DK212" i="4" s="1"/>
  <c r="DS233" i="4"/>
  <c r="EA233" i="4"/>
  <c r="EA208" i="4"/>
  <c r="EA209" i="4" s="1"/>
  <c r="EA210" i="4" s="1"/>
  <c r="EA211" i="4" s="1"/>
  <c r="EA212" i="4" s="1"/>
  <c r="EA213" i="4" s="1"/>
  <c r="EI233" i="4"/>
  <c r="EQ233" i="4"/>
  <c r="EQ208" i="4"/>
  <c r="EQ209" i="4" s="1"/>
  <c r="EQ210" i="4" s="1"/>
  <c r="EQ211" i="4" s="1"/>
  <c r="EQ212" i="4" s="1"/>
  <c r="EQ213" i="4" s="1"/>
  <c r="FG233" i="4"/>
  <c r="FG208" i="4"/>
  <c r="FG209" i="4" s="1"/>
  <c r="FG210" i="4" s="1"/>
  <c r="FG211" i="4" s="1"/>
  <c r="FG212" i="4" s="1"/>
  <c r="FG213" i="4" s="1"/>
  <c r="FO233" i="4"/>
  <c r="FO208" i="4"/>
  <c r="FO209" i="4" s="1"/>
  <c r="FO210" i="4" s="1"/>
  <c r="FO211" i="4" s="1"/>
  <c r="FO212" i="4" s="1"/>
  <c r="FO213" i="4" s="1"/>
  <c r="FW233" i="4"/>
  <c r="FW208" i="4"/>
  <c r="FW209" i="4" s="1"/>
  <c r="FW210" i="4" s="1"/>
  <c r="FW211" i="4" s="1"/>
  <c r="FW212" i="4" s="1"/>
  <c r="FW213" i="4" s="1"/>
  <c r="GE233" i="4"/>
  <c r="GM233" i="4"/>
  <c r="GM208" i="4"/>
  <c r="GM209" i="4" s="1"/>
  <c r="GM210" i="4" s="1"/>
  <c r="GM211" i="4" s="1"/>
  <c r="GM212" i="4" s="1"/>
  <c r="GM213" i="4" s="1"/>
  <c r="CX234" i="4"/>
  <c r="CX209" i="4"/>
  <c r="CX210" i="4" s="1"/>
  <c r="CX211" i="4" s="1"/>
  <c r="CX212" i="4" s="1"/>
  <c r="DF234" i="4"/>
  <c r="DN234" i="4"/>
  <c r="DV234" i="4"/>
  <c r="ED234" i="4"/>
  <c r="ED209" i="4"/>
  <c r="ED210" i="4" s="1"/>
  <c r="ED211" i="4" s="1"/>
  <c r="ED212" i="4" s="1"/>
  <c r="ED213" i="4" s="1"/>
  <c r="ET234" i="4"/>
  <c r="FB234" i="4"/>
  <c r="FJ234" i="4"/>
  <c r="FR234" i="4"/>
  <c r="FR209" i="4"/>
  <c r="FR210" i="4" s="1"/>
  <c r="FR211" i="4" s="1"/>
  <c r="FR212" i="4" s="1"/>
  <c r="FR213" i="4" s="1"/>
  <c r="FZ234" i="4"/>
  <c r="GH234" i="4"/>
  <c r="GP234" i="4"/>
  <c r="CK235" i="4"/>
  <c r="CS235" i="4"/>
  <c r="DA235" i="4"/>
  <c r="DI235" i="4"/>
  <c r="DQ235" i="4"/>
  <c r="DY235" i="4"/>
  <c r="EG235" i="4"/>
  <c r="EO235" i="4"/>
  <c r="EW235" i="4"/>
  <c r="FE235" i="4"/>
  <c r="FM235" i="4"/>
  <c r="FU235" i="4"/>
  <c r="GC235" i="4"/>
  <c r="GC210" i="4"/>
  <c r="GC211" i="4" s="1"/>
  <c r="GC212" i="4" s="1"/>
  <c r="GC213" i="4" s="1"/>
  <c r="GK235" i="4"/>
  <c r="CN236" i="4"/>
  <c r="CV236" i="4"/>
  <c r="DD236" i="4"/>
  <c r="DL236" i="4"/>
  <c r="DT236" i="4"/>
  <c r="EB236" i="4"/>
  <c r="EJ236" i="4"/>
  <c r="ER236" i="4"/>
  <c r="EZ236" i="4"/>
  <c r="FH236" i="4"/>
  <c r="FP236" i="4"/>
  <c r="FP211" i="4"/>
  <c r="FP212" i="4" s="1"/>
  <c r="FP213" i="4" s="1"/>
  <c r="FX236" i="4"/>
  <c r="GF236" i="4"/>
  <c r="GN236" i="4"/>
  <c r="CQ237" i="4"/>
  <c r="CQ212" i="4"/>
  <c r="CY237" i="4"/>
  <c r="DG237" i="4"/>
  <c r="DO237" i="4"/>
  <c r="DW237" i="4"/>
  <c r="EE237" i="4"/>
  <c r="EM237" i="4"/>
  <c r="EU237" i="4"/>
  <c r="FC237" i="4"/>
  <c r="FC212" i="4"/>
  <c r="FC213" i="4" s="1"/>
  <c r="FK237" i="4"/>
  <c r="FS237" i="4"/>
  <c r="GA237" i="4"/>
  <c r="GI237" i="4"/>
  <c r="GI212" i="4"/>
  <c r="GI213" i="4" s="1"/>
  <c r="R238" i="4"/>
  <c r="Z238" i="4"/>
  <c r="AH238" i="4"/>
  <c r="AP238" i="4"/>
  <c r="AX238" i="4"/>
  <c r="BF238" i="4"/>
  <c r="BN238" i="4"/>
  <c r="BV238" i="4"/>
  <c r="CD238" i="4"/>
  <c r="DR238" i="4"/>
  <c r="DZ238" i="4"/>
  <c r="EH238" i="4"/>
  <c r="EP238" i="4"/>
  <c r="EX238" i="4"/>
  <c r="FF238" i="4"/>
  <c r="FN238" i="4"/>
  <c r="FV238" i="4"/>
  <c r="GC238" i="4"/>
  <c r="GK238" i="4"/>
  <c r="GD238" i="4"/>
  <c r="GL238" i="4"/>
  <c r="GG238" i="4"/>
  <c r="GO238" i="4"/>
  <c r="M25" i="5"/>
  <c r="J57" i="5"/>
  <c r="J55" i="5"/>
  <c r="J53" i="5"/>
  <c r="M53" i="5" s="1"/>
  <c r="J51" i="5"/>
  <c r="J49" i="5"/>
  <c r="J46" i="5"/>
  <c r="J44" i="5"/>
  <c r="M44" i="5" s="1"/>
  <c r="J42" i="5"/>
  <c r="J40" i="5"/>
  <c r="J38" i="5"/>
  <c r="L29" i="5"/>
  <c r="L27" i="5"/>
  <c r="L25" i="5"/>
  <c r="L23" i="5"/>
  <c r="L21" i="5"/>
  <c r="L18" i="5"/>
  <c r="L16" i="5"/>
  <c r="L14" i="5"/>
  <c r="L12" i="5"/>
  <c r="F11" i="1" s="1"/>
  <c r="L10" i="5"/>
  <c r="B74" i="5"/>
  <c r="J56" i="5"/>
  <c r="L51" i="5"/>
  <c r="K49" i="5"/>
  <c r="L43" i="5"/>
  <c r="K41" i="5"/>
  <c r="J39" i="5"/>
  <c r="M39" i="5" s="1"/>
  <c r="J28" i="5"/>
  <c r="M28" i="5" s="1"/>
  <c r="J6" i="5" s="1"/>
  <c r="K23" i="5"/>
  <c r="J21" i="5"/>
  <c r="L15" i="5"/>
  <c r="F14" i="1" s="1"/>
  <c r="K13" i="5"/>
  <c r="E12" i="1" s="1"/>
  <c r="J11" i="5"/>
  <c r="L55" i="5"/>
  <c r="K50" i="5"/>
  <c r="K44" i="5"/>
  <c r="L41" i="5"/>
  <c r="F12" i="1" s="1"/>
  <c r="J27" i="5"/>
  <c r="L24" i="5"/>
  <c r="J22" i="5"/>
  <c r="K18" i="5"/>
  <c r="J13" i="5"/>
  <c r="K10" i="5"/>
  <c r="B72" i="5"/>
  <c r="K55" i="5"/>
  <c r="L52" i="5"/>
  <c r="J50" i="5"/>
  <c r="M50" i="5" s="1"/>
  <c r="L46" i="5"/>
  <c r="J41" i="5"/>
  <c r="L38" i="5"/>
  <c r="K29" i="5"/>
  <c r="K24" i="5"/>
  <c r="J18" i="5"/>
  <c r="K15" i="5"/>
  <c r="E14" i="1" s="1"/>
  <c r="J10" i="5"/>
  <c r="K52" i="5"/>
  <c r="K46" i="5"/>
  <c r="K43" i="5"/>
  <c r="K38" i="5"/>
  <c r="J29" i="5"/>
  <c r="L26" i="5"/>
  <c r="F15" i="1" s="1"/>
  <c r="J24" i="5"/>
  <c r="K21" i="5"/>
  <c r="L17" i="5"/>
  <c r="J15" i="5"/>
  <c r="K12" i="5"/>
  <c r="K57" i="5"/>
  <c r="K54" i="5"/>
  <c r="L57" i="5"/>
  <c r="J52" i="5"/>
  <c r="J47" i="5"/>
  <c r="M47" i="5" s="1"/>
  <c r="H34" i="5" s="1"/>
  <c r="L42" i="5"/>
  <c r="J23" i="5"/>
  <c r="J14" i="5"/>
  <c r="L56" i="5"/>
  <c r="K51" i="5"/>
  <c r="L45" i="5"/>
  <c r="K42" i="5"/>
  <c r="E13" i="1" s="1"/>
  <c r="K27" i="5"/>
  <c r="K17" i="5"/>
  <c r="M17" i="5" s="1"/>
  <c r="L54" i="5"/>
  <c r="L49" i="5"/>
  <c r="K40" i="5"/>
  <c r="K25" i="5"/>
  <c r="K16" i="5"/>
  <c r="J54" i="5"/>
  <c r="L22" i="5"/>
  <c r="L50" i="5"/>
  <c r="J16" i="5"/>
  <c r="J43" i="5"/>
  <c r="L11" i="5"/>
  <c r="J19" i="5"/>
  <c r="J26" i="5"/>
  <c r="L39" i="5"/>
  <c r="K45" i="5"/>
  <c r="M45" i="5" s="1"/>
  <c r="J12" i="5"/>
  <c r="K19" i="5"/>
  <c r="K26" i="5"/>
  <c r="K47" i="5"/>
  <c r="K56" i="5"/>
  <c r="B5" i="8"/>
  <c r="F44" i="8"/>
  <c r="L5" i="8" s="1"/>
  <c r="CC239" i="4" l="1"/>
  <c r="DJ229" i="4"/>
  <c r="CU230" i="4"/>
  <c r="M224" i="4"/>
  <c r="CG227" i="4"/>
  <c r="P224" i="4"/>
  <c r="CM227" i="4"/>
  <c r="CO225" i="4"/>
  <c r="AZ227" i="4"/>
  <c r="AU227" i="4"/>
  <c r="DC229" i="4"/>
  <c r="CQ230" i="4"/>
  <c r="BM227" i="4"/>
  <c r="BP228" i="4"/>
  <c r="BS229" i="4"/>
  <c r="BM224" i="4"/>
  <c r="BP225" i="4"/>
  <c r="BS226" i="4"/>
  <c r="R227" i="4"/>
  <c r="CD227" i="4"/>
  <c r="BB239" i="4"/>
  <c r="CF226" i="4"/>
  <c r="DC225" i="4"/>
  <c r="CM230" i="4"/>
  <c r="CC229" i="4"/>
  <c r="AE225" i="4"/>
  <c r="CJ229" i="4"/>
  <c r="Z239" i="4"/>
  <c r="D33" i="4"/>
  <c r="K48" i="2" s="1"/>
  <c r="I48" i="2"/>
  <c r="CV229" i="4"/>
  <c r="CP226" i="4"/>
  <c r="BU226" i="4"/>
  <c r="AE224" i="4"/>
  <c r="DF227" i="4"/>
  <c r="DL227" i="4"/>
  <c r="DB225" i="4"/>
  <c r="BM226" i="4"/>
  <c r="BF229" i="4"/>
  <c r="BH224" i="4"/>
  <c r="BI227" i="4"/>
  <c r="CK226" i="4"/>
  <c r="DD230" i="4"/>
  <c r="BP227" i="4"/>
  <c r="AJ230" i="4"/>
  <c r="T230" i="4"/>
  <c r="CO230" i="4"/>
  <c r="AK231" i="4"/>
  <c r="CW231" i="4"/>
  <c r="AV239" i="4"/>
  <c r="DH239" i="4"/>
  <c r="AD226" i="4"/>
  <c r="DK229" i="4"/>
  <c r="X225" i="4"/>
  <c r="Z231" i="4"/>
  <c r="AU224" i="4"/>
  <c r="BR227" i="4"/>
  <c r="CH226" i="4"/>
  <c r="CJ228" i="4"/>
  <c r="DM224" i="4"/>
  <c r="CE229" i="4"/>
  <c r="DF239" i="4"/>
  <c r="BQ224" i="4"/>
  <c r="Q225" i="4"/>
  <c r="CL225" i="4"/>
  <c r="DM230" i="4"/>
  <c r="BX227" i="4"/>
  <c r="AF230" i="4"/>
  <c r="AP228" i="4"/>
  <c r="T231" i="4"/>
  <c r="AX231" i="4"/>
  <c r="AH230" i="4"/>
  <c r="CT230" i="4"/>
  <c r="AS239" i="4"/>
  <c r="DE239" i="4"/>
  <c r="M10" i="5"/>
  <c r="D10" i="1"/>
  <c r="DC239" i="4"/>
  <c r="BX226" i="4"/>
  <c r="A118" i="4"/>
  <c r="A133" i="4"/>
  <c r="CP227" i="4"/>
  <c r="DH228" i="4"/>
  <c r="AD227" i="4"/>
  <c r="BD224" i="4"/>
  <c r="M230" i="4"/>
  <c r="CO224" i="4"/>
  <c r="Y229" i="4"/>
  <c r="CS226" i="4"/>
  <c r="DL229" i="4"/>
  <c r="CV226" i="4"/>
  <c r="CQ227" i="4"/>
  <c r="CW229" i="4"/>
  <c r="DI228" i="4"/>
  <c r="AV226" i="4"/>
  <c r="Z225" i="4"/>
  <c r="CU225" i="4"/>
  <c r="BL228" i="4"/>
  <c r="AL229" i="4"/>
  <c r="CX229" i="4"/>
  <c r="BC230" i="4"/>
  <c r="AR239" i="4"/>
  <c r="DD239" i="4"/>
  <c r="CI225" i="4"/>
  <c r="AW226" i="4"/>
  <c r="CZ225" i="4"/>
  <c r="X229" i="4"/>
  <c r="BV226" i="4"/>
  <c r="DB239" i="4"/>
  <c r="DB226" i="4"/>
  <c r="DA229" i="4"/>
  <c r="AC227" i="4"/>
  <c r="CA224" i="4"/>
  <c r="AK225" i="4"/>
  <c r="DF225" i="4"/>
  <c r="BG239" i="4"/>
  <c r="BG226" i="4"/>
  <c r="CD226" i="4"/>
  <c r="DI229" i="4"/>
  <c r="AI239" i="4"/>
  <c r="U228" i="4"/>
  <c r="CG228" i="4"/>
  <c r="AM230" i="4"/>
  <c r="DH230" i="4"/>
  <c r="BR231" i="4"/>
  <c r="AH239" i="4"/>
  <c r="DD227" i="4"/>
  <c r="CY224" i="4"/>
  <c r="CS230" i="4"/>
  <c r="CL229" i="4"/>
  <c r="DN226" i="4"/>
  <c r="U224" i="4"/>
  <c r="AP239" i="4"/>
  <c r="BP226" i="4"/>
  <c r="AO228" i="4"/>
  <c r="AS224" i="4"/>
  <c r="DN224" i="4"/>
  <c r="BV224" i="4"/>
  <c r="CD228" i="4"/>
  <c r="CD231" i="4"/>
  <c r="AF227" i="4"/>
  <c r="CR227" i="4"/>
  <c r="AI228" i="4"/>
  <c r="CU228" i="4"/>
  <c r="L231" i="4"/>
  <c r="CH231" i="4"/>
  <c r="CP239" i="4"/>
  <c r="K239" i="4"/>
  <c r="DJ239" i="4"/>
  <c r="AG227" i="4"/>
  <c r="L229" i="4"/>
  <c r="CI228" i="4"/>
  <c r="BS227" i="4"/>
  <c r="BW231" i="4"/>
  <c r="AK229" i="4"/>
  <c r="BV225" i="4"/>
  <c r="M12" i="5"/>
  <c r="D11" i="1"/>
  <c r="M22" i="5"/>
  <c r="F16" i="1"/>
  <c r="M42" i="5"/>
  <c r="AZ226" i="4"/>
  <c r="DG224" i="4"/>
  <c r="V227" i="4"/>
  <c r="BF228" i="4"/>
  <c r="DM225" i="4"/>
  <c r="CX228" i="4"/>
  <c r="DP225" i="4"/>
  <c r="DA228" i="4"/>
  <c r="CK225" i="4"/>
  <c r="AT227" i="4"/>
  <c r="BN228" i="4"/>
  <c r="BN226" i="4"/>
  <c r="AT231" i="4"/>
  <c r="CL228" i="4"/>
  <c r="BW225" i="4"/>
  <c r="BG229" i="4"/>
  <c r="AC226" i="4"/>
  <c r="CO226" i="4"/>
  <c r="BZ228" i="4"/>
  <c r="CN229" i="4"/>
  <c r="O230" i="4"/>
  <c r="BJ231" i="4"/>
  <c r="O224" i="4"/>
  <c r="CJ224" i="4"/>
  <c r="AT225" i="4"/>
  <c r="DO225" i="4"/>
  <c r="N226" i="4"/>
  <c r="CU226" i="4"/>
  <c r="CI227" i="4"/>
  <c r="CZ228" i="4"/>
  <c r="R229" i="4"/>
  <c r="AS230" i="4"/>
  <c r="CM231" i="4"/>
  <c r="V239" i="4"/>
  <c r="CI239" i="4"/>
  <c r="BB224" i="4"/>
  <c r="K225" i="4"/>
  <c r="CG225" i="4"/>
  <c r="AO227" i="4"/>
  <c r="BD228" i="4"/>
  <c r="BU229" i="4"/>
  <c r="AJ231" i="4"/>
  <c r="CE224" i="4"/>
  <c r="AN225" i="4"/>
  <c r="DI225" i="4"/>
  <c r="CN226" i="4"/>
  <c r="CA227" i="4"/>
  <c r="CR228" i="4"/>
  <c r="U229" i="4"/>
  <c r="AZ230" i="4"/>
  <c r="CT231" i="4"/>
  <c r="BO239" i="4"/>
  <c r="AK226" i="4"/>
  <c r="CW226" i="4"/>
  <c r="AN227" i="4"/>
  <c r="CZ227" i="4"/>
  <c r="AQ228" i="4"/>
  <c r="DC228" i="4"/>
  <c r="AT229" i="4"/>
  <c r="DF229" i="4"/>
  <c r="BL230" i="4"/>
  <c r="V231" i="4"/>
  <c r="CQ231" i="4"/>
  <c r="DG239" i="4"/>
  <c r="BU227" i="4"/>
  <c r="L228" i="4"/>
  <c r="BX228" i="4"/>
  <c r="O229" i="4"/>
  <c r="CA229" i="4"/>
  <c r="AC230" i="4"/>
  <c r="CX230" i="4"/>
  <c r="BG231" i="4"/>
  <c r="AG239" i="4"/>
  <c r="BU224" i="4"/>
  <c r="L225" i="4"/>
  <c r="BX225" i="4"/>
  <c r="O226" i="4"/>
  <c r="CA226" i="4"/>
  <c r="Z227" i="4"/>
  <c r="CL227" i="4"/>
  <c r="AC228" i="4"/>
  <c r="CO228" i="4"/>
  <c r="AF229" i="4"/>
  <c r="CR229" i="4"/>
  <c r="AV230" i="4"/>
  <c r="CA231" i="4"/>
  <c r="BE239" i="4"/>
  <c r="Y239" i="4"/>
  <c r="AM239" i="4"/>
  <c r="AP230" i="4"/>
  <c r="DB230" i="4"/>
  <c r="AS231" i="4"/>
  <c r="DE231" i="4"/>
  <c r="BN239" i="4"/>
  <c r="AZ239" i="4"/>
  <c r="DL239" i="4"/>
  <c r="BA239" i="4"/>
  <c r="DM239" i="4"/>
  <c r="BD239" i="4"/>
  <c r="DP239" i="4"/>
  <c r="B92" i="4"/>
  <c r="C51" i="4"/>
  <c r="C92" i="4" s="1"/>
  <c r="B95" i="4"/>
  <c r="M54" i="5"/>
  <c r="D34" i="5" s="1"/>
  <c r="M52" i="5"/>
  <c r="M24" i="5"/>
  <c r="M27" i="5"/>
  <c r="M21" i="5"/>
  <c r="M56" i="5"/>
  <c r="J34" i="5" s="1"/>
  <c r="M46" i="5"/>
  <c r="F34" i="5" s="1"/>
  <c r="AF225" i="4"/>
  <c r="M227" i="4"/>
  <c r="W225" i="4"/>
  <c r="CF227" i="4"/>
  <c r="CC230" i="4"/>
  <c r="BZ225" i="4"/>
  <c r="DL231" i="4"/>
  <c r="AL224" i="4"/>
  <c r="CK229" i="4"/>
  <c r="AX224" i="4"/>
  <c r="AB231" i="4"/>
  <c r="AI224" i="4"/>
  <c r="AI231" i="4"/>
  <c r="AM231" i="4"/>
  <c r="AM224" i="4"/>
  <c r="K231" i="4"/>
  <c r="V224" i="4"/>
  <c r="DC226" i="4"/>
  <c r="CU227" i="4"/>
  <c r="P231" i="4"/>
  <c r="DG225" i="4"/>
  <c r="CL226" i="4"/>
  <c r="BY227" i="4"/>
  <c r="CP228" i="4"/>
  <c r="DD229" i="4"/>
  <c r="BZ224" i="4"/>
  <c r="AI225" i="4"/>
  <c r="DE225" i="4"/>
  <c r="CJ226" i="4"/>
  <c r="BW227" i="4"/>
  <c r="CK228" i="4"/>
  <c r="DB229" i="4"/>
  <c r="AE230" i="4"/>
  <c r="BV231" i="4"/>
  <c r="X224" i="4"/>
  <c r="CT224" i="4"/>
  <c r="BC225" i="4"/>
  <c r="Y226" i="4"/>
  <c r="DF226" i="4"/>
  <c r="CW227" i="4"/>
  <c r="O228" i="4"/>
  <c r="DN228" i="4"/>
  <c r="AC229" i="4"/>
  <c r="BI230" i="4"/>
  <c r="DC231" i="4"/>
  <c r="BF239" i="4"/>
  <c r="BK224" i="4"/>
  <c r="U225" i="4"/>
  <c r="CP225" i="4"/>
  <c r="BR226" i="4"/>
  <c r="BA227" i="4"/>
  <c r="BR228" i="4"/>
  <c r="CF229" i="4"/>
  <c r="AZ231" i="4"/>
  <c r="S224" i="4"/>
  <c r="CN224" i="4"/>
  <c r="AW225" i="4"/>
  <c r="R226" i="4"/>
  <c r="CZ226" i="4"/>
  <c r="CO227" i="4"/>
  <c r="DF228" i="4"/>
  <c r="AI229" i="4"/>
  <c r="BP230" i="4"/>
  <c r="DG231" i="4"/>
  <c r="CU239" i="4"/>
  <c r="AS226" i="4"/>
  <c r="DE226" i="4"/>
  <c r="AV227" i="4"/>
  <c r="DH227" i="4"/>
  <c r="AY228" i="4"/>
  <c r="DK228" i="4"/>
  <c r="BB229" i="4"/>
  <c r="DN229" i="4"/>
  <c r="BU230" i="4"/>
  <c r="AE231" i="4"/>
  <c r="CZ231" i="4"/>
  <c r="CC227" i="4"/>
  <c r="T228" i="4"/>
  <c r="CF228" i="4"/>
  <c r="W229" i="4"/>
  <c r="CI229" i="4"/>
  <c r="AL230" i="4"/>
  <c r="DG230" i="4"/>
  <c r="BP231" i="4"/>
  <c r="BC239" i="4"/>
  <c r="Q224" i="4"/>
  <c r="CC224" i="4"/>
  <c r="T225" i="4"/>
  <c r="CF225" i="4"/>
  <c r="W226" i="4"/>
  <c r="CI226" i="4"/>
  <c r="AH227" i="4"/>
  <c r="CT227" i="4"/>
  <c r="AK228" i="4"/>
  <c r="CW228" i="4"/>
  <c r="AN229" i="4"/>
  <c r="CZ229" i="4"/>
  <c r="BE230" i="4"/>
  <c r="O231" i="4"/>
  <c r="CJ231" i="4"/>
  <c r="BV239" i="4"/>
  <c r="AL239" i="4"/>
  <c r="AY239" i="4"/>
  <c r="AX230" i="4"/>
  <c r="DJ230" i="4"/>
  <c r="BA231" i="4"/>
  <c r="DM231" i="4"/>
  <c r="CA239" i="4"/>
  <c r="BH239" i="4"/>
  <c r="BI239" i="4"/>
  <c r="BL239" i="4"/>
  <c r="C54" i="4"/>
  <c r="C95" i="4" s="1"/>
  <c r="C69" i="4"/>
  <c r="L60" i="2" s="1"/>
  <c r="B55" i="4"/>
  <c r="B66" i="4"/>
  <c r="H60" i="2" s="1"/>
  <c r="D60" i="2"/>
  <c r="C56" i="4"/>
  <c r="B79" i="4" s="1"/>
  <c r="B81" i="4" s="1"/>
  <c r="B99" i="4"/>
  <c r="I49" i="2"/>
  <c r="D34" i="4"/>
  <c r="K49" i="2" s="1"/>
  <c r="B23" i="1"/>
  <c r="B3" i="1"/>
  <c r="F6" i="1"/>
  <c r="M26" i="5"/>
  <c r="D6" i="5" s="1"/>
  <c r="D15" i="1"/>
  <c r="M18" i="5"/>
  <c r="F6" i="5" s="1"/>
  <c r="D16" i="1"/>
  <c r="M49" i="5"/>
  <c r="A228" i="4"/>
  <c r="A203" i="4"/>
  <c r="A178" i="4"/>
  <c r="A153" i="4"/>
  <c r="CE226" i="4"/>
  <c r="AC224" i="4"/>
  <c r="N225" i="4"/>
  <c r="CE227" i="4"/>
  <c r="BR230" i="4"/>
  <c r="BQ225" i="4"/>
  <c r="AU228" i="4"/>
  <c r="DH231" i="4"/>
  <c r="AD224" i="4"/>
  <c r="BJ226" i="4"/>
  <c r="K229" i="4"/>
  <c r="CG224" i="4"/>
  <c r="BG227" i="4"/>
  <c r="BA230" i="4"/>
  <c r="BP224" i="4"/>
  <c r="Y225" i="4"/>
  <c r="N230" i="4"/>
  <c r="BE231" i="4"/>
  <c r="BA224" i="4"/>
  <c r="AC225" i="4"/>
  <c r="Q230" i="4"/>
  <c r="BL231" i="4"/>
  <c r="BS231" i="4"/>
  <c r="BF224" i="4"/>
  <c r="O225" i="4"/>
  <c r="AQ231" i="4"/>
  <c r="AN224" i="4"/>
  <c r="AR231" i="4"/>
  <c r="Z224" i="4"/>
  <c r="DH226" i="4"/>
  <c r="CX227" i="4"/>
  <c r="DO228" i="4"/>
  <c r="AQ239" i="4"/>
  <c r="N224" i="4"/>
  <c r="CI224" i="4"/>
  <c r="AS225" i="4"/>
  <c r="DN225" i="4"/>
  <c r="L226" i="4"/>
  <c r="CT226" i="4"/>
  <c r="CH227" i="4"/>
  <c r="CY228" i="4"/>
  <c r="Q229" i="4"/>
  <c r="DM229" i="4"/>
  <c r="AR230" i="4"/>
  <c r="CL231" i="4"/>
  <c r="S239" i="4"/>
  <c r="AH224" i="4"/>
  <c r="DC224" i="4"/>
  <c r="BL225" i="4"/>
  <c r="AI226" i="4"/>
  <c r="Q227" i="4"/>
  <c r="DK227" i="4"/>
  <c r="Z228" i="4"/>
  <c r="AQ229" i="4"/>
  <c r="BY230" i="4"/>
  <c r="DP231" i="4"/>
  <c r="CH239" i="4"/>
  <c r="BT224" i="4"/>
  <c r="AD225" i="4"/>
  <c r="CY225" i="4"/>
  <c r="CC226" i="4"/>
  <c r="BO227" i="4"/>
  <c r="CC228" i="4"/>
  <c r="CT229" i="4"/>
  <c r="V230" i="4"/>
  <c r="BM231" i="4"/>
  <c r="AB224" i="4"/>
  <c r="CW224" i="4"/>
  <c r="BF225" i="4"/>
  <c r="AB226" i="4"/>
  <c r="DJ226" i="4"/>
  <c r="K227" i="4"/>
  <c r="DC227" i="4"/>
  <c r="R228" i="4"/>
  <c r="AW229" i="4"/>
  <c r="CB230" i="4"/>
  <c r="BA226" i="4"/>
  <c r="DM226" i="4"/>
  <c r="BD227" i="4"/>
  <c r="DP227" i="4"/>
  <c r="BG228" i="4"/>
  <c r="BJ229" i="4"/>
  <c r="CE230" i="4"/>
  <c r="AN231" i="4"/>
  <c r="DI231" i="4"/>
  <c r="CK227" i="4"/>
  <c r="AB228" i="4"/>
  <c r="CN228" i="4"/>
  <c r="AE229" i="4"/>
  <c r="CQ229" i="4"/>
  <c r="AU230" i="4"/>
  <c r="DP230" i="4"/>
  <c r="BZ231" i="4"/>
  <c r="BU239" i="4"/>
  <c r="Y224" i="4"/>
  <c r="CK224" i="4"/>
  <c r="AB225" i="4"/>
  <c r="CN225" i="4"/>
  <c r="AE226" i="4"/>
  <c r="CQ226" i="4"/>
  <c r="AP227" i="4"/>
  <c r="DB227" i="4"/>
  <c r="AS228" i="4"/>
  <c r="DE228" i="4"/>
  <c r="AV229" i="4"/>
  <c r="DH229" i="4"/>
  <c r="BO230" i="4"/>
  <c r="X231" i="4"/>
  <c r="CS231" i="4"/>
  <c r="CS239" i="4"/>
  <c r="AX239" i="4"/>
  <c r="BM239" i="4"/>
  <c r="BF230" i="4"/>
  <c r="BI231" i="4"/>
  <c r="CM239" i="4"/>
  <c r="BP239" i="4"/>
  <c r="BQ239" i="4"/>
  <c r="BT239" i="4"/>
  <c r="AI227" i="4"/>
  <c r="I47" i="2"/>
  <c r="D32" i="4"/>
  <c r="K47" i="2" s="1"/>
  <c r="B36" i="4"/>
  <c r="L5" i="2"/>
  <c r="H6" i="1" s="1"/>
  <c r="B87" i="2"/>
  <c r="L8" i="2" s="1"/>
  <c r="H5" i="2"/>
  <c r="H5" i="1" s="1"/>
  <c r="B91" i="4"/>
  <c r="B93" i="4"/>
  <c r="C52" i="4"/>
  <c r="C93" i="4" s="1"/>
  <c r="I45" i="2"/>
  <c r="D30" i="4"/>
  <c r="K45" i="2" s="1"/>
  <c r="D31" i="4"/>
  <c r="K46" i="2" s="1"/>
  <c r="I46" i="2"/>
  <c r="I44" i="2"/>
  <c r="D29" i="4"/>
  <c r="K44" i="2" s="1"/>
  <c r="M19" i="5"/>
  <c r="H6" i="5" s="1"/>
  <c r="D17" i="1"/>
  <c r="G17" i="1" s="1"/>
  <c r="M29" i="5"/>
  <c r="L6" i="5" s="1"/>
  <c r="D18" i="1"/>
  <c r="M51" i="5"/>
  <c r="CF224" i="4"/>
  <c r="BC227" i="4"/>
  <c r="AQ225" i="4"/>
  <c r="M229" i="4"/>
  <c r="AG225" i="4"/>
  <c r="AA230" i="4"/>
  <c r="CK230" i="4"/>
  <c r="E18" i="1"/>
  <c r="CD225" i="4"/>
  <c r="J51" i="2"/>
  <c r="D8" i="2"/>
  <c r="J6" i="1" s="1"/>
  <c r="C35" i="4"/>
  <c r="J50" i="2" s="1"/>
  <c r="B8" i="2"/>
  <c r="B94" i="4"/>
  <c r="BI225" i="4"/>
  <c r="DK225" i="4"/>
  <c r="CF231" i="4"/>
  <c r="AX225" i="4"/>
  <c r="CH224" i="4"/>
  <c r="CK231" i="4"/>
  <c r="AU225" i="4"/>
  <c r="AW230" i="4"/>
  <c r="CU231" i="4"/>
  <c r="Y230" i="4"/>
  <c r="BG224" i="4"/>
  <c r="BU231" i="4"/>
  <c r="S231" i="4"/>
  <c r="W224" i="4"/>
  <c r="BB225" i="4"/>
  <c r="X226" i="4"/>
  <c r="N228" i="4"/>
  <c r="AU239" i="4"/>
  <c r="AB227" i="4"/>
  <c r="AN228" i="4"/>
  <c r="DH225" i="4"/>
  <c r="CM226" i="4"/>
  <c r="DE229" i="4"/>
  <c r="AK224" i="4"/>
  <c r="BO225" i="4"/>
  <c r="DN227" i="4"/>
  <c r="Y231" i="4"/>
  <c r="BI226" i="4"/>
  <c r="BO228" i="4"/>
  <c r="BR229" i="4"/>
  <c r="S230" i="4"/>
  <c r="AW231" i="4"/>
  <c r="CS227" i="4"/>
  <c r="AJ228" i="4"/>
  <c r="CY229" i="4"/>
  <c r="BD230" i="4"/>
  <c r="N231" i="4"/>
  <c r="AG224" i="4"/>
  <c r="CS224" i="4"/>
  <c r="CV225" i="4"/>
  <c r="AM226" i="4"/>
  <c r="DJ227" i="4"/>
  <c r="BA228" i="4"/>
  <c r="AG231" i="4"/>
  <c r="BN230" i="4"/>
  <c r="DA239" i="4"/>
  <c r="BX239" i="4"/>
  <c r="M239" i="4"/>
  <c r="P239" i="4"/>
  <c r="C53" i="4"/>
  <c r="C94" i="4" s="1"/>
  <c r="DJ225" i="4"/>
  <c r="CE231" i="4"/>
  <c r="CT228" i="4"/>
  <c r="AY226" i="4"/>
  <c r="BM229" i="4"/>
  <c r="CZ224" i="4"/>
  <c r="AG226" i="4"/>
  <c r="AO229" i="4"/>
  <c r="DN231" i="4"/>
  <c r="BM225" i="4"/>
  <c r="S227" i="4"/>
  <c r="AR229" i="4"/>
  <c r="CP224" i="4"/>
  <c r="T226" i="4"/>
  <c r="BB230" i="4"/>
  <c r="BY224" i="4"/>
  <c r="BG230" i="4"/>
  <c r="BJ224" i="4"/>
  <c r="AF224" i="4"/>
  <c r="DB224" i="4"/>
  <c r="BK225" i="4"/>
  <c r="AH226" i="4"/>
  <c r="O227" i="4"/>
  <c r="CE239" i="4"/>
  <c r="R224" i="4"/>
  <c r="E15" i="1"/>
  <c r="M43" i="5"/>
  <c r="M14" i="5"/>
  <c r="D13" i="1"/>
  <c r="G13" i="1" s="1"/>
  <c r="E11" i="1"/>
  <c r="M13" i="5"/>
  <c r="D12" i="1"/>
  <c r="G12" i="1" s="1"/>
  <c r="F13" i="1"/>
  <c r="M38" i="5"/>
  <c r="B34" i="5" s="1"/>
  <c r="M55" i="5"/>
  <c r="A132" i="4"/>
  <c r="A117" i="4"/>
  <c r="C50" i="4"/>
  <c r="CS228" i="4"/>
  <c r="L224" i="4"/>
  <c r="AO226" i="4"/>
  <c r="BO224" i="4"/>
  <c r="DA226" i="4"/>
  <c r="BI229" i="4"/>
  <c r="AR227" i="4"/>
  <c r="AN230" i="4"/>
  <c r="AP225" i="4"/>
  <c r="AA231" i="4"/>
  <c r="BU228" i="4"/>
  <c r="CB225" i="4"/>
  <c r="BB226" i="4"/>
  <c r="AJ227" i="4"/>
  <c r="AW228" i="4"/>
  <c r="BN229" i="4"/>
  <c r="CV230" i="4"/>
  <c r="DD224" i="4"/>
  <c r="CE225" i="4"/>
  <c r="BF226" i="4"/>
  <c r="AM227" i="4"/>
  <c r="BC228" i="4"/>
  <c r="BQ229" i="4"/>
  <c r="DC230" i="4"/>
  <c r="DH224" i="4"/>
  <c r="BR225" i="4"/>
  <c r="AP226" i="4"/>
  <c r="W227" i="4"/>
  <c r="AH228" i="4"/>
  <c r="AY229" i="4"/>
  <c r="CH230" i="4"/>
  <c r="CQ224" i="4"/>
  <c r="BA225" i="4"/>
  <c r="V226" i="4"/>
  <c r="AL228" i="4"/>
  <c r="AZ229" i="4"/>
  <c r="CI230" i="4"/>
  <c r="CB224" i="4"/>
  <c r="AL225" i="4"/>
  <c r="AG230" i="4"/>
  <c r="CB231" i="4"/>
  <c r="AT239" i="4"/>
  <c r="AP224" i="4"/>
  <c r="DK224" i="4"/>
  <c r="BT225" i="4"/>
  <c r="AR226" i="4"/>
  <c r="AA227" i="4"/>
  <c r="AM228" i="4"/>
  <c r="BA229" i="4"/>
  <c r="CJ230" i="4"/>
  <c r="Q231" i="4"/>
  <c r="BI224" i="4"/>
  <c r="R225" i="4"/>
  <c r="CM225" i="4"/>
  <c r="BO226" i="4"/>
  <c r="AY227" i="4"/>
  <c r="BM228" i="4"/>
  <c r="CD229" i="4"/>
  <c r="DN230" i="4"/>
  <c r="AU231" i="4"/>
  <c r="AA224" i="4"/>
  <c r="CV224" i="4"/>
  <c r="BE225" i="4"/>
  <c r="AA226" i="4"/>
  <c r="DI226" i="4"/>
  <c r="CY227" i="4"/>
  <c r="Q228" i="4"/>
  <c r="DP228" i="4"/>
  <c r="AH229" i="4"/>
  <c r="BK230" i="4"/>
  <c r="DF231" i="4"/>
  <c r="CT239" i="4"/>
  <c r="BC224" i="4"/>
  <c r="M225" i="4"/>
  <c r="CH225" i="4"/>
  <c r="BH226" i="4"/>
  <c r="AQ227" i="4"/>
  <c r="BE228" i="4"/>
  <c r="CG229" i="4"/>
  <c r="BB231" i="4"/>
  <c r="M226" i="4"/>
  <c r="BY226" i="4"/>
  <c r="P227" i="4"/>
  <c r="CB227" i="4"/>
  <c r="S228" i="4"/>
  <c r="CE228" i="4"/>
  <c r="V229" i="4"/>
  <c r="CH229" i="4"/>
  <c r="AK230" i="4"/>
  <c r="DF230" i="4"/>
  <c r="BO231" i="4"/>
  <c r="AW239" i="4"/>
  <c r="AW227" i="4"/>
  <c r="DI227" i="4"/>
  <c r="AZ228" i="4"/>
  <c r="DL228" i="4"/>
  <c r="BC229" i="4"/>
  <c r="DO229" i="4"/>
  <c r="BW230" i="4"/>
  <c r="AF231" i="4"/>
  <c r="DA231" i="4"/>
  <c r="AW224" i="4"/>
  <c r="DI224" i="4"/>
  <c r="AZ225" i="4"/>
  <c r="DL225" i="4"/>
  <c r="BC226" i="4"/>
  <c r="DO226" i="4"/>
  <c r="BN227" i="4"/>
  <c r="BQ228" i="4"/>
  <c r="BT229" i="4"/>
  <c r="U230" i="4"/>
  <c r="CP230" i="4"/>
  <c r="AY231" i="4"/>
  <c r="CK239" i="4"/>
  <c r="CY239" i="4"/>
  <c r="R230" i="4"/>
  <c r="CD230" i="4"/>
  <c r="U231" i="4"/>
  <c r="CG231" i="4"/>
  <c r="AA239" i="4"/>
  <c r="AB239" i="4"/>
  <c r="CN239" i="4"/>
  <c r="AC239" i="4"/>
  <c r="CO239" i="4"/>
  <c r="AF239" i="4"/>
  <c r="CR239" i="4"/>
  <c r="F10" i="1"/>
  <c r="BG225" i="4"/>
  <c r="A222" i="4"/>
  <c r="A197" i="4"/>
  <c r="A172" i="4"/>
  <c r="A147" i="4"/>
  <c r="AG228" i="4"/>
  <c r="DG228" i="4"/>
  <c r="DL226" i="4"/>
  <c r="BW229" i="4"/>
  <c r="AO230" i="4"/>
  <c r="K226" i="4"/>
  <c r="AQ230" i="4"/>
  <c r="BS224" i="4"/>
  <c r="P226" i="4"/>
  <c r="S229" i="4"/>
  <c r="CN231" i="4"/>
  <c r="BX224" i="4"/>
  <c r="BT231" i="4"/>
  <c r="P225" i="4"/>
  <c r="AR224" i="4"/>
  <c r="CR224" i="4"/>
  <c r="DD226" i="4"/>
  <c r="CV227" i="4"/>
  <c r="DJ228" i="4"/>
  <c r="AB229" i="4"/>
  <c r="BH230" i="4"/>
  <c r="CY231" i="4"/>
  <c r="AQ224" i="4"/>
  <c r="DL224" i="4"/>
  <c r="BU225" i="4"/>
  <c r="AT226" i="4"/>
  <c r="BE229" i="4"/>
  <c r="R231" i="4"/>
  <c r="CD224" i="4"/>
  <c r="AM225" i="4"/>
  <c r="BZ227" i="4"/>
  <c r="CQ228" i="4"/>
  <c r="AI230" i="4"/>
  <c r="CC231" i="4"/>
  <c r="AD239" i="4"/>
  <c r="DF224" i="4"/>
  <c r="AN226" i="4"/>
  <c r="U227" i="4"/>
  <c r="AF228" i="4"/>
  <c r="BH229" i="4"/>
  <c r="CR230" i="4"/>
  <c r="BL227" i="4"/>
  <c r="CN230" i="4"/>
  <c r="CV228" i="4"/>
  <c r="AM229" i="4"/>
  <c r="CI231" i="4"/>
  <c r="CQ239" i="4"/>
  <c r="AJ225" i="4"/>
  <c r="CY226" i="4"/>
  <c r="AX227" i="4"/>
  <c r="DM228" i="4"/>
  <c r="BD229" i="4"/>
  <c r="DP229" i="4"/>
  <c r="BX230" i="4"/>
  <c r="DB231" i="4"/>
  <c r="DO239" i="4"/>
  <c r="BK239" i="4"/>
  <c r="BZ239" i="4"/>
  <c r="BQ231" i="4"/>
  <c r="L239" i="4"/>
  <c r="BY239" i="4"/>
  <c r="CB239" i="4"/>
  <c r="E10" i="1"/>
  <c r="F18" i="1"/>
  <c r="AV224" i="4"/>
  <c r="W228" i="4"/>
  <c r="T224" i="4"/>
  <c r="DO227" i="4"/>
  <c r="CS225" i="4"/>
  <c r="BC231" i="4"/>
  <c r="BJ225" i="4"/>
  <c r="N227" i="4"/>
  <c r="X228" i="4"/>
  <c r="BS230" i="4"/>
  <c r="CL224" i="4"/>
  <c r="AJ226" i="4"/>
  <c r="AD228" i="4"/>
  <c r="BZ230" i="4"/>
  <c r="AY225" i="4"/>
  <c r="Z229" i="4"/>
  <c r="CV231" i="4"/>
  <c r="AH225" i="4"/>
  <c r="AA229" i="4"/>
  <c r="CX231" i="4"/>
  <c r="S225" i="4"/>
  <c r="AV231" i="4"/>
  <c r="R239" i="4"/>
  <c r="DP226" i="4"/>
  <c r="DG227" i="4"/>
  <c r="Y228" i="4"/>
  <c r="AP229" i="4"/>
  <c r="BT230" i="4"/>
  <c r="DO231" i="4"/>
  <c r="AZ224" i="4"/>
  <c r="BE226" i="4"/>
  <c r="AL227" i="4"/>
  <c r="BB228" i="4"/>
  <c r="BP229" i="4"/>
  <c r="DA230" i="4"/>
  <c r="AH231" i="4"/>
  <c r="CM224" i="4"/>
  <c r="AV225" i="4"/>
  <c r="Q226" i="4"/>
  <c r="CX226" i="4"/>
  <c r="CN227" i="4"/>
  <c r="DB228" i="4"/>
  <c r="T229" i="4"/>
  <c r="AY230" i="4"/>
  <c r="CP231" i="4"/>
  <c r="BJ239" i="4"/>
  <c r="AT224" i="4"/>
  <c r="DO224" i="4"/>
  <c r="BY225" i="4"/>
  <c r="AX226" i="4"/>
  <c r="AE227" i="4"/>
  <c r="AT228" i="4"/>
  <c r="BV229" i="4"/>
  <c r="DE230" i="4"/>
  <c r="AL231" i="4"/>
  <c r="BQ226" i="4"/>
  <c r="BT227" i="4"/>
  <c r="K228" i="4"/>
  <c r="BW228" i="4"/>
  <c r="N229" i="4"/>
  <c r="BZ229" i="4"/>
  <c r="AB230" i="4"/>
  <c r="CW230" i="4"/>
  <c r="BF231" i="4"/>
  <c r="AE239" i="4"/>
  <c r="DA227" i="4"/>
  <c r="AR228" i="4"/>
  <c r="DD228" i="4"/>
  <c r="AU229" i="4"/>
  <c r="DG229" i="4"/>
  <c r="BM230" i="4"/>
  <c r="W231" i="4"/>
  <c r="CR231" i="4"/>
  <c r="DI239" i="4"/>
  <c r="AO224" i="4"/>
  <c r="DA224" i="4"/>
  <c r="AR225" i="4"/>
  <c r="DD225" i="4"/>
  <c r="AU226" i="4"/>
  <c r="DG226" i="4"/>
  <c r="BF227" i="4"/>
  <c r="BI228" i="4"/>
  <c r="BL229" i="4"/>
  <c r="L230" i="4"/>
  <c r="CG230" i="4"/>
  <c r="AP231" i="4"/>
  <c r="DK231" i="4"/>
  <c r="BW239" i="4"/>
  <c r="CL239" i="4"/>
  <c r="BV230" i="4"/>
  <c r="M231" i="4"/>
  <c r="BY231" i="4"/>
  <c r="O239" i="4"/>
  <c r="DN239" i="4"/>
  <c r="T239" i="4"/>
  <c r="CF239" i="4"/>
  <c r="U239" i="4"/>
  <c r="CG239" i="4"/>
  <c r="X239" i="4"/>
  <c r="CJ239" i="4"/>
  <c r="E17" i="1"/>
  <c r="M16" i="5"/>
  <c r="M23" i="5"/>
  <c r="M15" i="5"/>
  <c r="D14" i="1"/>
  <c r="G14" i="1" s="1"/>
  <c r="M41" i="5"/>
  <c r="E16" i="1"/>
  <c r="M11" i="5"/>
  <c r="M40" i="5"/>
  <c r="M57" i="5"/>
  <c r="L34" i="5" s="1"/>
  <c r="A114" i="4"/>
  <c r="A129" i="4"/>
  <c r="AJ229" i="4"/>
  <c r="K224" i="4"/>
  <c r="AF226" i="4"/>
  <c r="BN224" i="4"/>
  <c r="CR226" i="4"/>
  <c r="AX229" i="4"/>
  <c r="DP224" i="4"/>
  <c r="X230" i="4"/>
  <c r="AO225" i="4"/>
  <c r="DE227" i="4"/>
  <c r="DI230" i="4"/>
  <c r="CR225" i="4"/>
  <c r="BT228" i="4"/>
  <c r="S226" i="4"/>
  <c r="BR239" i="4"/>
  <c r="CT225" i="4"/>
  <c r="BW226" i="4"/>
  <c r="BH227" i="4"/>
  <c r="BV228" i="4"/>
  <c r="CM229" i="4"/>
  <c r="CX225" i="4"/>
  <c r="CB226" i="4"/>
  <c r="BK227" i="4"/>
  <c r="CB228" i="4"/>
  <c r="CS229" i="4"/>
  <c r="CJ225" i="4"/>
  <c r="BL226" i="4"/>
  <c r="AS227" i="4"/>
  <c r="BJ228" i="4"/>
  <c r="BX229" i="4"/>
  <c r="DK230" i="4"/>
  <c r="DJ224" i="4"/>
  <c r="BS225" i="4"/>
  <c r="AQ226" i="4"/>
  <c r="Y227" i="4"/>
  <c r="BK228" i="4"/>
  <c r="BY229" i="4"/>
  <c r="DL230" i="4"/>
  <c r="CU224" i="4"/>
  <c r="BD225" i="4"/>
  <c r="Z226" i="4"/>
  <c r="P228" i="4"/>
  <c r="AG229" i="4"/>
  <c r="BJ230" i="4"/>
  <c r="DD231" i="4"/>
  <c r="CD239" i="4"/>
  <c r="AY224" i="4"/>
  <c r="CC225" i="4"/>
  <c r="BD226" i="4"/>
  <c r="AK227" i="4"/>
  <c r="AX228" i="4"/>
  <c r="BO229" i="4"/>
  <c r="CZ230" i="4"/>
  <c r="AD231" i="4"/>
  <c r="BR224" i="4"/>
  <c r="AA225" i="4"/>
  <c r="CW225" i="4"/>
  <c r="BZ226" i="4"/>
  <c r="BJ227" i="4"/>
  <c r="CA228" i="4"/>
  <c r="CO229" i="4"/>
  <c r="P230" i="4"/>
  <c r="BK231" i="4"/>
  <c r="W239" i="4"/>
  <c r="AJ224" i="4"/>
  <c r="DE224" i="4"/>
  <c r="BN225" i="4"/>
  <c r="AL226" i="4"/>
  <c r="T227" i="4"/>
  <c r="DM227" i="4"/>
  <c r="AE228" i="4"/>
  <c r="AS229" i="4"/>
  <c r="CA230" i="4"/>
  <c r="BL224" i="4"/>
  <c r="V225" i="4"/>
  <c r="CQ225" i="4"/>
  <c r="BT226" i="4"/>
  <c r="BB227" i="4"/>
  <c r="BS228" i="4"/>
  <c r="CU229" i="4"/>
  <c r="W230" i="4"/>
  <c r="BN231" i="4"/>
  <c r="U226" i="4"/>
  <c r="CG226" i="4"/>
  <c r="X227" i="4"/>
  <c r="CJ227" i="4"/>
  <c r="AA228" i="4"/>
  <c r="CM228" i="4"/>
  <c r="AD229" i="4"/>
  <c r="CP229" i="4"/>
  <c r="AT230" i="4"/>
  <c r="DO230" i="4"/>
  <c r="BX231" i="4"/>
  <c r="BS239" i="4"/>
  <c r="BE227" i="4"/>
  <c r="BH228" i="4"/>
  <c r="BK229" i="4"/>
  <c r="K230" i="4"/>
  <c r="CF230" i="4"/>
  <c r="AO231" i="4"/>
  <c r="DJ231" i="4"/>
  <c r="BE224" i="4"/>
  <c r="BH225" i="4"/>
  <c r="BK226" i="4"/>
  <c r="BV227" i="4"/>
  <c r="M228" i="4"/>
  <c r="BY228" i="4"/>
  <c r="P229" i="4"/>
  <c r="CB229" i="4"/>
  <c r="AD230" i="4"/>
  <c r="CY230" i="4"/>
  <c r="BH231" i="4"/>
  <c r="Q239" i="4"/>
  <c r="CX239" i="4"/>
  <c r="N239" i="4"/>
  <c r="DK239" i="4"/>
  <c r="Z230" i="4"/>
  <c r="CL230" i="4"/>
  <c r="AC231" i="4"/>
  <c r="CO231" i="4"/>
  <c r="AO239" i="4"/>
  <c r="AJ239" i="4"/>
  <c r="CV239" i="4"/>
  <c r="AK239" i="4"/>
  <c r="CW239" i="4"/>
  <c r="AN239" i="4"/>
  <c r="CZ239" i="4"/>
  <c r="BQ227" i="4"/>
  <c r="AV228" i="4"/>
  <c r="A218" i="4"/>
  <c r="A193" i="4"/>
  <c r="A143" i="4"/>
  <c r="A168" i="4"/>
  <c r="D51" i="4" l="1"/>
  <c r="E51" i="4" s="1"/>
  <c r="D54" i="4"/>
  <c r="E54" i="4" s="1"/>
  <c r="D124" i="4"/>
  <c r="K103" i="4"/>
  <c r="C123" i="4"/>
  <c r="K108" i="4"/>
  <c r="D122" i="4"/>
  <c r="K105" i="4"/>
  <c r="K106" i="4"/>
  <c r="C121" i="4"/>
  <c r="C124" i="4"/>
  <c r="C122" i="4"/>
  <c r="K104" i="4"/>
  <c r="D126" i="4"/>
  <c r="D123" i="4"/>
  <c r="C126" i="4"/>
  <c r="D121" i="4"/>
  <c r="K109" i="4"/>
  <c r="D127" i="4"/>
  <c r="K107" i="4"/>
  <c r="C127" i="4"/>
  <c r="D125" i="4"/>
  <c r="C125" i="4"/>
  <c r="C91" i="4"/>
  <c r="C129" i="4" s="1"/>
  <c r="C114" i="4"/>
  <c r="D129" i="4"/>
  <c r="K114" i="4"/>
  <c r="A220" i="4"/>
  <c r="A195" i="4"/>
  <c r="A170" i="4"/>
  <c r="A145" i="4"/>
  <c r="B110" i="4"/>
  <c r="J60" i="2"/>
  <c r="G10" i="1"/>
  <c r="B88" i="1" s="1"/>
  <c r="A235" i="4"/>
  <c r="A210" i="4"/>
  <c r="A185" i="4"/>
  <c r="A160" i="4"/>
  <c r="C117" i="4"/>
  <c r="K117" i="4"/>
  <c r="D94" i="4"/>
  <c r="K94" i="4" s="1"/>
  <c r="G18" i="1"/>
  <c r="D5" i="1" s="1"/>
  <c r="A232" i="4"/>
  <c r="A207" i="4"/>
  <c r="A182" i="4"/>
  <c r="A157" i="4"/>
  <c r="D53" i="4"/>
  <c r="E53" i="4" s="1"/>
  <c r="B6" i="5"/>
  <c r="B96" i="4"/>
  <c r="G11" i="1"/>
  <c r="A236" i="4"/>
  <c r="A211" i="4"/>
  <c r="A186" i="4"/>
  <c r="A161" i="4"/>
  <c r="D52" i="4"/>
  <c r="E52" i="4" s="1"/>
  <c r="G16" i="1"/>
  <c r="B5" i="1" s="1"/>
  <c r="C118" i="4"/>
  <c r="K118" i="4"/>
  <c r="D95" i="4"/>
  <c r="K95" i="4" s="1"/>
  <c r="A221" i="4"/>
  <c r="A196" i="4"/>
  <c r="A171" i="4"/>
  <c r="A146" i="4"/>
  <c r="C131" i="4"/>
  <c r="C116" i="4"/>
  <c r="D93" i="4"/>
  <c r="K93" i="4" s="1"/>
  <c r="K116" i="4"/>
  <c r="O99" i="4"/>
  <c r="A120" i="4" s="1"/>
  <c r="K99" i="4"/>
  <c r="C133" i="4"/>
  <c r="C130" i="4"/>
  <c r="A217" i="4"/>
  <c r="A192" i="4"/>
  <c r="A142" i="4"/>
  <c r="A167" i="4"/>
  <c r="L42" i="1"/>
  <c r="J5" i="1"/>
  <c r="D36" i="4"/>
  <c r="I51" i="2"/>
  <c r="B35" i="4"/>
  <c r="C132" i="4"/>
  <c r="D50" i="4"/>
  <c r="E50" i="4" s="1"/>
  <c r="G15" i="1"/>
  <c r="B6" i="1" s="1"/>
  <c r="F60" i="2"/>
  <c r="B67" i="4"/>
  <c r="B111" i="4" s="1"/>
  <c r="C55" i="4"/>
  <c r="C96" i="4" s="1"/>
  <c r="C134" i="4" s="1"/>
  <c r="B100" i="4"/>
  <c r="G42" i="1" s="1"/>
  <c r="C115" i="4"/>
  <c r="D92" i="4"/>
  <c r="K92" i="4" s="1"/>
  <c r="K115" i="4"/>
  <c r="CI187" i="4" l="1"/>
  <c r="CA187" i="4"/>
  <c r="BS187" i="4"/>
  <c r="BK187" i="4"/>
  <c r="BC187" i="4"/>
  <c r="AU187" i="4"/>
  <c r="AM187" i="4"/>
  <c r="AE187" i="4"/>
  <c r="W187" i="4"/>
  <c r="O187" i="4"/>
  <c r="CG187" i="4"/>
  <c r="BY187" i="4"/>
  <c r="BQ187" i="4"/>
  <c r="BI187" i="4"/>
  <c r="BA187" i="4"/>
  <c r="AS187" i="4"/>
  <c r="AK187" i="4"/>
  <c r="AC187" i="4"/>
  <c r="U187" i="4"/>
  <c r="M187" i="4"/>
  <c r="CJ187" i="4"/>
  <c r="BX187" i="4"/>
  <c r="BN187" i="4"/>
  <c r="BD187" i="4"/>
  <c r="AR187" i="4"/>
  <c r="AH187" i="4"/>
  <c r="X187" i="4"/>
  <c r="L187" i="4"/>
  <c r="CH187" i="4"/>
  <c r="BW187" i="4"/>
  <c r="BM187" i="4"/>
  <c r="BB187" i="4"/>
  <c r="AQ187" i="4"/>
  <c r="AG187" i="4"/>
  <c r="V187" i="4"/>
  <c r="K187" i="4"/>
  <c r="CF187" i="4"/>
  <c r="BV187" i="4"/>
  <c r="BL187" i="4"/>
  <c r="AZ187" i="4"/>
  <c r="AP187" i="4"/>
  <c r="AF187" i="4"/>
  <c r="T187" i="4"/>
  <c r="BU187" i="4"/>
  <c r="BF187" i="4"/>
  <c r="AN187" i="4"/>
  <c r="Y187" i="4"/>
  <c r="BT187" i="4"/>
  <c r="BE187" i="4"/>
  <c r="AL187" i="4"/>
  <c r="S187" i="4"/>
  <c r="BR187" i="4"/>
  <c r="AY187" i="4"/>
  <c r="AJ187" i="4"/>
  <c r="R187" i="4"/>
  <c r="CE187" i="4"/>
  <c r="BP187" i="4"/>
  <c r="AX187" i="4"/>
  <c r="AI187" i="4"/>
  <c r="Q187" i="4"/>
  <c r="CD187" i="4"/>
  <c r="BO187" i="4"/>
  <c r="AW187" i="4"/>
  <c r="AD187" i="4"/>
  <c r="P187" i="4"/>
  <c r="CC187" i="4"/>
  <c r="BJ187" i="4"/>
  <c r="AV187" i="4"/>
  <c r="AB187" i="4"/>
  <c r="N187" i="4"/>
  <c r="BZ187" i="4"/>
  <c r="BH187" i="4"/>
  <c r="BG187" i="4"/>
  <c r="AT187" i="4"/>
  <c r="AO187" i="4"/>
  <c r="AA187" i="4"/>
  <c r="CB187" i="4"/>
  <c r="Z187" i="4"/>
  <c r="GO149" i="4"/>
  <c r="GG149" i="4"/>
  <c r="FY149" i="4"/>
  <c r="FQ149" i="4"/>
  <c r="FI149" i="4"/>
  <c r="FA149" i="4"/>
  <c r="ES149" i="4"/>
  <c r="EK149" i="4"/>
  <c r="EC149" i="4"/>
  <c r="DU149" i="4"/>
  <c r="DM149" i="4"/>
  <c r="DE149" i="4"/>
  <c r="CW149" i="4"/>
  <c r="CO149" i="4"/>
  <c r="CG149" i="4"/>
  <c r="BY149" i="4"/>
  <c r="BQ149" i="4"/>
  <c r="BI149" i="4"/>
  <c r="BA149" i="4"/>
  <c r="AS149" i="4"/>
  <c r="AK149" i="4"/>
  <c r="AC149" i="4"/>
  <c r="U149" i="4"/>
  <c r="M149" i="4"/>
  <c r="GN149" i="4"/>
  <c r="GF149" i="4"/>
  <c r="FX149" i="4"/>
  <c r="FP149" i="4"/>
  <c r="FH149" i="4"/>
  <c r="EZ149" i="4"/>
  <c r="ER149" i="4"/>
  <c r="EJ149" i="4"/>
  <c r="EB149" i="4"/>
  <c r="DT149" i="4"/>
  <c r="DL149" i="4"/>
  <c r="DD149" i="4"/>
  <c r="CV149" i="4"/>
  <c r="CN149" i="4"/>
  <c r="CF149" i="4"/>
  <c r="BX149" i="4"/>
  <c r="BP149" i="4"/>
  <c r="BH149" i="4"/>
  <c r="AZ149" i="4"/>
  <c r="AR149" i="4"/>
  <c r="AJ149" i="4"/>
  <c r="AB149" i="4"/>
  <c r="T149" i="4"/>
  <c r="L149" i="4"/>
  <c r="GM149" i="4"/>
  <c r="GE149" i="4"/>
  <c r="FW149" i="4"/>
  <c r="FO149" i="4"/>
  <c r="FG149" i="4"/>
  <c r="EY149" i="4"/>
  <c r="EQ149" i="4"/>
  <c r="EI149" i="4"/>
  <c r="EA149" i="4"/>
  <c r="DS149" i="4"/>
  <c r="DK149" i="4"/>
  <c r="DC149" i="4"/>
  <c r="CU149" i="4"/>
  <c r="CM149" i="4"/>
  <c r="CE149" i="4"/>
  <c r="BW149" i="4"/>
  <c r="BO149" i="4"/>
  <c r="BG149" i="4"/>
  <c r="AY149" i="4"/>
  <c r="AQ149" i="4"/>
  <c r="AI149" i="4"/>
  <c r="AA149" i="4"/>
  <c r="S149" i="4"/>
  <c r="K149" i="4"/>
  <c r="GK149" i="4"/>
  <c r="GC149" i="4"/>
  <c r="FU149" i="4"/>
  <c r="FM149" i="4"/>
  <c r="FE149" i="4"/>
  <c r="EW149" i="4"/>
  <c r="EO149" i="4"/>
  <c r="EG149" i="4"/>
  <c r="DY149" i="4"/>
  <c r="DQ149" i="4"/>
  <c r="DI149" i="4"/>
  <c r="DA149" i="4"/>
  <c r="CS149" i="4"/>
  <c r="CK149" i="4"/>
  <c r="CC149" i="4"/>
  <c r="BU149" i="4"/>
  <c r="BM149" i="4"/>
  <c r="BE149" i="4"/>
  <c r="AW149" i="4"/>
  <c r="AO149" i="4"/>
  <c r="AG149" i="4"/>
  <c r="Y149" i="4"/>
  <c r="Q149" i="4"/>
  <c r="GJ149" i="4"/>
  <c r="GB149" i="4"/>
  <c r="FT149" i="4"/>
  <c r="FL149" i="4"/>
  <c r="FD149" i="4"/>
  <c r="EV149" i="4"/>
  <c r="EN149" i="4"/>
  <c r="EF149" i="4"/>
  <c r="DX149" i="4"/>
  <c r="DP149" i="4"/>
  <c r="DH149" i="4"/>
  <c r="CZ149" i="4"/>
  <c r="CR149" i="4"/>
  <c r="CJ149" i="4"/>
  <c r="CB149" i="4"/>
  <c r="BT149" i="4"/>
  <c r="BL149" i="4"/>
  <c r="BD149" i="4"/>
  <c r="AV149" i="4"/>
  <c r="AN149" i="4"/>
  <c r="AF149" i="4"/>
  <c r="X149" i="4"/>
  <c r="P149" i="4"/>
  <c r="GD149" i="4"/>
  <c r="FJ149" i="4"/>
  <c r="EM149" i="4"/>
  <c r="DR149" i="4"/>
  <c r="CX149" i="4"/>
  <c r="CA149" i="4"/>
  <c r="BF149" i="4"/>
  <c r="AL149" i="4"/>
  <c r="O149" i="4"/>
  <c r="GA149" i="4"/>
  <c r="FF149" i="4"/>
  <c r="EL149" i="4"/>
  <c r="DO149" i="4"/>
  <c r="CT149" i="4"/>
  <c r="BZ149" i="4"/>
  <c r="BC149" i="4"/>
  <c r="AH149" i="4"/>
  <c r="N149" i="4"/>
  <c r="FZ149" i="4"/>
  <c r="FC149" i="4"/>
  <c r="EH149" i="4"/>
  <c r="DN149" i="4"/>
  <c r="CQ149" i="4"/>
  <c r="BV149" i="4"/>
  <c r="BB149" i="4"/>
  <c r="AE149" i="4"/>
  <c r="FV149" i="4"/>
  <c r="FB149" i="4"/>
  <c r="EE149" i="4"/>
  <c r="DJ149" i="4"/>
  <c r="CP149" i="4"/>
  <c r="BS149" i="4"/>
  <c r="AX149" i="4"/>
  <c r="AD149" i="4"/>
  <c r="GL149" i="4"/>
  <c r="FR149" i="4"/>
  <c r="EU149" i="4"/>
  <c r="DZ149" i="4"/>
  <c r="DF149" i="4"/>
  <c r="CI149" i="4"/>
  <c r="BN149" i="4"/>
  <c r="AT149" i="4"/>
  <c r="W149" i="4"/>
  <c r="FS149" i="4"/>
  <c r="DV149" i="4"/>
  <c r="BK149" i="4"/>
  <c r="FN149" i="4"/>
  <c r="DG149" i="4"/>
  <c r="BJ149" i="4"/>
  <c r="GH149" i="4"/>
  <c r="BR149" i="4"/>
  <c r="FK149" i="4"/>
  <c r="DB149" i="4"/>
  <c r="AU149" i="4"/>
  <c r="EX149" i="4"/>
  <c r="CY149" i="4"/>
  <c r="AP149" i="4"/>
  <c r="ET149" i="4"/>
  <c r="CL149" i="4"/>
  <c r="AM149" i="4"/>
  <c r="GP149" i="4"/>
  <c r="EP149" i="4"/>
  <c r="CH149" i="4"/>
  <c r="Z149" i="4"/>
  <c r="DW149" i="4"/>
  <c r="R149" i="4"/>
  <c r="GI149" i="4"/>
  <c r="ED149" i="4"/>
  <c r="CD149" i="4"/>
  <c r="V149" i="4"/>
  <c r="A223" i="4"/>
  <c r="A198" i="4"/>
  <c r="A173" i="4"/>
  <c r="A148" i="4"/>
  <c r="CJ182" i="4"/>
  <c r="CB182" i="4"/>
  <c r="BT182" i="4"/>
  <c r="BL182" i="4"/>
  <c r="BD182" i="4"/>
  <c r="AV182" i="4"/>
  <c r="AN182" i="4"/>
  <c r="AF182" i="4"/>
  <c r="X182" i="4"/>
  <c r="P182" i="4"/>
  <c r="CD182" i="4"/>
  <c r="BU182" i="4"/>
  <c r="BK182" i="4"/>
  <c r="BB182" i="4"/>
  <c r="AS182" i="4"/>
  <c r="AJ182" i="4"/>
  <c r="AA182" i="4"/>
  <c r="R182" i="4"/>
  <c r="CC182" i="4"/>
  <c r="BS182" i="4"/>
  <c r="BJ182" i="4"/>
  <c r="BA182" i="4"/>
  <c r="AR182" i="4"/>
  <c r="AI182" i="4"/>
  <c r="Z182" i="4"/>
  <c r="Q182" i="4"/>
  <c r="CA182" i="4"/>
  <c r="BR182" i="4"/>
  <c r="BI182" i="4"/>
  <c r="AZ182" i="4"/>
  <c r="AQ182" i="4"/>
  <c r="AH182" i="4"/>
  <c r="Y182" i="4"/>
  <c r="O182" i="4"/>
  <c r="CF182" i="4"/>
  <c r="BP182" i="4"/>
  <c r="BC182" i="4"/>
  <c r="AM182" i="4"/>
  <c r="W182" i="4"/>
  <c r="K182" i="4"/>
  <c r="CE182" i="4"/>
  <c r="BO182" i="4"/>
  <c r="AY182" i="4"/>
  <c r="AL182" i="4"/>
  <c r="V182" i="4"/>
  <c r="BY182" i="4"/>
  <c r="BM182" i="4"/>
  <c r="AW182" i="4"/>
  <c r="AG182" i="4"/>
  <c r="T182" i="4"/>
  <c r="BX182" i="4"/>
  <c r="BH182" i="4"/>
  <c r="AU182" i="4"/>
  <c r="AE182" i="4"/>
  <c r="S182" i="4"/>
  <c r="BN182" i="4"/>
  <c r="AK182" i="4"/>
  <c r="CI182" i="4"/>
  <c r="BG182" i="4"/>
  <c r="AD182" i="4"/>
  <c r="CH182" i="4"/>
  <c r="BF182" i="4"/>
  <c r="AC182" i="4"/>
  <c r="CG182" i="4"/>
  <c r="BE182" i="4"/>
  <c r="AB182" i="4"/>
  <c r="BZ182" i="4"/>
  <c r="AX182" i="4"/>
  <c r="U182" i="4"/>
  <c r="BW182" i="4"/>
  <c r="AT182" i="4"/>
  <c r="N182" i="4"/>
  <c r="BV182" i="4"/>
  <c r="BQ182" i="4"/>
  <c r="AP182" i="4"/>
  <c r="AO182" i="4"/>
  <c r="M182" i="4"/>
  <c r="L182" i="4"/>
  <c r="FN179" i="4"/>
  <c r="EM179" i="4"/>
  <c r="EP179" i="4"/>
  <c r="DW179" i="4"/>
  <c r="FF179" i="4"/>
  <c r="ET179" i="4"/>
  <c r="FT179" i="4"/>
  <c r="DU179" i="4"/>
  <c r="GI179" i="4"/>
  <c r="DX179" i="4"/>
  <c r="FY179" i="4"/>
  <c r="EN179" i="4"/>
  <c r="GB179" i="4"/>
  <c r="DS179" i="4"/>
  <c r="FU179" i="4"/>
  <c r="EK179" i="4"/>
  <c r="GA179" i="4"/>
  <c r="FP179" i="4"/>
  <c r="ED179" i="4"/>
  <c r="FI179" i="4"/>
  <c r="EE179" i="4"/>
  <c r="EG179" i="4"/>
  <c r="GH179" i="4"/>
  <c r="EW179" i="4"/>
  <c r="GN179" i="4"/>
  <c r="EH179" i="4"/>
  <c r="GK179" i="4"/>
  <c r="FD179" i="4"/>
  <c r="EJ179" i="4"/>
  <c r="EQ179" i="4"/>
  <c r="GL179" i="4"/>
  <c r="GJ179" i="4"/>
  <c r="FL179" i="4"/>
  <c r="FE179" i="4"/>
  <c r="EA179" i="4"/>
  <c r="FS179" i="4"/>
  <c r="FZ179" i="4"/>
  <c r="FG179" i="4"/>
  <c r="GP179" i="4"/>
  <c r="DV179" i="4"/>
  <c r="EV179" i="4"/>
  <c r="ER179" i="4"/>
  <c r="EC179" i="4"/>
  <c r="GE179" i="4"/>
  <c r="GD179" i="4"/>
  <c r="EZ179" i="4"/>
  <c r="FK179" i="4"/>
  <c r="FQ179" i="4"/>
  <c r="EX179" i="4"/>
  <c r="GG179" i="4"/>
  <c r="EI179" i="4"/>
  <c r="GM179" i="4"/>
  <c r="EB179" i="4"/>
  <c r="FB179" i="4"/>
  <c r="FA179" i="4"/>
  <c r="FV179" i="4"/>
  <c r="FR179" i="4"/>
  <c r="FM179" i="4"/>
  <c r="GC179" i="4"/>
  <c r="FC179" i="4"/>
  <c r="FH179" i="4"/>
  <c r="EO179" i="4"/>
  <c r="FX179" i="4"/>
  <c r="DT179" i="4"/>
  <c r="FW179" i="4"/>
  <c r="DQ179" i="4"/>
  <c r="DY179" i="4"/>
  <c r="ES179" i="4"/>
  <c r="EL179" i="4"/>
  <c r="EU179" i="4"/>
  <c r="EF179" i="4"/>
  <c r="EY179" i="4"/>
  <c r="DR179" i="4"/>
  <c r="GO179" i="4"/>
  <c r="FJ179" i="4"/>
  <c r="GF179" i="4"/>
  <c r="FO179" i="4"/>
  <c r="DZ179" i="4"/>
  <c r="O105" i="4"/>
  <c r="O95" i="4"/>
  <c r="EK178" i="4"/>
  <c r="GF178" i="4"/>
  <c r="DT178" i="4"/>
  <c r="EY178" i="4"/>
  <c r="FR178" i="4"/>
  <c r="ED178" i="4"/>
  <c r="FZ178" i="4"/>
  <c r="EW178" i="4"/>
  <c r="ET178" i="4"/>
  <c r="FE178" i="4"/>
  <c r="GG178" i="4"/>
  <c r="DU178" i="4"/>
  <c r="FP178" i="4"/>
  <c r="EI178" i="4"/>
  <c r="EP178" i="4"/>
  <c r="EX178" i="4"/>
  <c r="FM178" i="4"/>
  <c r="FT178" i="4"/>
  <c r="EA178" i="4"/>
  <c r="EM178" i="4"/>
  <c r="GI178" i="4"/>
  <c r="GH178" i="4"/>
  <c r="GO178" i="4"/>
  <c r="EC178" i="4"/>
  <c r="FX178" i="4"/>
  <c r="EQ178" i="4"/>
  <c r="FD178" i="4"/>
  <c r="FL178" i="4"/>
  <c r="EL178" i="4"/>
  <c r="GL178" i="4"/>
  <c r="FS178" i="4"/>
  <c r="EU178" i="4"/>
  <c r="DX178" i="4"/>
  <c r="FY178" i="4"/>
  <c r="FH178" i="4"/>
  <c r="GM178" i="4"/>
  <c r="EE178" i="4"/>
  <c r="GP178" i="4"/>
  <c r="EN178" i="4"/>
  <c r="GD178" i="4"/>
  <c r="FQ178" i="4"/>
  <c r="EZ178" i="4"/>
  <c r="GE178" i="4"/>
  <c r="DS178" i="4"/>
  <c r="DQ178" i="4"/>
  <c r="GB178" i="4"/>
  <c r="DY178" i="4"/>
  <c r="FJ178" i="4"/>
  <c r="FF178" i="4"/>
  <c r="GA178" i="4"/>
  <c r="FU178" i="4"/>
  <c r="DR178" i="4"/>
  <c r="FI178" i="4"/>
  <c r="ER178" i="4"/>
  <c r="FW178" i="4"/>
  <c r="FN178" i="4"/>
  <c r="GJ178" i="4"/>
  <c r="EH178" i="4"/>
  <c r="EG178" i="4"/>
  <c r="FB178" i="4"/>
  <c r="EV178" i="4"/>
  <c r="DV178" i="4"/>
  <c r="FA178" i="4"/>
  <c r="EJ178" i="4"/>
  <c r="FO178" i="4"/>
  <c r="FC178" i="4"/>
  <c r="FV178" i="4"/>
  <c r="EF178" i="4"/>
  <c r="DZ178" i="4"/>
  <c r="DW178" i="4"/>
  <c r="ES178" i="4"/>
  <c r="EB178" i="4"/>
  <c r="FG178" i="4"/>
  <c r="GC178" i="4"/>
  <c r="EO178" i="4"/>
  <c r="GN178" i="4"/>
  <c r="GK178" i="4"/>
  <c r="FK178" i="4"/>
  <c r="O108" i="4"/>
  <c r="C136" i="4"/>
  <c r="K111" i="4"/>
  <c r="D128" i="4"/>
  <c r="C128" i="4"/>
  <c r="K110" i="4"/>
  <c r="C120" i="4"/>
  <c r="L100" i="4"/>
  <c r="B86" i="1"/>
  <c r="O92" i="4"/>
  <c r="CJ168" i="4"/>
  <c r="CB168" i="4"/>
  <c r="BT168" i="4"/>
  <c r="BL168" i="4"/>
  <c r="BD168" i="4"/>
  <c r="AV168" i="4"/>
  <c r="AN168" i="4"/>
  <c r="AF168" i="4"/>
  <c r="X168" i="4"/>
  <c r="P168" i="4"/>
  <c r="CI168" i="4"/>
  <c r="CA168" i="4"/>
  <c r="BS168" i="4"/>
  <c r="BK168" i="4"/>
  <c r="BC168" i="4"/>
  <c r="AU168" i="4"/>
  <c r="AM168" i="4"/>
  <c r="AE168" i="4"/>
  <c r="W168" i="4"/>
  <c r="O168" i="4"/>
  <c r="CF168" i="4"/>
  <c r="BX168" i="4"/>
  <c r="BP168" i="4"/>
  <c r="BH168" i="4"/>
  <c r="AZ168" i="4"/>
  <c r="AR168" i="4"/>
  <c r="AJ168" i="4"/>
  <c r="AB168" i="4"/>
  <c r="T168" i="4"/>
  <c r="L168" i="4"/>
  <c r="BZ168" i="4"/>
  <c r="BN168" i="4"/>
  <c r="BA168" i="4"/>
  <c r="AO168" i="4"/>
  <c r="AA168" i="4"/>
  <c r="N168" i="4"/>
  <c r="BY168" i="4"/>
  <c r="BM168" i="4"/>
  <c r="AY168" i="4"/>
  <c r="AL168" i="4"/>
  <c r="Z168" i="4"/>
  <c r="M168" i="4"/>
  <c r="CG168" i="4"/>
  <c r="BU168" i="4"/>
  <c r="BG168" i="4"/>
  <c r="AT168" i="4"/>
  <c r="AH168" i="4"/>
  <c r="U168" i="4"/>
  <c r="CE168" i="4"/>
  <c r="BR168" i="4"/>
  <c r="BF168" i="4"/>
  <c r="AS168" i="4"/>
  <c r="AG168" i="4"/>
  <c r="S168" i="4"/>
  <c r="BW168" i="4"/>
  <c r="AX168" i="4"/>
  <c r="Y168" i="4"/>
  <c r="BV168" i="4"/>
  <c r="AW168" i="4"/>
  <c r="V168" i="4"/>
  <c r="BQ168" i="4"/>
  <c r="AQ168" i="4"/>
  <c r="R168" i="4"/>
  <c r="BJ168" i="4"/>
  <c r="AK168" i="4"/>
  <c r="K168" i="4"/>
  <c r="CH168" i="4"/>
  <c r="BI168" i="4"/>
  <c r="AI168" i="4"/>
  <c r="CD168" i="4"/>
  <c r="BE168" i="4"/>
  <c r="AD168" i="4"/>
  <c r="Q168" i="4"/>
  <c r="CC168" i="4"/>
  <c r="BB168" i="4"/>
  <c r="AC168" i="4"/>
  <c r="AP168" i="4"/>
  <c r="BO168" i="4"/>
  <c r="D35" i="4"/>
  <c r="K50" i="2" s="1"/>
  <c r="I50" i="2"/>
  <c r="CE169" i="4"/>
  <c r="BW169" i="4"/>
  <c r="BO169" i="4"/>
  <c r="BG169" i="4"/>
  <c r="AY169" i="4"/>
  <c r="AQ169" i="4"/>
  <c r="AI169" i="4"/>
  <c r="AA169" i="4"/>
  <c r="S169" i="4"/>
  <c r="K169" i="4"/>
  <c r="CD169" i="4"/>
  <c r="BV169" i="4"/>
  <c r="BN169" i="4"/>
  <c r="BF169" i="4"/>
  <c r="AX169" i="4"/>
  <c r="AP169" i="4"/>
  <c r="AH169" i="4"/>
  <c r="Z169" i="4"/>
  <c r="R169" i="4"/>
  <c r="CI169" i="4"/>
  <c r="CA169" i="4"/>
  <c r="BS169" i="4"/>
  <c r="BK169" i="4"/>
  <c r="BC169" i="4"/>
  <c r="AU169" i="4"/>
  <c r="AM169" i="4"/>
  <c r="AE169" i="4"/>
  <c r="W169" i="4"/>
  <c r="O169" i="4"/>
  <c r="CC169" i="4"/>
  <c r="BQ169" i="4"/>
  <c r="BD169" i="4"/>
  <c r="AR169" i="4"/>
  <c r="AD169" i="4"/>
  <c r="Q169" i="4"/>
  <c r="CB169" i="4"/>
  <c r="BP169" i="4"/>
  <c r="BB169" i="4"/>
  <c r="AO169" i="4"/>
  <c r="AC169" i="4"/>
  <c r="P169" i="4"/>
  <c r="BZ169" i="4"/>
  <c r="BM169" i="4"/>
  <c r="BA169" i="4"/>
  <c r="AN169" i="4"/>
  <c r="AB169" i="4"/>
  <c r="N169" i="4"/>
  <c r="CJ169" i="4"/>
  <c r="BX169" i="4"/>
  <c r="BJ169" i="4"/>
  <c r="AW169" i="4"/>
  <c r="AK169" i="4"/>
  <c r="X169" i="4"/>
  <c r="L169" i="4"/>
  <c r="CH169" i="4"/>
  <c r="BU169" i="4"/>
  <c r="BI169" i="4"/>
  <c r="AV169" i="4"/>
  <c r="AJ169" i="4"/>
  <c r="V169" i="4"/>
  <c r="BT169" i="4"/>
  <c r="AL169" i="4"/>
  <c r="BR169" i="4"/>
  <c r="AG169" i="4"/>
  <c r="BL169" i="4"/>
  <c r="AF169" i="4"/>
  <c r="BE169" i="4"/>
  <c r="U169" i="4"/>
  <c r="CG169" i="4"/>
  <c r="AZ169" i="4"/>
  <c r="T169" i="4"/>
  <c r="CF169" i="4"/>
  <c r="AT169" i="4"/>
  <c r="M169" i="4"/>
  <c r="BY169" i="4"/>
  <c r="BH169" i="4"/>
  <c r="AS169" i="4"/>
  <c r="Y169" i="4"/>
  <c r="D55" i="4"/>
  <c r="E55" i="4" s="1"/>
  <c r="GP142" i="4"/>
  <c r="GH142" i="4"/>
  <c r="FZ142" i="4"/>
  <c r="FR142" i="4"/>
  <c r="FJ142" i="4"/>
  <c r="FB142" i="4"/>
  <c r="ET142" i="4"/>
  <c r="EL142" i="4"/>
  <c r="ED142" i="4"/>
  <c r="DV142" i="4"/>
  <c r="DN142" i="4"/>
  <c r="DF142" i="4"/>
  <c r="CX142" i="4"/>
  <c r="CP142" i="4"/>
  <c r="CH142" i="4"/>
  <c r="BZ142" i="4"/>
  <c r="BR142" i="4"/>
  <c r="BJ142" i="4"/>
  <c r="BB142" i="4"/>
  <c r="AT142" i="4"/>
  <c r="AL142" i="4"/>
  <c r="AD142" i="4"/>
  <c r="V142" i="4"/>
  <c r="N142" i="4"/>
  <c r="K142" i="4"/>
  <c r="GD142" i="4"/>
  <c r="FI142" i="4"/>
  <c r="EO142" i="4"/>
  <c r="DR142" i="4"/>
  <c r="CW142" i="4"/>
  <c r="CC142" i="4"/>
  <c r="BF142" i="4"/>
  <c r="AK142" i="4"/>
  <c r="Q142" i="4"/>
  <c r="GC142" i="4"/>
  <c r="FF142" i="4"/>
  <c r="EK142" i="4"/>
  <c r="DQ142" i="4"/>
  <c r="CT142" i="4"/>
  <c r="BY142" i="4"/>
  <c r="BE142" i="4"/>
  <c r="AH142" i="4"/>
  <c r="M142" i="4"/>
  <c r="FY142" i="4"/>
  <c r="FE142" i="4"/>
  <c r="EH142" i="4"/>
  <c r="DM142" i="4"/>
  <c r="CS142" i="4"/>
  <c r="BV142" i="4"/>
  <c r="BA142" i="4"/>
  <c r="AG142" i="4"/>
  <c r="FV142" i="4"/>
  <c r="FA142" i="4"/>
  <c r="EG142" i="4"/>
  <c r="DJ142" i="4"/>
  <c r="CO142" i="4"/>
  <c r="BU142" i="4"/>
  <c r="AX142" i="4"/>
  <c r="AC142" i="4"/>
  <c r="GL142" i="4"/>
  <c r="FQ142" i="4"/>
  <c r="EW142" i="4"/>
  <c r="DZ142" i="4"/>
  <c r="DE142" i="4"/>
  <c r="CK142" i="4"/>
  <c r="BN142" i="4"/>
  <c r="AS142" i="4"/>
  <c r="Y142" i="4"/>
  <c r="FM142" i="4"/>
  <c r="DB142" i="4"/>
  <c r="AW142" i="4"/>
  <c r="EX142" i="4"/>
  <c r="DA142" i="4"/>
  <c r="AP142" i="4"/>
  <c r="ES142" i="4"/>
  <c r="CL142" i="4"/>
  <c r="AO142" i="4"/>
  <c r="BI142" i="4"/>
  <c r="GO142" i="4"/>
  <c r="EP142" i="4"/>
  <c r="CG142" i="4"/>
  <c r="Z142" i="4"/>
  <c r="FN142" i="4"/>
  <c r="GK142" i="4"/>
  <c r="EC142" i="4"/>
  <c r="CD142" i="4"/>
  <c r="U142" i="4"/>
  <c r="GG142" i="4"/>
  <c r="DY142" i="4"/>
  <c r="BQ142" i="4"/>
  <c r="R142" i="4"/>
  <c r="DI142" i="4"/>
  <c r="FU142" i="4"/>
  <c r="DU142" i="4"/>
  <c r="BM142" i="4"/>
  <c r="BW142" i="4"/>
  <c r="EI142" i="4"/>
  <c r="AJ142" i="4"/>
  <c r="CV142" i="4"/>
  <c r="FH142" i="4"/>
  <c r="O142" i="4"/>
  <c r="CA142" i="4"/>
  <c r="EM142" i="4"/>
  <c r="BT142" i="4"/>
  <c r="EF142" i="4"/>
  <c r="GJ142" i="4"/>
  <c r="AA142" i="4"/>
  <c r="CM142" i="4"/>
  <c r="EY142" i="4"/>
  <c r="AZ142" i="4"/>
  <c r="DL142" i="4"/>
  <c r="FX142" i="4"/>
  <c r="CQ142" i="4"/>
  <c r="FC142" i="4"/>
  <c r="X142" i="4"/>
  <c r="CU142" i="4"/>
  <c r="BH142" i="4"/>
  <c r="DT142" i="4"/>
  <c r="AM142" i="4"/>
  <c r="FK142" i="4"/>
  <c r="AF142" i="4"/>
  <c r="FD142" i="4"/>
  <c r="S142" i="4"/>
  <c r="CE142" i="4"/>
  <c r="EQ142" i="4"/>
  <c r="AR142" i="4"/>
  <c r="DD142" i="4"/>
  <c r="FP142" i="4"/>
  <c r="W142" i="4"/>
  <c r="CI142" i="4"/>
  <c r="EU142" i="4"/>
  <c r="P142" i="4"/>
  <c r="CB142" i="4"/>
  <c r="EN142" i="4"/>
  <c r="AE142" i="4"/>
  <c r="CJ142" i="4"/>
  <c r="EV142" i="4"/>
  <c r="AI142" i="4"/>
  <c r="FG142" i="4"/>
  <c r="GF142" i="4"/>
  <c r="CY142" i="4"/>
  <c r="CR142" i="4"/>
  <c r="AQ142" i="4"/>
  <c r="DC142" i="4"/>
  <c r="FO142" i="4"/>
  <c r="BP142" i="4"/>
  <c r="EB142" i="4"/>
  <c r="GN142" i="4"/>
  <c r="AU142" i="4"/>
  <c r="DG142" i="4"/>
  <c r="FS142" i="4"/>
  <c r="AN142" i="4"/>
  <c r="CZ142" i="4"/>
  <c r="FL142" i="4"/>
  <c r="AY142" i="4"/>
  <c r="DK142" i="4"/>
  <c r="FW142" i="4"/>
  <c r="L142" i="4"/>
  <c r="BX142" i="4"/>
  <c r="EJ142" i="4"/>
  <c r="BC142" i="4"/>
  <c r="DO142" i="4"/>
  <c r="GA142" i="4"/>
  <c r="AV142" i="4"/>
  <c r="DH142" i="4"/>
  <c r="FT142" i="4"/>
  <c r="BO142" i="4"/>
  <c r="CF142" i="4"/>
  <c r="BK142" i="4"/>
  <c r="GB142" i="4"/>
  <c r="BG142" i="4"/>
  <c r="DS142" i="4"/>
  <c r="CN142" i="4"/>
  <c r="BS142" i="4"/>
  <c r="DW142" i="4"/>
  <c r="T142" i="4"/>
  <c r="DP142" i="4"/>
  <c r="AB142" i="4"/>
  <c r="EA142" i="4"/>
  <c r="ER142" i="4"/>
  <c r="DX142" i="4"/>
  <c r="GE142" i="4"/>
  <c r="EZ142" i="4"/>
  <c r="EE142" i="4"/>
  <c r="GM142" i="4"/>
  <c r="GI142" i="4"/>
  <c r="BD142" i="4"/>
  <c r="BL142" i="4"/>
  <c r="EX180" i="4"/>
  <c r="FT180" i="4"/>
  <c r="FA180" i="4"/>
  <c r="GJ180" i="4"/>
  <c r="EK180" i="4"/>
  <c r="GO180" i="4"/>
  <c r="ED180" i="4"/>
  <c r="EE180" i="4"/>
  <c r="EB180" i="4"/>
  <c r="EH180" i="4"/>
  <c r="FB180" i="4"/>
  <c r="EI180" i="4"/>
  <c r="FR180" i="4"/>
  <c r="FL180" i="4"/>
  <c r="DZ180" i="4"/>
  <c r="DY180" i="4"/>
  <c r="DW180" i="4"/>
  <c r="EL180" i="4"/>
  <c r="EP180" i="4"/>
  <c r="FK180" i="4"/>
  <c r="ER180" i="4"/>
  <c r="GA180" i="4"/>
  <c r="DU180" i="4"/>
  <c r="FY180" i="4"/>
  <c r="GH180" i="4"/>
  <c r="DV180" i="4"/>
  <c r="GL180" i="4"/>
  <c r="ES180" i="4"/>
  <c r="FI180" i="4"/>
  <c r="EV180" i="4"/>
  <c r="FU180" i="4"/>
  <c r="EY180" i="4"/>
  <c r="GD180" i="4"/>
  <c r="DR180" i="4"/>
  <c r="EJ180" i="4"/>
  <c r="GK180" i="4"/>
  <c r="EZ180" i="4"/>
  <c r="GP180" i="4"/>
  <c r="EF180" i="4"/>
  <c r="GI180" i="4"/>
  <c r="FE180" i="4"/>
  <c r="FX180" i="4"/>
  <c r="FC180" i="4"/>
  <c r="FV180" i="4"/>
  <c r="EA180" i="4"/>
  <c r="GB180" i="4"/>
  <c r="EQ180" i="4"/>
  <c r="FZ180" i="4"/>
  <c r="DT180" i="4"/>
  <c r="FW180" i="4"/>
  <c r="EO180" i="4"/>
  <c r="EU180" i="4"/>
  <c r="GE180" i="4"/>
  <c r="FN180" i="4"/>
  <c r="GM180" i="4"/>
  <c r="DQ180" i="4"/>
  <c r="FS180" i="4"/>
  <c r="EG180" i="4"/>
  <c r="FM180" i="4"/>
  <c r="FG180" i="4"/>
  <c r="EC180" i="4"/>
  <c r="FF180" i="4"/>
  <c r="FJ180" i="4"/>
  <c r="EN180" i="4"/>
  <c r="EW180" i="4"/>
  <c r="DS180" i="4"/>
  <c r="FQ180" i="4"/>
  <c r="DX180" i="4"/>
  <c r="FO180" i="4"/>
  <c r="FP180" i="4"/>
  <c r="GN180" i="4"/>
  <c r="GG180" i="4"/>
  <c r="ET180" i="4"/>
  <c r="EM180" i="4"/>
  <c r="FH180" i="4"/>
  <c r="FD180" i="4"/>
  <c r="GF180" i="4"/>
  <c r="GC180" i="4"/>
  <c r="O104" i="4"/>
  <c r="EH176" i="4"/>
  <c r="GI176" i="4"/>
  <c r="DW176" i="4"/>
  <c r="ES176" i="4"/>
  <c r="EZ176" i="4"/>
  <c r="DS176" i="4"/>
  <c r="FG176" i="4"/>
  <c r="EJ176" i="4"/>
  <c r="GN176" i="4"/>
  <c r="FD176" i="4"/>
  <c r="FS176" i="4"/>
  <c r="GO176" i="4"/>
  <c r="EC176" i="4"/>
  <c r="EF176" i="4"/>
  <c r="GE176" i="4"/>
  <c r="EL176" i="4"/>
  <c r="EX176" i="4"/>
  <c r="FO176" i="4"/>
  <c r="GJ176" i="4"/>
  <c r="DU176" i="4"/>
  <c r="FU176" i="4"/>
  <c r="ET176" i="4"/>
  <c r="FN176" i="4"/>
  <c r="GA176" i="4"/>
  <c r="EK176" i="4"/>
  <c r="EP176" i="4"/>
  <c r="GP176" i="4"/>
  <c r="EW176" i="4"/>
  <c r="DZ176" i="4"/>
  <c r="FT176" i="4"/>
  <c r="GK176" i="4"/>
  <c r="FW176" i="4"/>
  <c r="FK176" i="4"/>
  <c r="GG176" i="4"/>
  <c r="DT176" i="4"/>
  <c r="EA176" i="4"/>
  <c r="GL176" i="4"/>
  <c r="EB176" i="4"/>
  <c r="FZ176" i="4"/>
  <c r="GD176" i="4"/>
  <c r="FC176" i="4"/>
  <c r="FY176" i="4"/>
  <c r="FJ176" i="4"/>
  <c r="DQ176" i="4"/>
  <c r="GB176" i="4"/>
  <c r="DY176" i="4"/>
  <c r="ER176" i="4"/>
  <c r="FH176" i="4"/>
  <c r="FE176" i="4"/>
  <c r="FX176" i="4"/>
  <c r="EU176" i="4"/>
  <c r="FQ176" i="4"/>
  <c r="GF176" i="4"/>
  <c r="EY176" i="4"/>
  <c r="GM176" i="4"/>
  <c r="FP176" i="4"/>
  <c r="DX176" i="4"/>
  <c r="EN176" i="4"/>
  <c r="EI176" i="4"/>
  <c r="GH176" i="4"/>
  <c r="DV176" i="4"/>
  <c r="EM176" i="4"/>
  <c r="FI176" i="4"/>
  <c r="FV176" i="4"/>
  <c r="EO176" i="4"/>
  <c r="GC176" i="4"/>
  <c r="ED176" i="4"/>
  <c r="FR176" i="4"/>
  <c r="FF176" i="4"/>
  <c r="DR176" i="4"/>
  <c r="FB176" i="4"/>
  <c r="EE176" i="4"/>
  <c r="FL176" i="4"/>
  <c r="EV176" i="4"/>
  <c r="EQ176" i="4"/>
  <c r="FA176" i="4"/>
  <c r="FM176" i="4"/>
  <c r="EG176" i="4"/>
  <c r="CH170" i="4"/>
  <c r="BZ170" i="4"/>
  <c r="BR170" i="4"/>
  <c r="BJ170" i="4"/>
  <c r="BB170" i="4"/>
  <c r="AT170" i="4"/>
  <c r="AL170" i="4"/>
  <c r="AD170" i="4"/>
  <c r="V170" i="4"/>
  <c r="N170" i="4"/>
  <c r="CG170" i="4"/>
  <c r="BY170" i="4"/>
  <c r="BQ170" i="4"/>
  <c r="BI170" i="4"/>
  <c r="BA170" i="4"/>
  <c r="AS170" i="4"/>
  <c r="AK170" i="4"/>
  <c r="AC170" i="4"/>
  <c r="U170" i="4"/>
  <c r="M170" i="4"/>
  <c r="CE170" i="4"/>
  <c r="BW170" i="4"/>
  <c r="BO170" i="4"/>
  <c r="BG170" i="4"/>
  <c r="AY170" i="4"/>
  <c r="AQ170" i="4"/>
  <c r="AI170" i="4"/>
  <c r="AA170" i="4"/>
  <c r="S170" i="4"/>
  <c r="K170" i="4"/>
  <c r="CD170" i="4"/>
  <c r="BV170" i="4"/>
  <c r="BN170" i="4"/>
  <c r="BF170" i="4"/>
  <c r="AX170" i="4"/>
  <c r="AP170" i="4"/>
  <c r="AH170" i="4"/>
  <c r="Z170" i="4"/>
  <c r="R170" i="4"/>
  <c r="CI170" i="4"/>
  <c r="BS170" i="4"/>
  <c r="BC170" i="4"/>
  <c r="AM170" i="4"/>
  <c r="W170" i="4"/>
  <c r="CF170" i="4"/>
  <c r="BP170" i="4"/>
  <c r="AZ170" i="4"/>
  <c r="AJ170" i="4"/>
  <c r="T170" i="4"/>
  <c r="CC170" i="4"/>
  <c r="BM170" i="4"/>
  <c r="AW170" i="4"/>
  <c r="AG170" i="4"/>
  <c r="Q170" i="4"/>
  <c r="CA170" i="4"/>
  <c r="BK170" i="4"/>
  <c r="AU170" i="4"/>
  <c r="AE170" i="4"/>
  <c r="O170" i="4"/>
  <c r="BX170" i="4"/>
  <c r="BH170" i="4"/>
  <c r="AR170" i="4"/>
  <c r="AB170" i="4"/>
  <c r="L170" i="4"/>
  <c r="AV170" i="4"/>
  <c r="CJ170" i="4"/>
  <c r="AO170" i="4"/>
  <c r="CB170" i="4"/>
  <c r="AN170" i="4"/>
  <c r="BT170" i="4"/>
  <c r="Y170" i="4"/>
  <c r="BL170" i="4"/>
  <c r="X170" i="4"/>
  <c r="BE170" i="4"/>
  <c r="P170" i="4"/>
  <c r="BU170" i="4"/>
  <c r="BD170" i="4"/>
  <c r="AF170" i="4"/>
  <c r="CC167" i="4"/>
  <c r="BU167" i="4"/>
  <c r="BM167" i="4"/>
  <c r="BE167" i="4"/>
  <c r="AW167" i="4"/>
  <c r="AO167" i="4"/>
  <c r="AG167" i="4"/>
  <c r="Y167" i="4"/>
  <c r="Q167" i="4"/>
  <c r="CD167" i="4"/>
  <c r="BT167" i="4"/>
  <c r="BK167" i="4"/>
  <c r="BB167" i="4"/>
  <c r="AS167" i="4"/>
  <c r="AJ167" i="4"/>
  <c r="AA167" i="4"/>
  <c r="R167" i="4"/>
  <c r="CB167" i="4"/>
  <c r="BS167" i="4"/>
  <c r="BJ167" i="4"/>
  <c r="BA167" i="4"/>
  <c r="AR167" i="4"/>
  <c r="AI167" i="4"/>
  <c r="Z167" i="4"/>
  <c r="P167" i="4"/>
  <c r="CH167" i="4"/>
  <c r="BY167" i="4"/>
  <c r="BP167" i="4"/>
  <c r="BG167" i="4"/>
  <c r="AX167" i="4"/>
  <c r="AN167" i="4"/>
  <c r="AE167" i="4"/>
  <c r="V167" i="4"/>
  <c r="M167" i="4"/>
  <c r="CG167" i="4"/>
  <c r="BX167" i="4"/>
  <c r="BO167" i="4"/>
  <c r="BF167" i="4"/>
  <c r="AV167" i="4"/>
  <c r="AM167" i="4"/>
  <c r="AD167" i="4"/>
  <c r="U167" i="4"/>
  <c r="L167" i="4"/>
  <c r="CA167" i="4"/>
  <c r="BI167" i="4"/>
  <c r="AQ167" i="4"/>
  <c r="X167" i="4"/>
  <c r="BZ167" i="4"/>
  <c r="BH167" i="4"/>
  <c r="AP167" i="4"/>
  <c r="W167" i="4"/>
  <c r="BW167" i="4"/>
  <c r="BD167" i="4"/>
  <c r="AL167" i="4"/>
  <c r="T167" i="4"/>
  <c r="CJ167" i="4"/>
  <c r="BR167" i="4"/>
  <c r="AZ167" i="4"/>
  <c r="AH167" i="4"/>
  <c r="O167" i="4"/>
  <c r="CI167" i="4"/>
  <c r="BQ167" i="4"/>
  <c r="AY167" i="4"/>
  <c r="AF167" i="4"/>
  <c r="N167" i="4"/>
  <c r="CF167" i="4"/>
  <c r="BN167" i="4"/>
  <c r="AU167" i="4"/>
  <c r="AC167" i="4"/>
  <c r="K167" i="4"/>
  <c r="BV167" i="4"/>
  <c r="BL167" i="4"/>
  <c r="BC167" i="4"/>
  <c r="AT167" i="4"/>
  <c r="AB167" i="4"/>
  <c r="CE167" i="4"/>
  <c r="S167" i="4"/>
  <c r="AK167" i="4"/>
  <c r="O109" i="4"/>
  <c r="N109" i="4"/>
  <c r="ER174" i="4"/>
  <c r="GC174" i="4"/>
  <c r="DQ174" i="4"/>
  <c r="EH174" i="4"/>
  <c r="FZ174" i="4"/>
  <c r="EM174" i="4"/>
  <c r="GO174" i="4"/>
  <c r="DT174" i="4"/>
  <c r="EA174" i="4"/>
  <c r="DV174" i="4"/>
  <c r="EK174" i="4"/>
  <c r="FS174" i="4"/>
  <c r="FM174" i="4"/>
  <c r="GJ174" i="4"/>
  <c r="FH174" i="4"/>
  <c r="DU174" i="4"/>
  <c r="FW174" i="4"/>
  <c r="FE174" i="4"/>
  <c r="FU174" i="4"/>
  <c r="DX174" i="4"/>
  <c r="FQ174" i="4"/>
  <c r="ED174" i="4"/>
  <c r="GF174" i="4"/>
  <c r="DS174" i="4"/>
  <c r="FT174" i="4"/>
  <c r="GP174" i="4"/>
  <c r="GB174" i="4"/>
  <c r="GA174" i="4"/>
  <c r="EY174" i="4"/>
  <c r="GG174" i="4"/>
  <c r="FN174" i="4"/>
  <c r="GH174" i="4"/>
  <c r="EI174" i="4"/>
  <c r="DZ174" i="4"/>
  <c r="EW174" i="4"/>
  <c r="FR174" i="4"/>
  <c r="EP174" i="4"/>
  <c r="FX174" i="4"/>
  <c r="FD174" i="4"/>
  <c r="FP174" i="4"/>
  <c r="GE174" i="4"/>
  <c r="GL174" i="4"/>
  <c r="DR174" i="4"/>
  <c r="EO174" i="4"/>
  <c r="FI174" i="4"/>
  <c r="EF174" i="4"/>
  <c r="FO174" i="4"/>
  <c r="EU174" i="4"/>
  <c r="EX174" i="4"/>
  <c r="FL174" i="4"/>
  <c r="GD174" i="4"/>
  <c r="FY174" i="4"/>
  <c r="GN174" i="4"/>
  <c r="EJ174" i="4"/>
  <c r="FA174" i="4"/>
  <c r="GM174" i="4"/>
  <c r="EG174" i="4"/>
  <c r="DW174" i="4"/>
  <c r="FF174" i="4"/>
  <c r="GI174" i="4"/>
  <c r="FG174" i="4"/>
  <c r="FV174" i="4"/>
  <c r="EV174" i="4"/>
  <c r="DY174" i="4"/>
  <c r="EB174" i="4"/>
  <c r="EZ174" i="4"/>
  <c r="EE174" i="4"/>
  <c r="FK174" i="4"/>
  <c r="EQ174" i="4"/>
  <c r="ES174" i="4"/>
  <c r="EL174" i="4"/>
  <c r="FJ174" i="4"/>
  <c r="EN174" i="4"/>
  <c r="FC174" i="4"/>
  <c r="FB174" i="4"/>
  <c r="GK174" i="4"/>
  <c r="EC174" i="4"/>
  <c r="ET174" i="4"/>
  <c r="O106" i="4"/>
  <c r="CC185" i="4"/>
  <c r="BU185" i="4"/>
  <c r="BM185" i="4"/>
  <c r="BE185" i="4"/>
  <c r="AW185" i="4"/>
  <c r="AO185" i="4"/>
  <c r="AG185" i="4"/>
  <c r="Y185" i="4"/>
  <c r="Q185" i="4"/>
  <c r="CB185" i="4"/>
  <c r="BS185" i="4"/>
  <c r="BJ185" i="4"/>
  <c r="BA185" i="4"/>
  <c r="AR185" i="4"/>
  <c r="AI185" i="4"/>
  <c r="Z185" i="4"/>
  <c r="P185" i="4"/>
  <c r="CJ185" i="4"/>
  <c r="CA185" i="4"/>
  <c r="BR185" i="4"/>
  <c r="BI185" i="4"/>
  <c r="AZ185" i="4"/>
  <c r="AQ185" i="4"/>
  <c r="AH185" i="4"/>
  <c r="X185" i="4"/>
  <c r="O185" i="4"/>
  <c r="CI185" i="4"/>
  <c r="BZ185" i="4"/>
  <c r="BQ185" i="4"/>
  <c r="BH185" i="4"/>
  <c r="AY185" i="4"/>
  <c r="AP185" i="4"/>
  <c r="AF185" i="4"/>
  <c r="W185" i="4"/>
  <c r="N185" i="4"/>
  <c r="BX185" i="4"/>
  <c r="BK185" i="4"/>
  <c r="AU185" i="4"/>
  <c r="AE185" i="4"/>
  <c r="S185" i="4"/>
  <c r="BW185" i="4"/>
  <c r="BG185" i="4"/>
  <c r="AT185" i="4"/>
  <c r="AD185" i="4"/>
  <c r="R185" i="4"/>
  <c r="CH185" i="4"/>
  <c r="BV185" i="4"/>
  <c r="BF185" i="4"/>
  <c r="AS185" i="4"/>
  <c r="AC185" i="4"/>
  <c r="M185" i="4"/>
  <c r="CG185" i="4"/>
  <c r="BT185" i="4"/>
  <c r="BD185" i="4"/>
  <c r="AN185" i="4"/>
  <c r="AB185" i="4"/>
  <c r="L185" i="4"/>
  <c r="CF185" i="4"/>
  <c r="BP185" i="4"/>
  <c r="BC185" i="4"/>
  <c r="AM185" i="4"/>
  <c r="AA185" i="4"/>
  <c r="K185" i="4"/>
  <c r="CE185" i="4"/>
  <c r="BO185" i="4"/>
  <c r="BB185" i="4"/>
  <c r="AL185" i="4"/>
  <c r="V185" i="4"/>
  <c r="BL185" i="4"/>
  <c r="AX185" i="4"/>
  <c r="AV185" i="4"/>
  <c r="AK185" i="4"/>
  <c r="AJ185" i="4"/>
  <c r="CD185" i="4"/>
  <c r="U185" i="4"/>
  <c r="BY185" i="4"/>
  <c r="BN185" i="4"/>
  <c r="T185" i="4"/>
  <c r="O93" i="4"/>
  <c r="CC171" i="4"/>
  <c r="BU171" i="4"/>
  <c r="BM171" i="4"/>
  <c r="BE171" i="4"/>
  <c r="AW171" i="4"/>
  <c r="AO171" i="4"/>
  <c r="AG171" i="4"/>
  <c r="Y171" i="4"/>
  <c r="Q171" i="4"/>
  <c r="CJ171" i="4"/>
  <c r="CB171" i="4"/>
  <c r="BT171" i="4"/>
  <c r="BL171" i="4"/>
  <c r="BD171" i="4"/>
  <c r="AV171" i="4"/>
  <c r="AN171" i="4"/>
  <c r="AF171" i="4"/>
  <c r="X171" i="4"/>
  <c r="P171" i="4"/>
  <c r="CH171" i="4"/>
  <c r="BZ171" i="4"/>
  <c r="BR171" i="4"/>
  <c r="BJ171" i="4"/>
  <c r="BB171" i="4"/>
  <c r="AT171" i="4"/>
  <c r="AL171" i="4"/>
  <c r="AD171" i="4"/>
  <c r="V171" i="4"/>
  <c r="N171" i="4"/>
  <c r="CG171" i="4"/>
  <c r="BY171" i="4"/>
  <c r="BQ171" i="4"/>
  <c r="BI171" i="4"/>
  <c r="BA171" i="4"/>
  <c r="AS171" i="4"/>
  <c r="AK171" i="4"/>
  <c r="AC171" i="4"/>
  <c r="U171" i="4"/>
  <c r="M171" i="4"/>
  <c r="BV171" i="4"/>
  <c r="BF171" i="4"/>
  <c r="AP171" i="4"/>
  <c r="Z171" i="4"/>
  <c r="CI171" i="4"/>
  <c r="BS171" i="4"/>
  <c r="BC171" i="4"/>
  <c r="AM171" i="4"/>
  <c r="W171" i="4"/>
  <c r="CF171" i="4"/>
  <c r="BP171" i="4"/>
  <c r="AZ171" i="4"/>
  <c r="AJ171" i="4"/>
  <c r="T171" i="4"/>
  <c r="CD171" i="4"/>
  <c r="BN171" i="4"/>
  <c r="AX171" i="4"/>
  <c r="AH171" i="4"/>
  <c r="R171" i="4"/>
  <c r="CA171" i="4"/>
  <c r="BK171" i="4"/>
  <c r="AU171" i="4"/>
  <c r="AE171" i="4"/>
  <c r="O171" i="4"/>
  <c r="BH171" i="4"/>
  <c r="S171" i="4"/>
  <c r="BG171" i="4"/>
  <c r="L171" i="4"/>
  <c r="AY171" i="4"/>
  <c r="K171" i="4"/>
  <c r="CE171" i="4"/>
  <c r="AQ171" i="4"/>
  <c r="BX171" i="4"/>
  <c r="AI171" i="4"/>
  <c r="BW171" i="4"/>
  <c r="AB171" i="4"/>
  <c r="AR171" i="4"/>
  <c r="AA171" i="4"/>
  <c r="BO171" i="4"/>
  <c r="O100" i="4"/>
  <c r="A135" i="4" s="1"/>
  <c r="K100" i="4"/>
  <c r="C135" i="4" s="1"/>
  <c r="CE183" i="4"/>
  <c r="BW183" i="4"/>
  <c r="BO183" i="4"/>
  <c r="BG183" i="4"/>
  <c r="AY183" i="4"/>
  <c r="AQ183" i="4"/>
  <c r="AI183" i="4"/>
  <c r="AA183" i="4"/>
  <c r="S183" i="4"/>
  <c r="K183" i="4"/>
  <c r="CJ183" i="4"/>
  <c r="CA183" i="4"/>
  <c r="BR183" i="4"/>
  <c r="BI183" i="4"/>
  <c r="AZ183" i="4"/>
  <c r="AP183" i="4"/>
  <c r="AG183" i="4"/>
  <c r="X183" i="4"/>
  <c r="O183" i="4"/>
  <c r="CI183" i="4"/>
  <c r="BZ183" i="4"/>
  <c r="BQ183" i="4"/>
  <c r="BH183" i="4"/>
  <c r="AX183" i="4"/>
  <c r="AO183" i="4"/>
  <c r="AF183" i="4"/>
  <c r="W183" i="4"/>
  <c r="N183" i="4"/>
  <c r="CH183" i="4"/>
  <c r="BY183" i="4"/>
  <c r="BP183" i="4"/>
  <c r="BF183" i="4"/>
  <c r="AW183" i="4"/>
  <c r="AN183" i="4"/>
  <c r="AE183" i="4"/>
  <c r="V183" i="4"/>
  <c r="M183" i="4"/>
  <c r="CC183" i="4"/>
  <c r="BM183" i="4"/>
  <c r="BA183" i="4"/>
  <c r="AK183" i="4"/>
  <c r="U183" i="4"/>
  <c r="CB183" i="4"/>
  <c r="BL183" i="4"/>
  <c r="AV183" i="4"/>
  <c r="AJ183" i="4"/>
  <c r="T183" i="4"/>
  <c r="BV183" i="4"/>
  <c r="BJ183" i="4"/>
  <c r="AT183" i="4"/>
  <c r="AD183" i="4"/>
  <c r="Q183" i="4"/>
  <c r="BU183" i="4"/>
  <c r="BE183" i="4"/>
  <c r="AS183" i="4"/>
  <c r="AC183" i="4"/>
  <c r="P183" i="4"/>
  <c r="CG183" i="4"/>
  <c r="BT183" i="4"/>
  <c r="BD183" i="4"/>
  <c r="AR183" i="4"/>
  <c r="AB183" i="4"/>
  <c r="L183" i="4"/>
  <c r="BK183" i="4"/>
  <c r="Y183" i="4"/>
  <c r="BC183" i="4"/>
  <c r="R183" i="4"/>
  <c r="BB183" i="4"/>
  <c r="CF183" i="4"/>
  <c r="AU183" i="4"/>
  <c r="CD183" i="4"/>
  <c r="AM183" i="4"/>
  <c r="BX183" i="4"/>
  <c r="AL183" i="4"/>
  <c r="BN183" i="4"/>
  <c r="AH183" i="4"/>
  <c r="Z183" i="4"/>
  <c r="BS183" i="4"/>
  <c r="CH184" i="4"/>
  <c r="BZ184" i="4"/>
  <c r="BR184" i="4"/>
  <c r="BJ184" i="4"/>
  <c r="BB184" i="4"/>
  <c r="AT184" i="4"/>
  <c r="AL184" i="4"/>
  <c r="AD184" i="4"/>
  <c r="V184" i="4"/>
  <c r="N184" i="4"/>
  <c r="CF184" i="4"/>
  <c r="BW184" i="4"/>
  <c r="BN184" i="4"/>
  <c r="BE184" i="4"/>
  <c r="AV184" i="4"/>
  <c r="AM184" i="4"/>
  <c r="AC184" i="4"/>
  <c r="T184" i="4"/>
  <c r="K184" i="4"/>
  <c r="CE184" i="4"/>
  <c r="BV184" i="4"/>
  <c r="BM184" i="4"/>
  <c r="BD184" i="4"/>
  <c r="AU184" i="4"/>
  <c r="AK184" i="4"/>
  <c r="AB184" i="4"/>
  <c r="S184" i="4"/>
  <c r="CD184" i="4"/>
  <c r="BU184" i="4"/>
  <c r="BL184" i="4"/>
  <c r="BC184" i="4"/>
  <c r="AS184" i="4"/>
  <c r="AJ184" i="4"/>
  <c r="AA184" i="4"/>
  <c r="R184" i="4"/>
  <c r="CB184" i="4"/>
  <c r="BO184" i="4"/>
  <c r="AY184" i="4"/>
  <c r="AI184" i="4"/>
  <c r="W184" i="4"/>
  <c r="CA184" i="4"/>
  <c r="BK184" i="4"/>
  <c r="AX184" i="4"/>
  <c r="AH184" i="4"/>
  <c r="U184" i="4"/>
  <c r="BX184" i="4"/>
  <c r="BH184" i="4"/>
  <c r="AR184" i="4"/>
  <c r="AF184" i="4"/>
  <c r="P184" i="4"/>
  <c r="CJ184" i="4"/>
  <c r="BT184" i="4"/>
  <c r="BG184" i="4"/>
  <c r="AQ184" i="4"/>
  <c r="AE184" i="4"/>
  <c r="O184" i="4"/>
  <c r="CI184" i="4"/>
  <c r="BS184" i="4"/>
  <c r="BF184" i="4"/>
  <c r="AP184" i="4"/>
  <c r="Z184" i="4"/>
  <c r="M184" i="4"/>
  <c r="BQ184" i="4"/>
  <c r="AG184" i="4"/>
  <c r="BP184" i="4"/>
  <c r="Y184" i="4"/>
  <c r="BI184" i="4"/>
  <c r="X184" i="4"/>
  <c r="BA184" i="4"/>
  <c r="Q184" i="4"/>
  <c r="AZ184" i="4"/>
  <c r="L184" i="4"/>
  <c r="CG184" i="4"/>
  <c r="AW184" i="4"/>
  <c r="AN184" i="4"/>
  <c r="CC184" i="4"/>
  <c r="BY184" i="4"/>
  <c r="AO184" i="4"/>
  <c r="C119" i="4"/>
  <c r="K119" i="4"/>
  <c r="D96" i="4"/>
  <c r="K96" i="4" s="1"/>
  <c r="O94" i="4"/>
  <c r="B69" i="4"/>
  <c r="B87" i="1" s="1"/>
  <c r="O107" i="4"/>
  <c r="FA175" i="4"/>
  <c r="GF175" i="4"/>
  <c r="DT175" i="4"/>
  <c r="EP175" i="4"/>
  <c r="FS175" i="4"/>
  <c r="EL175" i="4"/>
  <c r="FZ175" i="4"/>
  <c r="FC175" i="4"/>
  <c r="FP175" i="4"/>
  <c r="GL175" i="4"/>
  <c r="DZ175" i="4"/>
  <c r="EW175" i="4"/>
  <c r="DQ175" i="4"/>
  <c r="FD175" i="4"/>
  <c r="EG175" i="4"/>
  <c r="FT175" i="4"/>
  <c r="GE175" i="4"/>
  <c r="FH175" i="4"/>
  <c r="GD175" i="4"/>
  <c r="EM175" i="4"/>
  <c r="GM175" i="4"/>
  <c r="DW175" i="4"/>
  <c r="EU175" i="4"/>
  <c r="FX175" i="4"/>
  <c r="EH175" i="4"/>
  <c r="FI175" i="4"/>
  <c r="EA175" i="4"/>
  <c r="FO175" i="4"/>
  <c r="ES175" i="4"/>
  <c r="GK175" i="4"/>
  <c r="EY175" i="4"/>
  <c r="FJ175" i="4"/>
  <c r="FQ175" i="4"/>
  <c r="GH175" i="4"/>
  <c r="ET175" i="4"/>
  <c r="FL175" i="4"/>
  <c r="GG175" i="4"/>
  <c r="FU175" i="4"/>
  <c r="EZ175" i="4"/>
  <c r="FV175" i="4"/>
  <c r="EC175" i="4"/>
  <c r="GB175" i="4"/>
  <c r="EI175" i="4"/>
  <c r="DY175" i="4"/>
  <c r="EQ175" i="4"/>
  <c r="FK175" i="4"/>
  <c r="GA175" i="4"/>
  <c r="FW175" i="4"/>
  <c r="DS175" i="4"/>
  <c r="ER175" i="4"/>
  <c r="FN175" i="4"/>
  <c r="DR175" i="4"/>
  <c r="FR175" i="4"/>
  <c r="DX175" i="4"/>
  <c r="GI175" i="4"/>
  <c r="DV175" i="4"/>
  <c r="EO175" i="4"/>
  <c r="FE175" i="4"/>
  <c r="FB175" i="4"/>
  <c r="GP175" i="4"/>
  <c r="ED175" i="4"/>
  <c r="EJ175" i="4"/>
  <c r="FF175" i="4"/>
  <c r="GO175" i="4"/>
  <c r="FG175" i="4"/>
  <c r="FY175" i="4"/>
  <c r="EB175" i="4"/>
  <c r="EE175" i="4"/>
  <c r="FM175" i="4"/>
  <c r="EK175" i="4"/>
  <c r="EF175" i="4"/>
  <c r="EX175" i="4"/>
  <c r="EV175" i="4"/>
  <c r="DU175" i="4"/>
  <c r="GJ175" i="4"/>
  <c r="GN175" i="4"/>
  <c r="GC175" i="4"/>
  <c r="EN175" i="4"/>
  <c r="O103" i="4"/>
  <c r="L104" i="4"/>
  <c r="N103" i="4"/>
  <c r="K51" i="2"/>
  <c r="F8" i="2"/>
  <c r="CF186" i="4"/>
  <c r="BX186" i="4"/>
  <c r="BP186" i="4"/>
  <c r="BH186" i="4"/>
  <c r="AZ186" i="4"/>
  <c r="AR186" i="4"/>
  <c r="AJ186" i="4"/>
  <c r="AB186" i="4"/>
  <c r="T186" i="4"/>
  <c r="L186" i="4"/>
  <c r="CD186" i="4"/>
  <c r="BV186" i="4"/>
  <c r="BN186" i="4"/>
  <c r="CA186" i="4"/>
  <c r="BQ186" i="4"/>
  <c r="BF186" i="4"/>
  <c r="AW186" i="4"/>
  <c r="AN186" i="4"/>
  <c r="AE186" i="4"/>
  <c r="V186" i="4"/>
  <c r="M186" i="4"/>
  <c r="CJ186" i="4"/>
  <c r="BZ186" i="4"/>
  <c r="BO186" i="4"/>
  <c r="BE186" i="4"/>
  <c r="AV186" i="4"/>
  <c r="AM186" i="4"/>
  <c r="AD186" i="4"/>
  <c r="U186" i="4"/>
  <c r="K186" i="4"/>
  <c r="CI186" i="4"/>
  <c r="BY186" i="4"/>
  <c r="BM186" i="4"/>
  <c r="BD186" i="4"/>
  <c r="AU186" i="4"/>
  <c r="AL186" i="4"/>
  <c r="AC186" i="4"/>
  <c r="S186" i="4"/>
  <c r="CB186" i="4"/>
  <c r="BJ186" i="4"/>
  <c r="AT186" i="4"/>
  <c r="AG186" i="4"/>
  <c r="Q186" i="4"/>
  <c r="BW186" i="4"/>
  <c r="BI186" i="4"/>
  <c r="AS186" i="4"/>
  <c r="AF186" i="4"/>
  <c r="P186" i="4"/>
  <c r="BU186" i="4"/>
  <c r="BG186" i="4"/>
  <c r="AQ186" i="4"/>
  <c r="AA186" i="4"/>
  <c r="O186" i="4"/>
  <c r="BT186" i="4"/>
  <c r="BC186" i="4"/>
  <c r="AP186" i="4"/>
  <c r="Z186" i="4"/>
  <c r="N186" i="4"/>
  <c r="CH186" i="4"/>
  <c r="BS186" i="4"/>
  <c r="BB186" i="4"/>
  <c r="AO186" i="4"/>
  <c r="Y186" i="4"/>
  <c r="CG186" i="4"/>
  <c r="BR186" i="4"/>
  <c r="BA186" i="4"/>
  <c r="AK186" i="4"/>
  <c r="X186" i="4"/>
  <c r="BK186" i="4"/>
  <c r="AY186" i="4"/>
  <c r="AX186" i="4"/>
  <c r="AI186" i="4"/>
  <c r="AH186" i="4"/>
  <c r="CE186" i="4"/>
  <c r="W186" i="4"/>
  <c r="CC186" i="4"/>
  <c r="BL186" i="4"/>
  <c r="R186" i="4"/>
  <c r="D91" i="4"/>
  <c r="K91" i="4" s="1"/>
  <c r="FP177" i="4"/>
  <c r="EH177" i="4"/>
  <c r="GC177" i="4"/>
  <c r="DQ177" i="4"/>
  <c r="EV177" i="4"/>
  <c r="FA177" i="4"/>
  <c r="FI177" i="4"/>
  <c r="EI177" i="4"/>
  <c r="GD177" i="4"/>
  <c r="DR177" i="4"/>
  <c r="FM177" i="4"/>
  <c r="EF177" i="4"/>
  <c r="EB177" i="4"/>
  <c r="GM177" i="4"/>
  <c r="EJ177" i="4"/>
  <c r="FV177" i="4"/>
  <c r="FE177" i="4"/>
  <c r="GJ177" i="4"/>
  <c r="DV177" i="4"/>
  <c r="DW177" i="4"/>
  <c r="EQ177" i="4"/>
  <c r="GL177" i="4"/>
  <c r="DZ177" i="4"/>
  <c r="FU177" i="4"/>
  <c r="EN177" i="4"/>
  <c r="EM177" i="4"/>
  <c r="EU177" i="4"/>
  <c r="DU177" i="4"/>
  <c r="FX177" i="4"/>
  <c r="GE177" i="4"/>
  <c r="EY177" i="4"/>
  <c r="FR177" i="4"/>
  <c r="GP177" i="4"/>
  <c r="GO177" i="4"/>
  <c r="DX177" i="4"/>
  <c r="FY177" i="4"/>
  <c r="ES177" i="4"/>
  <c r="FQ177" i="4"/>
  <c r="GI177" i="4"/>
  <c r="GF177" i="4"/>
  <c r="EC177" i="4"/>
  <c r="FN177" i="4"/>
  <c r="EW177" i="4"/>
  <c r="GB177" i="4"/>
  <c r="FK177" i="4"/>
  <c r="GG177" i="4"/>
  <c r="DT177" i="4"/>
  <c r="ER177" i="4"/>
  <c r="FJ177" i="4"/>
  <c r="FG177" i="4"/>
  <c r="FB177" i="4"/>
  <c r="FF177" i="4"/>
  <c r="EO177" i="4"/>
  <c r="FT177" i="4"/>
  <c r="GN177" i="4"/>
  <c r="EZ177" i="4"/>
  <c r="FS177" i="4"/>
  <c r="DS177" i="4"/>
  <c r="EK177" i="4"/>
  <c r="EE177" i="4"/>
  <c r="FC177" i="4"/>
  <c r="ED177" i="4"/>
  <c r="EX177" i="4"/>
  <c r="EG177" i="4"/>
  <c r="FL177" i="4"/>
  <c r="FZ177" i="4"/>
  <c r="EL177" i="4"/>
  <c r="GH177" i="4"/>
  <c r="FH177" i="4"/>
  <c r="EP177" i="4"/>
  <c r="FO177" i="4"/>
  <c r="ET177" i="4"/>
  <c r="GA177" i="4"/>
  <c r="DY177" i="4"/>
  <c r="EA177" i="4"/>
  <c r="FW177" i="4"/>
  <c r="GK177" i="4"/>
  <c r="FD177" i="4"/>
  <c r="FO230" i="4" l="1"/>
  <c r="BH237" i="4"/>
  <c r="AD237" i="4"/>
  <c r="CE237" i="4"/>
  <c r="BT237" i="4"/>
  <c r="AZ237" i="4"/>
  <c r="BB237" i="4"/>
  <c r="AE237" i="4"/>
  <c r="N91" i="4"/>
  <c r="L92" i="4"/>
  <c r="O91" i="4"/>
  <c r="EN224" i="4"/>
  <c r="EN199" i="4"/>
  <c r="EB224" i="4"/>
  <c r="EB199" i="4"/>
  <c r="EG224" i="4"/>
  <c r="EG199" i="4"/>
  <c r="EX224" i="4"/>
  <c r="EX199" i="4"/>
  <c r="GE224" i="4"/>
  <c r="GE199" i="4"/>
  <c r="EI224" i="4"/>
  <c r="EI199" i="4"/>
  <c r="FT224" i="4"/>
  <c r="FT199" i="4"/>
  <c r="FW224" i="4"/>
  <c r="FW199" i="4"/>
  <c r="EA224" i="4"/>
  <c r="EA199" i="4"/>
  <c r="ER224" i="4"/>
  <c r="ER199" i="4"/>
  <c r="BC217" i="4"/>
  <c r="BC192" i="4"/>
  <c r="N217" i="4"/>
  <c r="N192" i="4"/>
  <c r="BR217" i="4"/>
  <c r="BR192" i="4"/>
  <c r="BH217" i="4"/>
  <c r="BH192" i="4"/>
  <c r="AD217" i="4"/>
  <c r="AD192" i="4"/>
  <c r="V217" i="4"/>
  <c r="V192" i="4"/>
  <c r="P217" i="4"/>
  <c r="P192" i="4"/>
  <c r="R217" i="4"/>
  <c r="R192" i="4"/>
  <c r="Q217" i="4"/>
  <c r="Q192" i="4"/>
  <c r="CC217" i="4"/>
  <c r="CC192" i="4"/>
  <c r="EC230" i="4"/>
  <c r="AS237" i="4"/>
  <c r="L44" i="1"/>
  <c r="BX233" i="4"/>
  <c r="Y233" i="4"/>
  <c r="P233" i="4"/>
  <c r="BJ233" i="4"/>
  <c r="AK233" i="4"/>
  <c r="AW233" i="4"/>
  <c r="AO233" i="4"/>
  <c r="AG233" i="4"/>
  <c r="S233" i="4"/>
  <c r="CE233" i="4"/>
  <c r="AI221" i="4"/>
  <c r="S221" i="4"/>
  <c r="AH221" i="4"/>
  <c r="CF221" i="4"/>
  <c r="BF221" i="4"/>
  <c r="BI221" i="4"/>
  <c r="AT221" i="4"/>
  <c r="AF221" i="4"/>
  <c r="Q221" i="4"/>
  <c r="CC221" i="4"/>
  <c r="GF230" i="4"/>
  <c r="FI230" i="4"/>
  <c r="EK230" i="4"/>
  <c r="BD237" i="4"/>
  <c r="K122" i="4"/>
  <c r="L105" i="4"/>
  <c r="N104" i="4"/>
  <c r="N96" i="4"/>
  <c r="O96" i="4"/>
  <c r="CD233" i="4"/>
  <c r="L233" i="4"/>
  <c r="AS233" i="4"/>
  <c r="T233" i="4"/>
  <c r="BM233" i="4"/>
  <c r="BP233" i="4"/>
  <c r="BH233" i="4"/>
  <c r="AZ233" i="4"/>
  <c r="AI233" i="4"/>
  <c r="A238" i="4"/>
  <c r="A213" i="4"/>
  <c r="A188" i="4"/>
  <c r="A163" i="4"/>
  <c r="AQ221" i="4"/>
  <c r="O221" i="4"/>
  <c r="BN221" i="4"/>
  <c r="AM221" i="4"/>
  <c r="M221" i="4"/>
  <c r="BY221" i="4"/>
  <c r="BJ221" i="4"/>
  <c r="AV221" i="4"/>
  <c r="AG221" i="4"/>
  <c r="O110" i="4"/>
  <c r="GE230" i="4"/>
  <c r="GG230" i="4"/>
  <c r="GI230" i="4"/>
  <c r="EA230" i="4"/>
  <c r="ER230" i="4"/>
  <c r="EN230" i="4"/>
  <c r="FZ230" i="4"/>
  <c r="DY230" i="4"/>
  <c r="GK224" i="4"/>
  <c r="GK199" i="4"/>
  <c r="FK224" i="4"/>
  <c r="FK199" i="4"/>
  <c r="GI224" i="4"/>
  <c r="GI199" i="4"/>
  <c r="FY224" i="4"/>
  <c r="FY199" i="4"/>
  <c r="EO224" i="4"/>
  <c r="EO199" i="4"/>
  <c r="FR224" i="4"/>
  <c r="FR199" i="4"/>
  <c r="GA224" i="4"/>
  <c r="GA199" i="4"/>
  <c r="DX224" i="4"/>
  <c r="DX199" i="4"/>
  <c r="FS224" i="4"/>
  <c r="FS199" i="4"/>
  <c r="EH224" i="4"/>
  <c r="EH199" i="4"/>
  <c r="CE217" i="4"/>
  <c r="CE192" i="4"/>
  <c r="AU217" i="4"/>
  <c r="AU192" i="4"/>
  <c r="O217" i="4"/>
  <c r="O192" i="4"/>
  <c r="BW217" i="4"/>
  <c r="BW192" i="4"/>
  <c r="CA217" i="4"/>
  <c r="CA192" i="4"/>
  <c r="BX217" i="4"/>
  <c r="BX192" i="4"/>
  <c r="BP217" i="4"/>
  <c r="BP192" i="4"/>
  <c r="BJ217" i="4"/>
  <c r="BJ192" i="4"/>
  <c r="BK217" i="4"/>
  <c r="BK192" i="4"/>
  <c r="BE217" i="4"/>
  <c r="BE192" i="4"/>
  <c r="EZ230" i="4"/>
  <c r="FR230" i="4"/>
  <c r="DQ230" i="4"/>
  <c r="EY230" i="4"/>
  <c r="FY230" i="4"/>
  <c r="EE230" i="4"/>
  <c r="AH233" i="4"/>
  <c r="BB233" i="4"/>
  <c r="BD233" i="4"/>
  <c r="Q233" i="4"/>
  <c r="BL233" i="4"/>
  <c r="V233" i="4"/>
  <c r="N233" i="4"/>
  <c r="CI233" i="4"/>
  <c r="CA233" i="4"/>
  <c r="BG233" i="4"/>
  <c r="AR221" i="4"/>
  <c r="AY221" i="4"/>
  <c r="BK221" i="4"/>
  <c r="AJ221" i="4"/>
  <c r="CI221" i="4"/>
  <c r="AK221" i="4"/>
  <c r="V221" i="4"/>
  <c r="CH221" i="4"/>
  <c r="BT221" i="4"/>
  <c r="BE221" i="4"/>
  <c r="O111" i="4"/>
  <c r="AM233" i="4"/>
  <c r="BK233" i="4"/>
  <c r="AC233" i="4"/>
  <c r="BV233" i="4"/>
  <c r="BA233" i="4"/>
  <c r="BF233" i="4"/>
  <c r="AX233" i="4"/>
  <c r="AP233" i="4"/>
  <c r="AA233" i="4"/>
  <c r="DJ188" i="4"/>
  <c r="DB188" i="4"/>
  <c r="CT188" i="4"/>
  <c r="CL188" i="4"/>
  <c r="DI188" i="4"/>
  <c r="DA188" i="4"/>
  <c r="CS188" i="4"/>
  <c r="CK188" i="4"/>
  <c r="DP188" i="4"/>
  <c r="DH188" i="4"/>
  <c r="CZ188" i="4"/>
  <c r="CR188" i="4"/>
  <c r="DO188" i="4"/>
  <c r="DD188" i="4"/>
  <c r="CP188" i="4"/>
  <c r="DN188" i="4"/>
  <c r="DC188" i="4"/>
  <c r="CO188" i="4"/>
  <c r="DM188" i="4"/>
  <c r="CY188" i="4"/>
  <c r="CN188" i="4"/>
  <c r="DE188" i="4"/>
  <c r="CX188" i="4"/>
  <c r="CW188" i="4"/>
  <c r="CV188" i="4"/>
  <c r="DL188" i="4"/>
  <c r="CU188" i="4"/>
  <c r="DK188" i="4"/>
  <c r="CQ188" i="4"/>
  <c r="DG188" i="4"/>
  <c r="DF188" i="4"/>
  <c r="CM188" i="4"/>
  <c r="BX221" i="4"/>
  <c r="BH221" i="4"/>
  <c r="AX221" i="4"/>
  <c r="W221" i="4"/>
  <c r="BV221" i="4"/>
  <c r="BQ221" i="4"/>
  <c r="BB221" i="4"/>
  <c r="AN221" i="4"/>
  <c r="Y221" i="4"/>
  <c r="FJ224" i="4"/>
  <c r="FJ199" i="4"/>
  <c r="DY224" i="4"/>
  <c r="DY199" i="4"/>
  <c r="GM224" i="4"/>
  <c r="GM199" i="4"/>
  <c r="EU224" i="4"/>
  <c r="EU199" i="4"/>
  <c r="FP224" i="4"/>
  <c r="FP199" i="4"/>
  <c r="GH224" i="4"/>
  <c r="GH199" i="4"/>
  <c r="DS224" i="4"/>
  <c r="DS199" i="4"/>
  <c r="DU224" i="4"/>
  <c r="DU199" i="4"/>
  <c r="DT224" i="4"/>
  <c r="DT199" i="4"/>
  <c r="BL217" i="4"/>
  <c r="BL192" i="4"/>
  <c r="AF217" i="4"/>
  <c r="AF192" i="4"/>
  <c r="CJ217" i="4"/>
  <c r="CJ192" i="4"/>
  <c r="BZ217" i="4"/>
  <c r="BZ192" i="4"/>
  <c r="AM217" i="4"/>
  <c r="AM192" i="4"/>
  <c r="AE217" i="4"/>
  <c r="AE192" i="4"/>
  <c r="Z217" i="4"/>
  <c r="Z192" i="4"/>
  <c r="AA217" i="4"/>
  <c r="AA192" i="4"/>
  <c r="Y217" i="4"/>
  <c r="Y192" i="4"/>
  <c r="FD230" i="4"/>
  <c r="DX230" i="4"/>
  <c r="FG230" i="4"/>
  <c r="EU230" i="4"/>
  <c r="FV230" i="4"/>
  <c r="GK230" i="4"/>
  <c r="ES230" i="4"/>
  <c r="FK230" i="4"/>
  <c r="EI230" i="4"/>
  <c r="GJ230" i="4"/>
  <c r="FL189" i="4"/>
  <c r="FI189" i="4"/>
  <c r="FH189" i="4"/>
  <c r="EM189" i="4"/>
  <c r="FU189" i="4"/>
  <c r="FB189" i="4"/>
  <c r="DV189" i="4"/>
  <c r="EQ189" i="4"/>
  <c r="EV189" i="4"/>
  <c r="ES189" i="4"/>
  <c r="ER189" i="4"/>
  <c r="GK189" i="4"/>
  <c r="FV189" i="4"/>
  <c r="EG189" i="4"/>
  <c r="GM189" i="4"/>
  <c r="ET189" i="4"/>
  <c r="EJ189" i="4"/>
  <c r="FR189" i="4"/>
  <c r="DR189" i="4"/>
  <c r="FO189" i="4"/>
  <c r="FD189" i="4"/>
  <c r="FA189" i="4"/>
  <c r="EZ189" i="4"/>
  <c r="DZ189" i="4"/>
  <c r="GI189" i="4"/>
  <c r="FC189" i="4"/>
  <c r="EE189" i="4"/>
  <c r="GD189" i="4"/>
  <c r="DQ189" i="4"/>
  <c r="EN189" i="4"/>
  <c r="EK189" i="4"/>
  <c r="FW189" i="4"/>
  <c r="FJ189" i="4"/>
  <c r="FG189" i="4"/>
  <c r="GE189" i="4"/>
  <c r="EF189" i="4"/>
  <c r="GO189" i="4"/>
  <c r="EC189" i="4"/>
  <c r="GN189" i="4"/>
  <c r="EB189" i="4"/>
  <c r="GL189" i="4"/>
  <c r="FK189" i="4"/>
  <c r="EW189" i="4"/>
  <c r="EU189" i="4"/>
  <c r="EA189" i="4"/>
  <c r="FE189" i="4"/>
  <c r="GJ189" i="4"/>
  <c r="DX189" i="4"/>
  <c r="GG189" i="4"/>
  <c r="DU189" i="4"/>
  <c r="GF189" i="4"/>
  <c r="DT189" i="4"/>
  <c r="FZ189" i="4"/>
  <c r="EX189" i="4"/>
  <c r="EI189" i="4"/>
  <c r="ED189" i="4"/>
  <c r="DS189" i="4"/>
  <c r="GA189" i="4"/>
  <c r="FN189" i="4"/>
  <c r="GB189" i="4"/>
  <c r="FY189" i="4"/>
  <c r="FX189" i="4"/>
  <c r="FM189" i="4"/>
  <c r="EL189" i="4"/>
  <c r="DW189" i="4"/>
  <c r="GP189" i="4"/>
  <c r="GH189" i="4"/>
  <c r="FP189" i="4"/>
  <c r="FF189" i="4"/>
  <c r="FQ189" i="4"/>
  <c r="GC189" i="4"/>
  <c r="DY189" i="4"/>
  <c r="FT189" i="4"/>
  <c r="EP189" i="4"/>
  <c r="EH189" i="4"/>
  <c r="FS189" i="4"/>
  <c r="EY189" i="4"/>
  <c r="EO189" i="4"/>
  <c r="BZ237" i="4"/>
  <c r="AW237" i="4"/>
  <c r="R237" i="4"/>
  <c r="Y237" i="4"/>
  <c r="BL237" i="4"/>
  <c r="BM237" i="4"/>
  <c r="BN237" i="4"/>
  <c r="BA237" i="4"/>
  <c r="AM237" i="4"/>
  <c r="EL224" i="4"/>
  <c r="EL199" i="4"/>
  <c r="EV224" i="4"/>
  <c r="EV199" i="4"/>
  <c r="FA224" i="4"/>
  <c r="FA199" i="4"/>
  <c r="FO224" i="4"/>
  <c r="FO199" i="4"/>
  <c r="FD224" i="4"/>
  <c r="FD199" i="4"/>
  <c r="FN224" i="4"/>
  <c r="FN199" i="4"/>
  <c r="GF224" i="4"/>
  <c r="GF199" i="4"/>
  <c r="FH224" i="4"/>
  <c r="FH199" i="4"/>
  <c r="GO224" i="4"/>
  <c r="GO199" i="4"/>
  <c r="BV217" i="4"/>
  <c r="BV192" i="4"/>
  <c r="AY217" i="4"/>
  <c r="AY192" i="4"/>
  <c r="T217" i="4"/>
  <c r="T192" i="4"/>
  <c r="X217" i="4"/>
  <c r="X192" i="4"/>
  <c r="AV217" i="4"/>
  <c r="AV192" i="4"/>
  <c r="AN217" i="4"/>
  <c r="AN192" i="4"/>
  <c r="AI217" i="4"/>
  <c r="AI192" i="4"/>
  <c r="AJ217" i="4"/>
  <c r="AJ192" i="4"/>
  <c r="AG217" i="4"/>
  <c r="AG192" i="4"/>
  <c r="FH230" i="4"/>
  <c r="FQ230" i="4"/>
  <c r="FM230" i="4"/>
  <c r="EO230" i="4"/>
  <c r="FC230" i="4"/>
  <c r="EJ230" i="4"/>
  <c r="GL230" i="4"/>
  <c r="EP230" i="4"/>
  <c r="FB230" i="4"/>
  <c r="FA230" i="4"/>
  <c r="Z237" i="4"/>
  <c r="N237" i="4"/>
  <c r="BO237" i="4"/>
  <c r="AJ237" i="4"/>
  <c r="AN237" i="4"/>
  <c r="BV237" i="4"/>
  <c r="BW237" i="4"/>
  <c r="BX237" i="4"/>
  <c r="BI237" i="4"/>
  <c r="AU237" i="4"/>
  <c r="BS233" i="4"/>
  <c r="AU233" i="4"/>
  <c r="AB233" i="4"/>
  <c r="BE233" i="4"/>
  <c r="AJ233" i="4"/>
  <c r="CC233" i="4"/>
  <c r="BY233" i="4"/>
  <c r="BQ233" i="4"/>
  <c r="BI233" i="4"/>
  <c r="AQ233" i="4"/>
  <c r="BO221" i="4"/>
  <c r="CE221" i="4"/>
  <c r="AE221" i="4"/>
  <c r="CD221" i="4"/>
  <c r="BC221" i="4"/>
  <c r="U221" i="4"/>
  <c r="CG221" i="4"/>
  <c r="BR221" i="4"/>
  <c r="BD221" i="4"/>
  <c r="AO221" i="4"/>
  <c r="ET224" i="4"/>
  <c r="ET199" i="4"/>
  <c r="ES224" i="4"/>
  <c r="ES199" i="4"/>
  <c r="FV224" i="4"/>
  <c r="FV199" i="4"/>
  <c r="EJ224" i="4"/>
  <c r="EJ199" i="4"/>
  <c r="EF224" i="4"/>
  <c r="EF199" i="4"/>
  <c r="FX224" i="4"/>
  <c r="FX199" i="4"/>
  <c r="GG224" i="4"/>
  <c r="GG199" i="4"/>
  <c r="ED224" i="4"/>
  <c r="ED199" i="4"/>
  <c r="GJ224" i="4"/>
  <c r="GJ199" i="4"/>
  <c r="EM224" i="4"/>
  <c r="EM199" i="4"/>
  <c r="AK217" i="4"/>
  <c r="AK192" i="4"/>
  <c r="K192" i="4"/>
  <c r="K217" i="4"/>
  <c r="BQ217" i="4"/>
  <c r="BQ192" i="4"/>
  <c r="AL217" i="4"/>
  <c r="AL192" i="4"/>
  <c r="AQ217" i="4"/>
  <c r="AQ192" i="4"/>
  <c r="BF217" i="4"/>
  <c r="BF192" i="4"/>
  <c r="AX217" i="4"/>
  <c r="AX192" i="4"/>
  <c r="AR192" i="4"/>
  <c r="AR217" i="4"/>
  <c r="AS217" i="4"/>
  <c r="AS192" i="4"/>
  <c r="AO217" i="4"/>
  <c r="AO192" i="4"/>
  <c r="EM230" i="4"/>
  <c r="DS230" i="4"/>
  <c r="EG230" i="4"/>
  <c r="FW230" i="4"/>
  <c r="FX230" i="4"/>
  <c r="DR230" i="4"/>
  <c r="DV230" i="4"/>
  <c r="EL230" i="4"/>
  <c r="EH230" i="4"/>
  <c r="FT230" i="4"/>
  <c r="D136" i="4"/>
  <c r="D135" i="4"/>
  <c r="K133" i="4"/>
  <c r="K132" i="4"/>
  <c r="K131" i="4"/>
  <c r="K135" i="4"/>
  <c r="K130" i="4"/>
  <c r="K134" i="4"/>
  <c r="K129" i="4"/>
  <c r="CB237" i="4"/>
  <c r="AB237" i="4"/>
  <c r="CD237" i="4"/>
  <c r="AY237" i="4"/>
  <c r="BF237" i="4"/>
  <c r="CF237" i="4"/>
  <c r="CH237" i="4"/>
  <c r="CJ237" i="4"/>
  <c r="BQ237" i="4"/>
  <c r="BC237" i="4"/>
  <c r="CF172" i="4"/>
  <c r="BX172" i="4"/>
  <c r="BP172" i="4"/>
  <c r="BH172" i="4"/>
  <c r="AZ172" i="4"/>
  <c r="AR172" i="4"/>
  <c r="AJ172" i="4"/>
  <c r="AB172" i="4"/>
  <c r="T172" i="4"/>
  <c r="L172" i="4"/>
  <c r="CE172" i="4"/>
  <c r="BW172" i="4"/>
  <c r="BO172" i="4"/>
  <c r="BG172" i="4"/>
  <c r="AY172" i="4"/>
  <c r="AQ172" i="4"/>
  <c r="AI172" i="4"/>
  <c r="AA172" i="4"/>
  <c r="S172" i="4"/>
  <c r="K172" i="4"/>
  <c r="CC172" i="4"/>
  <c r="BU172" i="4"/>
  <c r="BM172" i="4"/>
  <c r="BE172" i="4"/>
  <c r="AW172" i="4"/>
  <c r="AO172" i="4"/>
  <c r="AG172" i="4"/>
  <c r="Y172" i="4"/>
  <c r="Q172" i="4"/>
  <c r="CJ172" i="4"/>
  <c r="CB172" i="4"/>
  <c r="BT172" i="4"/>
  <c r="BL172" i="4"/>
  <c r="BD172" i="4"/>
  <c r="AV172" i="4"/>
  <c r="AN172" i="4"/>
  <c r="AF172" i="4"/>
  <c r="X172" i="4"/>
  <c r="P172" i="4"/>
  <c r="BZ172" i="4"/>
  <c r="BJ172" i="4"/>
  <c r="AT172" i="4"/>
  <c r="AD172" i="4"/>
  <c r="N172" i="4"/>
  <c r="BY172" i="4"/>
  <c r="BI172" i="4"/>
  <c r="AS172" i="4"/>
  <c r="AC172" i="4"/>
  <c r="M172" i="4"/>
  <c r="BV172" i="4"/>
  <c r="BF172" i="4"/>
  <c r="AP172" i="4"/>
  <c r="Z172" i="4"/>
  <c r="CH172" i="4"/>
  <c r="BR172" i="4"/>
  <c r="BB172" i="4"/>
  <c r="AL172" i="4"/>
  <c r="V172" i="4"/>
  <c r="CG172" i="4"/>
  <c r="BQ172" i="4"/>
  <c r="BA172" i="4"/>
  <c r="AK172" i="4"/>
  <c r="U172" i="4"/>
  <c r="CD172" i="4"/>
  <c r="AM172" i="4"/>
  <c r="CA172" i="4"/>
  <c r="AH172" i="4"/>
  <c r="BS172" i="4"/>
  <c r="AE172" i="4"/>
  <c r="BK172" i="4"/>
  <c r="R172" i="4"/>
  <c r="BC172" i="4"/>
  <c r="O172" i="4"/>
  <c r="AX172" i="4"/>
  <c r="W172" i="4"/>
  <c r="CI172" i="4"/>
  <c r="AU172" i="4"/>
  <c r="BN172" i="4"/>
  <c r="Z233" i="4"/>
  <c r="CF233" i="4"/>
  <c r="AR233" i="4"/>
  <c r="BU233" i="4"/>
  <c r="AV233" i="4"/>
  <c r="M233" i="4"/>
  <c r="CH233" i="4"/>
  <c r="BZ233" i="4"/>
  <c r="BR233" i="4"/>
  <c r="AY233" i="4"/>
  <c r="AA221" i="4"/>
  <c r="K221" i="4"/>
  <c r="AU221" i="4"/>
  <c r="T221" i="4"/>
  <c r="BS221" i="4"/>
  <c r="AC221" i="4"/>
  <c r="N221" i="4"/>
  <c r="BZ221" i="4"/>
  <c r="BL221" i="4"/>
  <c r="AW221" i="4"/>
  <c r="EC224" i="4"/>
  <c r="EC199" i="4"/>
  <c r="EQ224" i="4"/>
  <c r="EQ199" i="4"/>
  <c r="FG224" i="4"/>
  <c r="FG199" i="4"/>
  <c r="GN224" i="4"/>
  <c r="GN199" i="4"/>
  <c r="FI224" i="4"/>
  <c r="FI199" i="4"/>
  <c r="EP224" i="4"/>
  <c r="EP199" i="4"/>
  <c r="EY224" i="4"/>
  <c r="EY199" i="4"/>
  <c r="FQ224" i="4"/>
  <c r="FQ199" i="4"/>
  <c r="FM224" i="4"/>
  <c r="FM199" i="4"/>
  <c r="FZ224" i="4"/>
  <c r="FZ199" i="4"/>
  <c r="S217" i="4"/>
  <c r="S192" i="4"/>
  <c r="AC217" i="4"/>
  <c r="AC192" i="4"/>
  <c r="CI217" i="4"/>
  <c r="CI192" i="4"/>
  <c r="BD217" i="4"/>
  <c r="BD192" i="4"/>
  <c r="BI217" i="4"/>
  <c r="BI192" i="4"/>
  <c r="BO217" i="4"/>
  <c r="BO192" i="4"/>
  <c r="BG217" i="4"/>
  <c r="BG192" i="4"/>
  <c r="BA217" i="4"/>
  <c r="BA192" i="4"/>
  <c r="BB217" i="4"/>
  <c r="BB192" i="4"/>
  <c r="AW217" i="4"/>
  <c r="AW192" i="4"/>
  <c r="ET230" i="4"/>
  <c r="EW230" i="4"/>
  <c r="FS230" i="4"/>
  <c r="DT230" i="4"/>
  <c r="FE230" i="4"/>
  <c r="GD230" i="4"/>
  <c r="GH230" i="4"/>
  <c r="DW230" i="4"/>
  <c r="EB230" i="4"/>
  <c r="EX230" i="4"/>
  <c r="DO173" i="4"/>
  <c r="DG173" i="4"/>
  <c r="CY173" i="4"/>
  <c r="CQ173" i="4"/>
  <c r="DN173" i="4"/>
  <c r="DF173" i="4"/>
  <c r="CX173" i="4"/>
  <c r="CP173" i="4"/>
  <c r="DL173" i="4"/>
  <c r="DD173" i="4"/>
  <c r="CV173" i="4"/>
  <c r="CN173" i="4"/>
  <c r="DK173" i="4"/>
  <c r="DC173" i="4"/>
  <c r="CU173" i="4"/>
  <c r="CM173" i="4"/>
  <c r="DJ173" i="4"/>
  <c r="CT173" i="4"/>
  <c r="DI173" i="4"/>
  <c r="CS173" i="4"/>
  <c r="DH173" i="4"/>
  <c r="CR173" i="4"/>
  <c r="DB173" i="4"/>
  <c r="CL173" i="4"/>
  <c r="DA173" i="4"/>
  <c r="CK173" i="4"/>
  <c r="CZ173" i="4"/>
  <c r="CW173" i="4"/>
  <c r="CO173" i="4"/>
  <c r="DP173" i="4"/>
  <c r="DM173" i="4"/>
  <c r="DE173" i="4"/>
  <c r="AA237" i="4"/>
  <c r="AV237" i="4"/>
  <c r="Q237" i="4"/>
  <c r="BR237" i="4"/>
  <c r="BU237" i="4"/>
  <c r="K237" i="4"/>
  <c r="L237" i="4"/>
  <c r="M237" i="4"/>
  <c r="BY237" i="4"/>
  <c r="BK237" i="4"/>
  <c r="AO237" i="4"/>
  <c r="BJ237" i="4"/>
  <c r="AI237" i="4"/>
  <c r="S237" i="4"/>
  <c r="T237" i="4"/>
  <c r="V237" i="4"/>
  <c r="X237" i="4"/>
  <c r="U237" i="4"/>
  <c r="CG237" i="4"/>
  <c r="BS237" i="4"/>
  <c r="BN233" i="4"/>
  <c r="R233" i="4"/>
  <c r="BT233" i="4"/>
  <c r="AD233" i="4"/>
  <c r="CB233" i="4"/>
  <c r="AE233" i="4"/>
  <c r="W233" i="4"/>
  <c r="O233" i="4"/>
  <c r="CJ233" i="4"/>
  <c r="BO233" i="4"/>
  <c r="AB221" i="4"/>
  <c r="L221" i="4"/>
  <c r="CA221" i="4"/>
  <c r="AZ221" i="4"/>
  <c r="Z221" i="4"/>
  <c r="AS221" i="4"/>
  <c r="AD221" i="4"/>
  <c r="P221" i="4"/>
  <c r="CB221" i="4"/>
  <c r="BM221" i="4"/>
  <c r="FB224" i="4"/>
  <c r="FB199" i="4"/>
  <c r="EE224" i="4"/>
  <c r="EE199" i="4"/>
  <c r="FF224" i="4"/>
  <c r="FF199" i="4"/>
  <c r="GD224" i="4"/>
  <c r="GD199" i="4"/>
  <c r="DR224" i="4"/>
  <c r="DR199" i="4"/>
  <c r="EW224" i="4"/>
  <c r="EW199" i="4"/>
  <c r="GB224" i="4"/>
  <c r="GB199" i="4"/>
  <c r="FU224" i="4"/>
  <c r="FU199" i="4"/>
  <c r="EK224" i="4"/>
  <c r="EK199" i="4"/>
  <c r="DQ224" i="4"/>
  <c r="DQ199" i="4"/>
  <c r="AB217" i="4"/>
  <c r="AB192" i="4"/>
  <c r="BN217" i="4"/>
  <c r="BN192" i="4"/>
  <c r="AH217" i="4"/>
  <c r="AH192" i="4"/>
  <c r="W217" i="4"/>
  <c r="W192" i="4"/>
  <c r="L217" i="4"/>
  <c r="L192" i="4"/>
  <c r="CG217" i="4"/>
  <c r="CG192" i="4"/>
  <c r="BY217" i="4"/>
  <c r="BY192" i="4"/>
  <c r="BS217" i="4"/>
  <c r="BS192" i="4"/>
  <c r="BT217" i="4"/>
  <c r="BT192" i="4"/>
  <c r="BM217" i="4"/>
  <c r="BM192" i="4"/>
  <c r="GN230" i="4"/>
  <c r="FJ230" i="4"/>
  <c r="GM230" i="4"/>
  <c r="EQ230" i="4"/>
  <c r="EF230" i="4"/>
  <c r="FU230" i="4"/>
  <c r="DU230" i="4"/>
  <c r="DZ230" i="4"/>
  <c r="ED230" i="4"/>
  <c r="FA181" i="4"/>
  <c r="ED181" i="4"/>
  <c r="GE181" i="4"/>
  <c r="ET181" i="4"/>
  <c r="GB181" i="4"/>
  <c r="DV181" i="4"/>
  <c r="FX181" i="4"/>
  <c r="EQ181" i="4"/>
  <c r="FF181" i="4"/>
  <c r="FB181" i="4"/>
  <c r="GC181" i="4"/>
  <c r="FZ181" i="4"/>
  <c r="FS181" i="4"/>
  <c r="EO181" i="4"/>
  <c r="EK181" i="4"/>
  <c r="GF181" i="4"/>
  <c r="FM181" i="4"/>
  <c r="EA181" i="4"/>
  <c r="EY181" i="4"/>
  <c r="ER181" i="4"/>
  <c r="DX181" i="4"/>
  <c r="GO181" i="4"/>
  <c r="DR181" i="4"/>
  <c r="EI181" i="4"/>
  <c r="ES181" i="4"/>
  <c r="GP181" i="4"/>
  <c r="DT181" i="4"/>
  <c r="FV181" i="4"/>
  <c r="EJ181" i="4"/>
  <c r="FO181" i="4"/>
  <c r="FH181" i="4"/>
  <c r="EE181" i="4"/>
  <c r="DZ181" i="4"/>
  <c r="DY181" i="4"/>
  <c r="EZ181" i="4"/>
  <c r="EW181" i="4"/>
  <c r="EP181" i="4"/>
  <c r="FP181" i="4"/>
  <c r="DQ181" i="4"/>
  <c r="EC181" i="4"/>
  <c r="FW181" i="4"/>
  <c r="FD181" i="4"/>
  <c r="GM181" i="4"/>
  <c r="EF181" i="4"/>
  <c r="GG181" i="4"/>
  <c r="DU181" i="4"/>
  <c r="FN181" i="4"/>
  <c r="EU181" i="4"/>
  <c r="GD181" i="4"/>
  <c r="DW181" i="4"/>
  <c r="GA181" i="4"/>
  <c r="FY181" i="4"/>
  <c r="FE181" i="4"/>
  <c r="EL181" i="4"/>
  <c r="FU181" i="4"/>
  <c r="FK181" i="4"/>
  <c r="GJ181" i="4"/>
  <c r="GL181" i="4"/>
  <c r="FR181" i="4"/>
  <c r="FQ181" i="4"/>
  <c r="EV181" i="4"/>
  <c r="EB181" i="4"/>
  <c r="FL181" i="4"/>
  <c r="EX181" i="4"/>
  <c r="FT181" i="4"/>
  <c r="EM181" i="4"/>
  <c r="FJ181" i="4"/>
  <c r="GH181" i="4"/>
  <c r="FI181" i="4"/>
  <c r="EG181" i="4"/>
  <c r="GN181" i="4"/>
  <c r="FG181" i="4"/>
  <c r="GI181" i="4"/>
  <c r="EN181" i="4"/>
  <c r="DS181" i="4"/>
  <c r="GK181" i="4"/>
  <c r="EH181" i="4"/>
  <c r="FC181" i="4"/>
  <c r="AT237" i="4"/>
  <c r="CC237" i="4"/>
  <c r="AX237" i="4"/>
  <c r="AL237" i="4"/>
  <c r="AF237" i="4"/>
  <c r="AG237" i="4"/>
  <c r="AH237" i="4"/>
  <c r="AC237" i="4"/>
  <c r="O237" i="4"/>
  <c r="CA237" i="4"/>
  <c r="AL233" i="4"/>
  <c r="BC233" i="4"/>
  <c r="CG233" i="4"/>
  <c r="AT233" i="4"/>
  <c r="U233" i="4"/>
  <c r="AN233" i="4"/>
  <c r="AF233" i="4"/>
  <c r="X233" i="4"/>
  <c r="K233" i="4"/>
  <c r="BW233" i="4"/>
  <c r="BW221" i="4"/>
  <c r="BG221" i="4"/>
  <c r="R221" i="4"/>
  <c r="BP221" i="4"/>
  <c r="AP221" i="4"/>
  <c r="BA221" i="4"/>
  <c r="AL221" i="4"/>
  <c r="X221" i="4"/>
  <c r="CJ221" i="4"/>
  <c r="BU221" i="4"/>
  <c r="FC224" i="4"/>
  <c r="FC199" i="4"/>
  <c r="EZ224" i="4"/>
  <c r="EZ199" i="4"/>
  <c r="DW224" i="4"/>
  <c r="DW199" i="4"/>
  <c r="FL224" i="4"/>
  <c r="FL199" i="4"/>
  <c r="GL224" i="4"/>
  <c r="GL199" i="4"/>
  <c r="DZ224" i="4"/>
  <c r="DZ199" i="4"/>
  <c r="GP224" i="4"/>
  <c r="GP199" i="4"/>
  <c r="FE224" i="4"/>
  <c r="FE199" i="4"/>
  <c r="DV224" i="4"/>
  <c r="DV199" i="4"/>
  <c r="GC224" i="4"/>
  <c r="GC199" i="4"/>
  <c r="AT217" i="4"/>
  <c r="AT192" i="4"/>
  <c r="CF217" i="4"/>
  <c r="CF192" i="4"/>
  <c r="AZ217" i="4"/>
  <c r="AZ192" i="4"/>
  <c r="AP217" i="4"/>
  <c r="AP192" i="4"/>
  <c r="U217" i="4"/>
  <c r="U192" i="4"/>
  <c r="M217" i="4"/>
  <c r="M192" i="4"/>
  <c r="CH217" i="4"/>
  <c r="CH192" i="4"/>
  <c r="CB217" i="4"/>
  <c r="CB192" i="4"/>
  <c r="CD217" i="4"/>
  <c r="CD192" i="4"/>
  <c r="BU217" i="4"/>
  <c r="BU192" i="4"/>
  <c r="GC230" i="4"/>
  <c r="FP230" i="4"/>
  <c r="FF230" i="4"/>
  <c r="FN230" i="4"/>
  <c r="GB230" i="4"/>
  <c r="GP230" i="4"/>
  <c r="EV230" i="4"/>
  <c r="GA230" i="4"/>
  <c r="FL230" i="4"/>
  <c r="GO230" i="4"/>
  <c r="BG237" i="4"/>
  <c r="P237" i="4"/>
  <c r="BP237" i="4"/>
  <c r="BE237" i="4"/>
  <c r="AP237" i="4"/>
  <c r="AQ237" i="4"/>
  <c r="AR237" i="4"/>
  <c r="AK237" i="4"/>
  <c r="W237" i="4"/>
  <c r="CI237" i="4"/>
  <c r="DK223" i="4" l="1"/>
  <c r="DK198" i="4"/>
  <c r="DK199" i="4" s="1"/>
  <c r="DK200" i="4" s="1"/>
  <c r="DK201" i="4" s="1"/>
  <c r="DK202" i="4" s="1"/>
  <c r="DK203" i="4" s="1"/>
  <c r="DK204" i="4" s="1"/>
  <c r="DK205" i="4" s="1"/>
  <c r="DK206" i="4" s="1"/>
  <c r="AU222" i="4"/>
  <c r="Z222" i="4"/>
  <c r="CC222" i="4"/>
  <c r="CW223" i="4"/>
  <c r="CW198" i="4"/>
  <c r="CW199" i="4" s="1"/>
  <c r="CW200" i="4" s="1"/>
  <c r="CW201" i="4" s="1"/>
  <c r="CW202" i="4" s="1"/>
  <c r="CW203" i="4" s="1"/>
  <c r="CW204" i="4" s="1"/>
  <c r="CW205" i="4" s="1"/>
  <c r="CW206" i="4" s="1"/>
  <c r="CS223" i="4"/>
  <c r="CS198" i="4"/>
  <c r="CS199" i="4" s="1"/>
  <c r="CS200" i="4" s="1"/>
  <c r="CS201" i="4" s="1"/>
  <c r="CS202" i="4" s="1"/>
  <c r="CS203" i="4" s="1"/>
  <c r="CS204" i="4" s="1"/>
  <c r="CS205" i="4" s="1"/>
  <c r="CS206" i="4" s="1"/>
  <c r="CN223" i="4"/>
  <c r="CN198" i="4"/>
  <c r="CN199" i="4" s="1"/>
  <c r="CN200" i="4" s="1"/>
  <c r="CN201" i="4" s="1"/>
  <c r="CN202" i="4" s="1"/>
  <c r="CN203" i="4" s="1"/>
  <c r="CN204" i="4" s="1"/>
  <c r="CN205" i="4" s="1"/>
  <c r="CN206" i="4" s="1"/>
  <c r="CQ223" i="4"/>
  <c r="CQ198" i="4"/>
  <c r="CQ199" i="4" s="1"/>
  <c r="CQ200" i="4" s="1"/>
  <c r="CQ201" i="4" s="1"/>
  <c r="CQ202" i="4" s="1"/>
  <c r="CQ203" i="4" s="1"/>
  <c r="CQ204" i="4" s="1"/>
  <c r="CQ205" i="4" s="1"/>
  <c r="CQ206" i="4" s="1"/>
  <c r="CI222" i="4"/>
  <c r="BS222" i="4"/>
  <c r="BQ222" i="4"/>
  <c r="AP222" i="4"/>
  <c r="N222" i="4"/>
  <c r="AN222" i="4"/>
  <c r="Y222" i="4"/>
  <c r="K222" i="4"/>
  <c r="BW222" i="4"/>
  <c r="BH222" i="4"/>
  <c r="EL157" i="4"/>
  <c r="BZ157" i="4"/>
  <c r="N157" i="4"/>
  <c r="EK157" i="4"/>
  <c r="BY157" i="4"/>
  <c r="M157" i="4"/>
  <c r="EH157" i="4"/>
  <c r="BV157" i="4"/>
  <c r="GK157" i="4"/>
  <c r="EZ157" i="4"/>
  <c r="AZ157" i="4"/>
  <c r="DX157" i="4"/>
  <c r="Y157" i="4"/>
  <c r="CV157" i="4"/>
  <c r="GN157" i="4"/>
  <c r="CF157" i="4"/>
  <c r="FG157" i="4"/>
  <c r="BE157" i="4"/>
  <c r="AI157" i="4"/>
  <c r="CQ157" i="4"/>
  <c r="GJ157" i="4"/>
  <c r="DC157" i="4"/>
  <c r="GI157" i="4"/>
  <c r="GP157" i="4"/>
  <c r="ED157" i="4"/>
  <c r="BR157" i="4"/>
  <c r="GO157" i="4"/>
  <c r="EC157" i="4"/>
  <c r="BQ157" i="4"/>
  <c r="GL157" i="4"/>
  <c r="DZ157" i="4"/>
  <c r="BN157" i="4"/>
  <c r="GC157" i="4"/>
  <c r="EM157" i="4"/>
  <c r="AN157" i="4"/>
  <c r="DK157" i="4"/>
  <c r="L157" i="4"/>
  <c r="CJ157" i="4"/>
  <c r="FX157" i="4"/>
  <c r="BT157" i="4"/>
  <c r="EQ157" i="4"/>
  <c r="AR157" i="4"/>
  <c r="FS157" i="4"/>
  <c r="BH157" i="4"/>
  <c r="EU157" i="4"/>
  <c r="BU157" i="4"/>
  <c r="AQ157" i="4"/>
  <c r="FZ157" i="4"/>
  <c r="DN157" i="4"/>
  <c r="BB157" i="4"/>
  <c r="FY157" i="4"/>
  <c r="DM157" i="4"/>
  <c r="BA157" i="4"/>
  <c r="FV157" i="4"/>
  <c r="DJ157" i="4"/>
  <c r="AX157" i="4"/>
  <c r="FM157" i="4"/>
  <c r="DL157" i="4"/>
  <c r="O157" i="4"/>
  <c r="CK157" i="4"/>
  <c r="FL157" i="4"/>
  <c r="BK157" i="4"/>
  <c r="ER157" i="4"/>
  <c r="AU157" i="4"/>
  <c r="DQ157" i="4"/>
  <c r="S157" i="4"/>
  <c r="CU157" i="4"/>
  <c r="FD157" i="4"/>
  <c r="CC157" i="4"/>
  <c r="DH157" i="4"/>
  <c r="Q157" i="4"/>
  <c r="FR157" i="4"/>
  <c r="DF157" i="4"/>
  <c r="AT157" i="4"/>
  <c r="FQ157" i="4"/>
  <c r="DE157" i="4"/>
  <c r="AS157" i="4"/>
  <c r="FN157" i="4"/>
  <c r="DB157" i="4"/>
  <c r="AP157" i="4"/>
  <c r="FE157" i="4"/>
  <c r="CZ157" i="4"/>
  <c r="GE157" i="4"/>
  <c r="BX157" i="4"/>
  <c r="EV157" i="4"/>
  <c r="AW157" i="4"/>
  <c r="EF157" i="4"/>
  <c r="AG157" i="4"/>
  <c r="DD157" i="4"/>
  <c r="FT157" i="4"/>
  <c r="BO157" i="4"/>
  <c r="DT157" i="4"/>
  <c r="AV157" i="4"/>
  <c r="CI157" i="4"/>
  <c r="EO157" i="4"/>
  <c r="FB157" i="4"/>
  <c r="CP157" i="4"/>
  <c r="AD157" i="4"/>
  <c r="FA157" i="4"/>
  <c r="CO157" i="4"/>
  <c r="AC157" i="4"/>
  <c r="EX157" i="4"/>
  <c r="CL157" i="4"/>
  <c r="Z157" i="4"/>
  <c r="GF157" i="4"/>
  <c r="CA157" i="4"/>
  <c r="EY157" i="4"/>
  <c r="AY157" i="4"/>
  <c r="DW157" i="4"/>
  <c r="X157" i="4"/>
  <c r="DG157" i="4"/>
  <c r="GM157" i="4"/>
  <c r="CE157" i="4"/>
  <c r="DA157" i="4"/>
  <c r="FK157" i="4"/>
  <c r="BD157" i="4"/>
  <c r="GA157" i="4"/>
  <c r="CB157" i="4"/>
  <c r="ET157" i="4"/>
  <c r="FI157" i="4"/>
  <c r="GD157" i="4"/>
  <c r="R157" i="4"/>
  <c r="FO157" i="4"/>
  <c r="BW157" i="4"/>
  <c r="FW157" i="4"/>
  <c r="AE157" i="4"/>
  <c r="AO157" i="4"/>
  <c r="CX157" i="4"/>
  <c r="EW157" i="4"/>
  <c r="K157" i="4"/>
  <c r="BC157" i="4"/>
  <c r="AA157" i="4"/>
  <c r="DV157" i="4"/>
  <c r="ES157" i="4"/>
  <c r="FF157" i="4"/>
  <c r="FU157" i="4"/>
  <c r="EJ157" i="4"/>
  <c r="AJ157" i="4"/>
  <c r="EE157" i="4"/>
  <c r="EA157" i="4"/>
  <c r="DP157" i="4"/>
  <c r="DU157" i="4"/>
  <c r="CY157" i="4"/>
  <c r="AB157" i="4"/>
  <c r="AH157" i="4"/>
  <c r="EN157" i="4"/>
  <c r="EP157" i="4"/>
  <c r="CR157" i="4"/>
  <c r="DI157" i="4"/>
  <c r="CH157" i="4"/>
  <c r="CW157" i="4"/>
  <c r="DR157" i="4"/>
  <c r="FP157" i="4"/>
  <c r="BL157" i="4"/>
  <c r="FH157" i="4"/>
  <c r="BS157" i="4"/>
  <c r="CN157" i="4"/>
  <c r="FC157" i="4"/>
  <c r="GG157" i="4"/>
  <c r="BJ157" i="4"/>
  <c r="CG157" i="4"/>
  <c r="CT157" i="4"/>
  <c r="DY157" i="4"/>
  <c r="AM157" i="4"/>
  <c r="DS157" i="4"/>
  <c r="AF157" i="4"/>
  <c r="W157" i="4"/>
  <c r="U157" i="4"/>
  <c r="AL157" i="4"/>
  <c r="BI157" i="4"/>
  <c r="CD157" i="4"/>
  <c r="CM157" i="4"/>
  <c r="GB157" i="4"/>
  <c r="CS157" i="4"/>
  <c r="EG157" i="4"/>
  <c r="DO157" i="4"/>
  <c r="FJ157" i="4"/>
  <c r="EB157" i="4"/>
  <c r="GH157" i="4"/>
  <c r="V157" i="4"/>
  <c r="AK157" i="4"/>
  <c r="BF157" i="4"/>
  <c r="BM157" i="4"/>
  <c r="EI157" i="4"/>
  <c r="BG157" i="4"/>
  <c r="BP157" i="4"/>
  <c r="P157" i="4"/>
  <c r="T157" i="4"/>
  <c r="K123" i="4"/>
  <c r="L106" i="4"/>
  <c r="N105" i="4"/>
  <c r="L48" i="1" s="1"/>
  <c r="DH223" i="4"/>
  <c r="DH198" i="4"/>
  <c r="DH199" i="4" s="1"/>
  <c r="DH200" i="4" s="1"/>
  <c r="DH201" i="4" s="1"/>
  <c r="DH202" i="4" s="1"/>
  <c r="DH203" i="4" s="1"/>
  <c r="DH204" i="4" s="1"/>
  <c r="DH205" i="4" s="1"/>
  <c r="DH206" i="4" s="1"/>
  <c r="AE222" i="4"/>
  <c r="BY222" i="4"/>
  <c r="Q222" i="4"/>
  <c r="AZ222" i="4"/>
  <c r="CZ223" i="4"/>
  <c r="CZ198" i="4"/>
  <c r="CZ199" i="4" s="1"/>
  <c r="CZ200" i="4" s="1"/>
  <c r="CZ201" i="4" s="1"/>
  <c r="CZ202" i="4" s="1"/>
  <c r="CZ203" i="4" s="1"/>
  <c r="CZ204" i="4" s="1"/>
  <c r="CZ205" i="4" s="1"/>
  <c r="CZ206" i="4" s="1"/>
  <c r="DI223" i="4"/>
  <c r="DI198" i="4"/>
  <c r="DI199" i="4" s="1"/>
  <c r="DI200" i="4" s="1"/>
  <c r="DI201" i="4" s="1"/>
  <c r="DI202" i="4" s="1"/>
  <c r="DI203" i="4" s="1"/>
  <c r="DI204" i="4" s="1"/>
  <c r="DI205" i="4" s="1"/>
  <c r="DI206" i="4" s="1"/>
  <c r="CV223" i="4"/>
  <c r="CV198" i="4"/>
  <c r="CV199" i="4" s="1"/>
  <c r="CV200" i="4" s="1"/>
  <c r="CV201" i="4" s="1"/>
  <c r="CV202" i="4" s="1"/>
  <c r="CV203" i="4" s="1"/>
  <c r="CV204" i="4" s="1"/>
  <c r="CV205" i="4" s="1"/>
  <c r="CV206" i="4" s="1"/>
  <c r="CY223" i="4"/>
  <c r="CY198" i="4"/>
  <c r="CY199" i="4" s="1"/>
  <c r="CY200" i="4" s="1"/>
  <c r="CY201" i="4" s="1"/>
  <c r="CY202" i="4" s="1"/>
  <c r="CY203" i="4" s="1"/>
  <c r="CY204" i="4" s="1"/>
  <c r="CY205" i="4" s="1"/>
  <c r="CY206" i="4" s="1"/>
  <c r="W222" i="4"/>
  <c r="AH222" i="4"/>
  <c r="CG222" i="4"/>
  <c r="BF222" i="4"/>
  <c r="AD222" i="4"/>
  <c r="AV222" i="4"/>
  <c r="AG222" i="4"/>
  <c r="S222" i="4"/>
  <c r="CE222" i="4"/>
  <c r="BP222" i="4"/>
  <c r="GJ150" i="4"/>
  <c r="DX150" i="4"/>
  <c r="BL150" i="4"/>
  <c r="GA150" i="4"/>
  <c r="DO150" i="4"/>
  <c r="BC150" i="4"/>
  <c r="FZ150" i="4"/>
  <c r="DN150" i="4"/>
  <c r="BB150" i="4"/>
  <c r="FX150" i="4"/>
  <c r="DL150" i="4"/>
  <c r="AZ150" i="4"/>
  <c r="FW150" i="4"/>
  <c r="DK150" i="4"/>
  <c r="AY150" i="4"/>
  <c r="EP150" i="4"/>
  <c r="FI150" i="4"/>
  <c r="GC150" i="4"/>
  <c r="M150" i="4"/>
  <c r="AG150" i="4"/>
  <c r="AW150" i="4"/>
  <c r="AC150" i="4"/>
  <c r="BU150" i="4"/>
  <c r="AS150" i="4"/>
  <c r="GB150" i="4"/>
  <c r="DP150" i="4"/>
  <c r="BD150" i="4"/>
  <c r="FS150" i="4"/>
  <c r="DG150" i="4"/>
  <c r="AU150" i="4"/>
  <c r="FR150" i="4"/>
  <c r="DF150" i="4"/>
  <c r="AT150" i="4"/>
  <c r="FP150" i="4"/>
  <c r="DD150" i="4"/>
  <c r="AR150" i="4"/>
  <c r="FO150" i="4"/>
  <c r="DC150" i="4"/>
  <c r="AQ150" i="4"/>
  <c r="DU150" i="4"/>
  <c r="EO150" i="4"/>
  <c r="FF150" i="4"/>
  <c r="FY150" i="4"/>
  <c r="GO150" i="4"/>
  <c r="Z150" i="4"/>
  <c r="FA150" i="4"/>
  <c r="U150" i="4"/>
  <c r="FN150" i="4"/>
  <c r="FL150" i="4"/>
  <c r="CZ150" i="4"/>
  <c r="AN150" i="4"/>
  <c r="FC150" i="4"/>
  <c r="CQ150" i="4"/>
  <c r="AE150" i="4"/>
  <c r="FB150" i="4"/>
  <c r="CP150" i="4"/>
  <c r="AD150" i="4"/>
  <c r="EZ150" i="4"/>
  <c r="CN150" i="4"/>
  <c r="AB150" i="4"/>
  <c r="EY150" i="4"/>
  <c r="CM150" i="4"/>
  <c r="AA150" i="4"/>
  <c r="CD150" i="4"/>
  <c r="CW150" i="4"/>
  <c r="DQ150" i="4"/>
  <c r="EH150" i="4"/>
  <c r="EX150" i="4"/>
  <c r="EW150" i="4"/>
  <c r="EG150" i="4"/>
  <c r="DY150" i="4"/>
  <c r="AX150" i="4"/>
  <c r="FD150" i="4"/>
  <c r="CR150" i="4"/>
  <c r="AF150" i="4"/>
  <c r="EU150" i="4"/>
  <c r="CI150" i="4"/>
  <c r="W150" i="4"/>
  <c r="ET150" i="4"/>
  <c r="CH150" i="4"/>
  <c r="V150" i="4"/>
  <c r="ER150" i="4"/>
  <c r="CF150" i="4"/>
  <c r="T150" i="4"/>
  <c r="EQ150" i="4"/>
  <c r="CE150" i="4"/>
  <c r="S150" i="4"/>
  <c r="BI150" i="4"/>
  <c r="CC150" i="4"/>
  <c r="CT150" i="4"/>
  <c r="DM150" i="4"/>
  <c r="EC150" i="4"/>
  <c r="CO150" i="4"/>
  <c r="CG150" i="4"/>
  <c r="BN150" i="4"/>
  <c r="EV150" i="4"/>
  <c r="CJ150" i="4"/>
  <c r="X150" i="4"/>
  <c r="EM150" i="4"/>
  <c r="CA150" i="4"/>
  <c r="O150" i="4"/>
  <c r="EL150" i="4"/>
  <c r="BZ150" i="4"/>
  <c r="N150" i="4"/>
  <c r="EJ150" i="4"/>
  <c r="BX150" i="4"/>
  <c r="L150" i="4"/>
  <c r="EI150" i="4"/>
  <c r="BW150" i="4"/>
  <c r="K150" i="4"/>
  <c r="AO150" i="4"/>
  <c r="BF150" i="4"/>
  <c r="BY150" i="4"/>
  <c r="CS150" i="4"/>
  <c r="DI150" i="4"/>
  <c r="AP150" i="4"/>
  <c r="Y150" i="4"/>
  <c r="FQ150" i="4"/>
  <c r="EN150" i="4"/>
  <c r="CB150" i="4"/>
  <c r="P150" i="4"/>
  <c r="EE150" i="4"/>
  <c r="BS150" i="4"/>
  <c r="GP150" i="4"/>
  <c r="ED150" i="4"/>
  <c r="BR150" i="4"/>
  <c r="GN150" i="4"/>
  <c r="EB150" i="4"/>
  <c r="BP150" i="4"/>
  <c r="GM150" i="4"/>
  <c r="EA150" i="4"/>
  <c r="BO150" i="4"/>
  <c r="GG150" i="4"/>
  <c r="R150" i="4"/>
  <c r="AK150" i="4"/>
  <c r="BE150" i="4"/>
  <c r="BV150" i="4"/>
  <c r="CL150" i="4"/>
  <c r="ES150" i="4"/>
  <c r="GL150" i="4"/>
  <c r="DJ150" i="4"/>
  <c r="DW150" i="4"/>
  <c r="BJ150" i="4"/>
  <c r="GE150" i="4"/>
  <c r="GD150" i="4"/>
  <c r="BQ150" i="4"/>
  <c r="FT150" i="4"/>
  <c r="CY150" i="4"/>
  <c r="AL150" i="4"/>
  <c r="FG150" i="4"/>
  <c r="DR150" i="4"/>
  <c r="GK150" i="4"/>
  <c r="EF150" i="4"/>
  <c r="BK150" i="4"/>
  <c r="GF150" i="4"/>
  <c r="DS150" i="4"/>
  <c r="Q150" i="4"/>
  <c r="CK150" i="4"/>
  <c r="DH150" i="4"/>
  <c r="AM150" i="4"/>
  <c r="FH150" i="4"/>
  <c r="CU150" i="4"/>
  <c r="EK150" i="4"/>
  <c r="DB150" i="4"/>
  <c r="BT150" i="4"/>
  <c r="GH150" i="4"/>
  <c r="DT150" i="4"/>
  <c r="BG150" i="4"/>
  <c r="AH150" i="4"/>
  <c r="DZ150" i="4"/>
  <c r="FK150" i="4"/>
  <c r="DA150" i="4"/>
  <c r="AV150" i="4"/>
  <c r="FJ150" i="4"/>
  <c r="CV150" i="4"/>
  <c r="AI150" i="4"/>
  <c r="FE150" i="4"/>
  <c r="FV150" i="4"/>
  <c r="CX150" i="4"/>
  <c r="FU150" i="4"/>
  <c r="GI150" i="4"/>
  <c r="DV150" i="4"/>
  <c r="BH150" i="4"/>
  <c r="FM150" i="4"/>
  <c r="BA150" i="4"/>
  <c r="BM150" i="4"/>
  <c r="AJ150" i="4"/>
  <c r="DE150" i="4"/>
  <c r="CO223" i="4"/>
  <c r="CO198" i="4"/>
  <c r="CO199" i="4" s="1"/>
  <c r="CO200" i="4" s="1"/>
  <c r="CO201" i="4" s="1"/>
  <c r="CO202" i="4" s="1"/>
  <c r="CO203" i="4" s="1"/>
  <c r="CO204" i="4" s="1"/>
  <c r="CO205" i="4" s="1"/>
  <c r="CO206" i="4" s="1"/>
  <c r="DN223" i="4"/>
  <c r="DN198" i="4"/>
  <c r="DN199" i="4" s="1"/>
  <c r="DN200" i="4" s="1"/>
  <c r="DN201" i="4" s="1"/>
  <c r="DN202" i="4" s="1"/>
  <c r="DN203" i="4" s="1"/>
  <c r="DN204" i="4" s="1"/>
  <c r="DN205" i="4" s="1"/>
  <c r="DN206" i="4" s="1"/>
  <c r="BA222" i="4"/>
  <c r="AF222" i="4"/>
  <c r="BO222" i="4"/>
  <c r="GJ163" i="4"/>
  <c r="GB163" i="4"/>
  <c r="FT163" i="4"/>
  <c r="FL163" i="4"/>
  <c r="FD163" i="4"/>
  <c r="EV163" i="4"/>
  <c r="EN163" i="4"/>
  <c r="EF163" i="4"/>
  <c r="DX163" i="4"/>
  <c r="DP163" i="4"/>
  <c r="DP238" i="4" s="1"/>
  <c r="DH163" i="4"/>
  <c r="DH238" i="4" s="1"/>
  <c r="CZ163" i="4"/>
  <c r="CZ238" i="4" s="1"/>
  <c r="CR163" i="4"/>
  <c r="CR238" i="4" s="1"/>
  <c r="CJ163" i="4"/>
  <c r="CB163" i="4"/>
  <c r="BT163" i="4"/>
  <c r="BL163" i="4"/>
  <c r="BD163" i="4"/>
  <c r="AV163" i="4"/>
  <c r="AN163" i="4"/>
  <c r="AF163" i="4"/>
  <c r="X163" i="4"/>
  <c r="P163" i="4"/>
  <c r="GI163" i="4"/>
  <c r="GA163" i="4"/>
  <c r="FS163" i="4"/>
  <c r="FK163" i="4"/>
  <c r="FC163" i="4"/>
  <c r="EU163" i="4"/>
  <c r="EM163" i="4"/>
  <c r="EE163" i="4"/>
  <c r="DW163" i="4"/>
  <c r="DO163" i="4"/>
  <c r="DG163" i="4"/>
  <c r="DG238" i="4" s="1"/>
  <c r="CY163" i="4"/>
  <c r="CY238" i="4" s="1"/>
  <c r="CQ163" i="4"/>
  <c r="CQ238" i="4" s="1"/>
  <c r="CI163" i="4"/>
  <c r="CA163" i="4"/>
  <c r="BS163" i="4"/>
  <c r="BK163" i="4"/>
  <c r="BC163" i="4"/>
  <c r="AU163" i="4"/>
  <c r="AM163" i="4"/>
  <c r="AE163" i="4"/>
  <c r="W163" i="4"/>
  <c r="O163" i="4"/>
  <c r="GN163" i="4"/>
  <c r="GF163" i="4"/>
  <c r="FX163" i="4"/>
  <c r="FP163" i="4"/>
  <c r="FH163" i="4"/>
  <c r="EZ163" i="4"/>
  <c r="ER163" i="4"/>
  <c r="EJ163" i="4"/>
  <c r="EB163" i="4"/>
  <c r="DT163" i="4"/>
  <c r="DL163" i="4"/>
  <c r="DL238" i="4" s="1"/>
  <c r="DD163" i="4"/>
  <c r="DD238" i="4" s="1"/>
  <c r="CV163" i="4"/>
  <c r="CV213" i="4" s="1"/>
  <c r="CV214" i="4" s="1"/>
  <c r="CN163" i="4"/>
  <c r="CN238" i="4" s="1"/>
  <c r="CF163" i="4"/>
  <c r="BX163" i="4"/>
  <c r="BP163" i="4"/>
  <c r="BH163" i="4"/>
  <c r="AZ163" i="4"/>
  <c r="AR163" i="4"/>
  <c r="AJ163" i="4"/>
  <c r="AB163" i="4"/>
  <c r="T163" i="4"/>
  <c r="L163" i="4"/>
  <c r="GM163" i="4"/>
  <c r="GE163" i="4"/>
  <c r="FW163" i="4"/>
  <c r="FO163" i="4"/>
  <c r="FG163" i="4"/>
  <c r="EY163" i="4"/>
  <c r="EQ163" i="4"/>
  <c r="EI163" i="4"/>
  <c r="EA163" i="4"/>
  <c r="DS163" i="4"/>
  <c r="DK163" i="4"/>
  <c r="DK238" i="4" s="1"/>
  <c r="DC163" i="4"/>
  <c r="DC238" i="4" s="1"/>
  <c r="CU163" i="4"/>
  <c r="CU238" i="4" s="1"/>
  <c r="CM163" i="4"/>
  <c r="CM238" i="4" s="1"/>
  <c r="CE163" i="4"/>
  <c r="BW163" i="4"/>
  <c r="BO163" i="4"/>
  <c r="BG163" i="4"/>
  <c r="AY163" i="4"/>
  <c r="AQ163" i="4"/>
  <c r="AI163" i="4"/>
  <c r="AA163" i="4"/>
  <c r="S163" i="4"/>
  <c r="K163" i="4"/>
  <c r="GH163" i="4"/>
  <c r="FR163" i="4"/>
  <c r="FB163" i="4"/>
  <c r="EL163" i="4"/>
  <c r="DV163" i="4"/>
  <c r="DF163" i="4"/>
  <c r="DF238" i="4" s="1"/>
  <c r="CP163" i="4"/>
  <c r="CP238" i="4" s="1"/>
  <c r="BZ163" i="4"/>
  <c r="BJ163" i="4"/>
  <c r="AT163" i="4"/>
  <c r="AD163" i="4"/>
  <c r="N163" i="4"/>
  <c r="GG163" i="4"/>
  <c r="FQ163" i="4"/>
  <c r="FA163" i="4"/>
  <c r="EK163" i="4"/>
  <c r="DU163" i="4"/>
  <c r="DE163" i="4"/>
  <c r="DE213" i="4" s="1"/>
  <c r="DE214" i="4" s="1"/>
  <c r="CO163" i="4"/>
  <c r="CO238" i="4" s="1"/>
  <c r="BY163" i="4"/>
  <c r="BI163" i="4"/>
  <c r="AS163" i="4"/>
  <c r="AC163" i="4"/>
  <c r="M163" i="4"/>
  <c r="GD163" i="4"/>
  <c r="FN163" i="4"/>
  <c r="EX163" i="4"/>
  <c r="EH163" i="4"/>
  <c r="DR163" i="4"/>
  <c r="DB163" i="4"/>
  <c r="CL163" i="4"/>
  <c r="CL213" i="4" s="1"/>
  <c r="CL214" i="4" s="1"/>
  <c r="BV163" i="4"/>
  <c r="BF163" i="4"/>
  <c r="AP163" i="4"/>
  <c r="Z163" i="4"/>
  <c r="GP163" i="4"/>
  <c r="FZ163" i="4"/>
  <c r="FJ163" i="4"/>
  <c r="ET163" i="4"/>
  <c r="ED163" i="4"/>
  <c r="DN163" i="4"/>
  <c r="DN238" i="4" s="1"/>
  <c r="CX163" i="4"/>
  <c r="CX238" i="4" s="1"/>
  <c r="CH163" i="4"/>
  <c r="BR163" i="4"/>
  <c r="BB163" i="4"/>
  <c r="AL163" i="4"/>
  <c r="V163" i="4"/>
  <c r="GO163" i="4"/>
  <c r="FY163" i="4"/>
  <c r="FI163" i="4"/>
  <c r="ES163" i="4"/>
  <c r="EC163" i="4"/>
  <c r="DM163" i="4"/>
  <c r="CW163" i="4"/>
  <c r="CW238" i="4" s="1"/>
  <c r="CG163" i="4"/>
  <c r="BQ163" i="4"/>
  <c r="BA163" i="4"/>
  <c r="AK163" i="4"/>
  <c r="U163" i="4"/>
  <c r="GL163" i="4"/>
  <c r="FV163" i="4"/>
  <c r="FF163" i="4"/>
  <c r="EP163" i="4"/>
  <c r="DZ163" i="4"/>
  <c r="DJ163" i="4"/>
  <c r="DJ238" i="4" s="1"/>
  <c r="CT163" i="4"/>
  <c r="CT213" i="4" s="1"/>
  <c r="CT214" i="4" s="1"/>
  <c r="CD163" i="4"/>
  <c r="BN163" i="4"/>
  <c r="AX163" i="4"/>
  <c r="AH163" i="4"/>
  <c r="R163" i="4"/>
  <c r="FM163" i="4"/>
  <c r="DA163" i="4"/>
  <c r="DA238" i="4" s="1"/>
  <c r="AO163" i="4"/>
  <c r="FE163" i="4"/>
  <c r="CS163" i="4"/>
  <c r="CS238" i="4" s="1"/>
  <c r="AG163" i="4"/>
  <c r="EW163" i="4"/>
  <c r="CK163" i="4"/>
  <c r="CK213" i="4" s="1"/>
  <c r="CK214" i="4" s="1"/>
  <c r="Y163" i="4"/>
  <c r="EO163" i="4"/>
  <c r="CC163" i="4"/>
  <c r="Q163" i="4"/>
  <c r="GK163" i="4"/>
  <c r="DY163" i="4"/>
  <c r="BM163" i="4"/>
  <c r="FU163" i="4"/>
  <c r="DI163" i="4"/>
  <c r="DI238" i="4" s="1"/>
  <c r="AW163" i="4"/>
  <c r="DQ163" i="4"/>
  <c r="BU163" i="4"/>
  <c r="EG163" i="4"/>
  <c r="BE163" i="4"/>
  <c r="GC163" i="4"/>
  <c r="CK223" i="4"/>
  <c r="CK198" i="4"/>
  <c r="CK199" i="4" s="1"/>
  <c r="CK200" i="4" s="1"/>
  <c r="CK201" i="4" s="1"/>
  <c r="CK202" i="4" s="1"/>
  <c r="CK203" i="4" s="1"/>
  <c r="CK204" i="4" s="1"/>
  <c r="CK205" i="4" s="1"/>
  <c r="CK206" i="4" s="1"/>
  <c r="CT223" i="4"/>
  <c r="CT198" i="4"/>
  <c r="CT199" i="4" s="1"/>
  <c r="CT200" i="4" s="1"/>
  <c r="CT201" i="4" s="1"/>
  <c r="CT202" i="4" s="1"/>
  <c r="CT203" i="4" s="1"/>
  <c r="CT204" i="4" s="1"/>
  <c r="CT205" i="4" s="1"/>
  <c r="CT206" i="4" s="1"/>
  <c r="DD223" i="4"/>
  <c r="DD198" i="4"/>
  <c r="DD199" i="4" s="1"/>
  <c r="DD200" i="4" s="1"/>
  <c r="DD201" i="4" s="1"/>
  <c r="DD202" i="4" s="1"/>
  <c r="DD203" i="4" s="1"/>
  <c r="DD204" i="4" s="1"/>
  <c r="DD205" i="4" s="1"/>
  <c r="DD206" i="4" s="1"/>
  <c r="DG223" i="4"/>
  <c r="DG198" i="4"/>
  <c r="DG199" i="4" s="1"/>
  <c r="DG200" i="4" s="1"/>
  <c r="DG201" i="4" s="1"/>
  <c r="DG202" i="4" s="1"/>
  <c r="DG203" i="4" s="1"/>
  <c r="DG204" i="4" s="1"/>
  <c r="DG205" i="4" s="1"/>
  <c r="DG206" i="4" s="1"/>
  <c r="AX222" i="4"/>
  <c r="CA222" i="4"/>
  <c r="V222" i="4"/>
  <c r="BV222" i="4"/>
  <c r="AT222" i="4"/>
  <c r="BD222" i="4"/>
  <c r="AO222" i="4"/>
  <c r="AA222" i="4"/>
  <c r="L222" i="4"/>
  <c r="BX222" i="4"/>
  <c r="DE223" i="4"/>
  <c r="DE198" i="4"/>
  <c r="DE199" i="4" s="1"/>
  <c r="DE200" i="4" s="1"/>
  <c r="DE201" i="4" s="1"/>
  <c r="DE202" i="4" s="1"/>
  <c r="DE203" i="4" s="1"/>
  <c r="DE204" i="4" s="1"/>
  <c r="DE205" i="4" s="1"/>
  <c r="DE206" i="4" s="1"/>
  <c r="CL223" i="4"/>
  <c r="CL198" i="4"/>
  <c r="CL199" i="4" s="1"/>
  <c r="CL200" i="4" s="1"/>
  <c r="CL201" i="4" s="1"/>
  <c r="CL202" i="4" s="1"/>
  <c r="CL203" i="4" s="1"/>
  <c r="CL204" i="4" s="1"/>
  <c r="CL205" i="4" s="1"/>
  <c r="CL206" i="4" s="1"/>
  <c r="CM223" i="4"/>
  <c r="CM198" i="4"/>
  <c r="CM199" i="4" s="1"/>
  <c r="CM200" i="4" s="1"/>
  <c r="CM201" i="4" s="1"/>
  <c r="CM202" i="4" s="1"/>
  <c r="CM203" i="4" s="1"/>
  <c r="CM204" i="4" s="1"/>
  <c r="CM205" i="4" s="1"/>
  <c r="CM206" i="4" s="1"/>
  <c r="CP223" i="4"/>
  <c r="CP198" i="4"/>
  <c r="CP199" i="4" s="1"/>
  <c r="CP200" i="4" s="1"/>
  <c r="CP201" i="4" s="1"/>
  <c r="CP202" i="4" s="1"/>
  <c r="CP203" i="4" s="1"/>
  <c r="CP204" i="4" s="1"/>
  <c r="CP205" i="4" s="1"/>
  <c r="CP206" i="4" s="1"/>
  <c r="BC222" i="4"/>
  <c r="CD222" i="4"/>
  <c r="BB222" i="4"/>
  <c r="AC222" i="4"/>
  <c r="BZ222" i="4"/>
  <c r="BT222" i="4"/>
  <c r="BE222" i="4"/>
  <c r="AQ222" i="4"/>
  <c r="AB222" i="4"/>
  <c r="L47" i="1"/>
  <c r="DJ223" i="4"/>
  <c r="DJ198" i="4"/>
  <c r="DJ199" i="4" s="1"/>
  <c r="DJ200" i="4" s="1"/>
  <c r="DJ201" i="4" s="1"/>
  <c r="DJ202" i="4" s="1"/>
  <c r="DJ203" i="4" s="1"/>
  <c r="DJ204" i="4" s="1"/>
  <c r="DJ205" i="4" s="1"/>
  <c r="DJ206" i="4" s="1"/>
  <c r="DO223" i="4"/>
  <c r="DO198" i="4"/>
  <c r="DO199" i="4" s="1"/>
  <c r="DO200" i="4" s="1"/>
  <c r="DO201" i="4" s="1"/>
  <c r="DO202" i="4" s="1"/>
  <c r="DO203" i="4" s="1"/>
  <c r="DO204" i="4" s="1"/>
  <c r="DO205" i="4" s="1"/>
  <c r="DO206" i="4" s="1"/>
  <c r="O222" i="4"/>
  <c r="AL222" i="4"/>
  <c r="BJ222" i="4"/>
  <c r="AW222" i="4"/>
  <c r="T222" i="4"/>
  <c r="DM223" i="4"/>
  <c r="DM198" i="4"/>
  <c r="DM199" i="4" s="1"/>
  <c r="DM200" i="4" s="1"/>
  <c r="DM201" i="4" s="1"/>
  <c r="DM202" i="4" s="1"/>
  <c r="DM203" i="4" s="1"/>
  <c r="DM204" i="4" s="1"/>
  <c r="DM205" i="4" s="1"/>
  <c r="DM206" i="4" s="1"/>
  <c r="DB223" i="4"/>
  <c r="DB198" i="4"/>
  <c r="DB199" i="4" s="1"/>
  <c r="DB200" i="4" s="1"/>
  <c r="DB201" i="4" s="1"/>
  <c r="DB202" i="4" s="1"/>
  <c r="DB203" i="4" s="1"/>
  <c r="DB204" i="4" s="1"/>
  <c r="DB205" i="4" s="1"/>
  <c r="DB206" i="4" s="1"/>
  <c r="CU223" i="4"/>
  <c r="CU198" i="4"/>
  <c r="CU199" i="4" s="1"/>
  <c r="CU200" i="4" s="1"/>
  <c r="CU201" i="4" s="1"/>
  <c r="CU202" i="4" s="1"/>
  <c r="CU203" i="4" s="1"/>
  <c r="CU204" i="4" s="1"/>
  <c r="CU205" i="4" s="1"/>
  <c r="CU206" i="4" s="1"/>
  <c r="CX223" i="4"/>
  <c r="CX198" i="4"/>
  <c r="CX199" i="4" s="1"/>
  <c r="CX200" i="4" s="1"/>
  <c r="CX201" i="4" s="1"/>
  <c r="CX202" i="4" s="1"/>
  <c r="CX203" i="4" s="1"/>
  <c r="CX204" i="4" s="1"/>
  <c r="CX205" i="4" s="1"/>
  <c r="CX206" i="4" s="1"/>
  <c r="R222" i="4"/>
  <c r="U222" i="4"/>
  <c r="BR222" i="4"/>
  <c r="AS222" i="4"/>
  <c r="P222" i="4"/>
  <c r="CB222" i="4"/>
  <c r="BM222" i="4"/>
  <c r="AY222" i="4"/>
  <c r="AJ222" i="4"/>
  <c r="D130" i="4"/>
  <c r="L93" i="4"/>
  <c r="D115" i="4"/>
  <c r="N92" i="4"/>
  <c r="B66" i="1" s="1"/>
  <c r="DA223" i="4"/>
  <c r="DA198" i="4"/>
  <c r="DA199" i="4" s="1"/>
  <c r="DA200" i="4" s="1"/>
  <c r="DA201" i="4" s="1"/>
  <c r="DA202" i="4" s="1"/>
  <c r="DA203" i="4" s="1"/>
  <c r="DA204" i="4" s="1"/>
  <c r="DA205" i="4" s="1"/>
  <c r="DA206" i="4" s="1"/>
  <c r="DL223" i="4"/>
  <c r="DL198" i="4"/>
  <c r="DL199" i="4" s="1"/>
  <c r="DL200" i="4" s="1"/>
  <c r="DL201" i="4" s="1"/>
  <c r="DL202" i="4" s="1"/>
  <c r="DL203" i="4" s="1"/>
  <c r="DL204" i="4" s="1"/>
  <c r="DL205" i="4" s="1"/>
  <c r="DL206" i="4" s="1"/>
  <c r="AM222" i="4"/>
  <c r="M222" i="4"/>
  <c r="BL222" i="4"/>
  <c r="AI222" i="4"/>
  <c r="CF222" i="4"/>
  <c r="DP223" i="4"/>
  <c r="DP198" i="4"/>
  <c r="DP199" i="4" s="1"/>
  <c r="DP200" i="4" s="1"/>
  <c r="DP201" i="4" s="1"/>
  <c r="DP202" i="4" s="1"/>
  <c r="DP203" i="4" s="1"/>
  <c r="DP204" i="4" s="1"/>
  <c r="DP205" i="4" s="1"/>
  <c r="DP206" i="4" s="1"/>
  <c r="CR223" i="4"/>
  <c r="CR198" i="4"/>
  <c r="CR199" i="4" s="1"/>
  <c r="CR200" i="4" s="1"/>
  <c r="CR201" i="4" s="1"/>
  <c r="CR202" i="4" s="1"/>
  <c r="CR203" i="4" s="1"/>
  <c r="CR204" i="4" s="1"/>
  <c r="CR205" i="4" s="1"/>
  <c r="CR206" i="4" s="1"/>
  <c r="DC223" i="4"/>
  <c r="DC198" i="4"/>
  <c r="DC199" i="4" s="1"/>
  <c r="DC200" i="4" s="1"/>
  <c r="DC201" i="4" s="1"/>
  <c r="DC202" i="4" s="1"/>
  <c r="DC203" i="4" s="1"/>
  <c r="DC204" i="4" s="1"/>
  <c r="DC205" i="4" s="1"/>
  <c r="DC206" i="4" s="1"/>
  <c r="DF223" i="4"/>
  <c r="DF198" i="4"/>
  <c r="DF199" i="4" s="1"/>
  <c r="DF200" i="4" s="1"/>
  <c r="DF201" i="4" s="1"/>
  <c r="DF202" i="4" s="1"/>
  <c r="DF203" i="4" s="1"/>
  <c r="DF204" i="4" s="1"/>
  <c r="DF205" i="4" s="1"/>
  <c r="DF206" i="4" s="1"/>
  <c r="BN222" i="4"/>
  <c r="BK222" i="4"/>
  <c r="AK222" i="4"/>
  <c r="CH222" i="4"/>
  <c r="BI222" i="4"/>
  <c r="X222" i="4"/>
  <c r="CJ222" i="4"/>
  <c r="BU222" i="4"/>
  <c r="BG222" i="4"/>
  <c r="AR222" i="4"/>
  <c r="B54" i="1"/>
  <c r="DB238" i="4" l="1"/>
  <c r="DB213" i="4"/>
  <c r="DB214" i="4" s="1"/>
  <c r="DM213" i="4"/>
  <c r="DM214" i="4" s="1"/>
  <c r="DM238" i="4"/>
  <c r="DO238" i="4"/>
  <c r="DO213" i="4"/>
  <c r="DO214" i="4" s="1"/>
  <c r="CM213" i="4"/>
  <c r="CM214" i="4" s="1"/>
  <c r="CZ213" i="4"/>
  <c r="CZ214" i="4" s="1"/>
  <c r="CU213" i="4"/>
  <c r="CU214" i="4" s="1"/>
  <c r="CY213" i="4"/>
  <c r="CY214" i="4" s="1"/>
  <c r="DH213" i="4"/>
  <c r="DH214" i="4" s="1"/>
  <c r="CV238" i="4"/>
  <c r="CT238" i="4"/>
  <c r="CO213" i="4"/>
  <c r="CO214" i="4" s="1"/>
  <c r="DI213" i="4"/>
  <c r="DI214" i="4" s="1"/>
  <c r="DJ213" i="4"/>
  <c r="DJ214" i="4" s="1"/>
  <c r="CN213" i="4"/>
  <c r="CN214" i="4" s="1"/>
  <c r="CQ213" i="4"/>
  <c r="CQ214" i="4" s="1"/>
  <c r="CL238" i="4"/>
  <c r="CR213" i="4"/>
  <c r="CR214" i="4" s="1"/>
  <c r="CK238" i="4"/>
  <c r="CP213" i="4"/>
  <c r="CP214" i="4" s="1"/>
  <c r="FG200" i="4"/>
  <c r="FG225" i="4"/>
  <c r="EG225" i="4"/>
  <c r="EG200" i="4"/>
  <c r="DD213" i="4"/>
  <c r="DD214" i="4" s="1"/>
  <c r="CS213" i="4"/>
  <c r="CS214" i="4" s="1"/>
  <c r="AJ232" i="4"/>
  <c r="AJ207" i="4"/>
  <c r="AJ208" i="4" s="1"/>
  <c r="AD232" i="4"/>
  <c r="AD207" i="4"/>
  <c r="AD208" i="4" s="1"/>
  <c r="S232" i="4"/>
  <c r="S207" i="4"/>
  <c r="S208" i="4" s="1"/>
  <c r="BE232" i="4"/>
  <c r="BE207" i="4"/>
  <c r="BE208" i="4" s="1"/>
  <c r="FO200" i="4"/>
  <c r="FO225" i="4"/>
  <c r="BG207" i="4"/>
  <c r="BG208" i="4" s="1"/>
  <c r="BG232" i="4"/>
  <c r="EC225" i="4"/>
  <c r="EC200" i="4"/>
  <c r="FC225" i="4"/>
  <c r="FC200" i="4"/>
  <c r="AB232" i="4"/>
  <c r="AB207" i="4"/>
  <c r="AB208" i="4" s="1"/>
  <c r="Z207" i="4"/>
  <c r="Z208" i="4" s="1"/>
  <c r="Z232" i="4"/>
  <c r="AX232" i="4"/>
  <c r="AX207" i="4"/>
  <c r="AX208" i="4" s="1"/>
  <c r="DC213" i="4"/>
  <c r="DC214" i="4" s="1"/>
  <c r="DL213" i="4"/>
  <c r="DL214" i="4" s="1"/>
  <c r="DK213" i="4"/>
  <c r="DK214" i="4" s="1"/>
  <c r="FK225" i="4"/>
  <c r="FK200" i="4"/>
  <c r="EK200" i="4"/>
  <c r="EK225" i="4"/>
  <c r="GF200" i="4"/>
  <c r="GF225" i="4"/>
  <c r="FT200" i="4"/>
  <c r="FT225" i="4"/>
  <c r="ES225" i="4"/>
  <c r="ES200" i="4"/>
  <c r="EA225" i="4"/>
  <c r="EA200" i="4"/>
  <c r="EM225" i="4"/>
  <c r="EM200" i="4"/>
  <c r="EH225" i="4"/>
  <c r="EH200" i="4"/>
  <c r="FY200" i="4"/>
  <c r="FY225" i="4"/>
  <c r="DE238" i="4"/>
  <c r="CW213" i="4"/>
  <c r="CW214" i="4" s="1"/>
  <c r="BM232" i="4"/>
  <c r="BM207" i="4"/>
  <c r="BM208" i="4" s="1"/>
  <c r="W232" i="4"/>
  <c r="W207" i="4"/>
  <c r="W208" i="4" s="1"/>
  <c r="AO207" i="4"/>
  <c r="AO208" i="4" s="1"/>
  <c r="AO232" i="4"/>
  <c r="Q207" i="4"/>
  <c r="Q208" i="4" s="1"/>
  <c r="Q232" i="4"/>
  <c r="AQ207" i="4"/>
  <c r="AQ208" i="4" s="1"/>
  <c r="AQ232" i="4"/>
  <c r="DN213" i="4"/>
  <c r="DN214" i="4" s="1"/>
  <c r="FJ225" i="4"/>
  <c r="FJ200" i="4"/>
  <c r="BL232" i="4"/>
  <c r="BL207" i="4"/>
  <c r="BL208" i="4" s="1"/>
  <c r="R207" i="4"/>
  <c r="R208" i="4" s="1"/>
  <c r="R232" i="4"/>
  <c r="AR232" i="4"/>
  <c r="AR207" i="4"/>
  <c r="AR208" i="4" s="1"/>
  <c r="GI225" i="4"/>
  <c r="GI200" i="4"/>
  <c r="EY225" i="4"/>
  <c r="EY200" i="4"/>
  <c r="FW200" i="4"/>
  <c r="FW225" i="4"/>
  <c r="AL207" i="4"/>
  <c r="AL208" i="4" s="1"/>
  <c r="AL232" i="4"/>
  <c r="FU200" i="4"/>
  <c r="FU225" i="4"/>
  <c r="GL200" i="4"/>
  <c r="GL225" i="4"/>
  <c r="BJ232" i="4"/>
  <c r="BJ207" i="4"/>
  <c r="BJ208" i="4" s="1"/>
  <c r="AP207" i="4"/>
  <c r="AP208" i="4" s="1"/>
  <c r="AP232" i="4"/>
  <c r="CF232" i="4"/>
  <c r="CF207" i="4"/>
  <c r="CF208" i="4" s="1"/>
  <c r="FV225" i="4"/>
  <c r="FV200" i="4"/>
  <c r="DZ225" i="4"/>
  <c r="DZ200" i="4"/>
  <c r="GM225" i="4"/>
  <c r="GM200" i="4"/>
  <c r="EE225" i="4"/>
  <c r="EE200" i="4"/>
  <c r="ER225" i="4"/>
  <c r="ER200" i="4"/>
  <c r="DQ200" i="4"/>
  <c r="DQ225" i="4"/>
  <c r="EZ200" i="4"/>
  <c r="EZ225" i="4"/>
  <c r="FF225" i="4"/>
  <c r="FF200" i="4"/>
  <c r="FP225" i="4"/>
  <c r="FP200" i="4"/>
  <c r="GC200" i="4"/>
  <c r="GC225" i="4"/>
  <c r="FX225" i="4"/>
  <c r="FX200" i="4"/>
  <c r="DX200" i="4"/>
  <c r="DX225" i="4"/>
  <c r="DG213" i="4"/>
  <c r="DG214" i="4" s="1"/>
  <c r="CX213" i="4"/>
  <c r="CX214" i="4" s="1"/>
  <c r="BF232" i="4"/>
  <c r="BF207" i="4"/>
  <c r="BF208" i="4" s="1"/>
  <c r="AF207" i="4"/>
  <c r="AF208" i="4" s="1"/>
  <c r="AF232" i="4"/>
  <c r="CH232" i="4"/>
  <c r="CH207" i="4"/>
  <c r="CH208" i="4" s="1"/>
  <c r="AE207" i="4"/>
  <c r="AE208" i="4" s="1"/>
  <c r="AE232" i="4"/>
  <c r="CB232" i="4"/>
  <c r="CB207" i="4"/>
  <c r="CB208" i="4" s="1"/>
  <c r="X207" i="4"/>
  <c r="X208" i="4" s="1"/>
  <c r="X232" i="4"/>
  <c r="CI232" i="4"/>
  <c r="CI207" i="4"/>
  <c r="CI208" i="4" s="1"/>
  <c r="AW232" i="4"/>
  <c r="AW207" i="4"/>
  <c r="AW208" i="4" s="1"/>
  <c r="BK232" i="4"/>
  <c r="BK207" i="4"/>
  <c r="BK208" i="4" s="1"/>
  <c r="BU207" i="4"/>
  <c r="BU208" i="4" s="1"/>
  <c r="BU232" i="4"/>
  <c r="CJ232" i="4"/>
  <c r="CJ207" i="4"/>
  <c r="CJ208" i="4" s="1"/>
  <c r="M232" i="4"/>
  <c r="M207" i="4"/>
  <c r="M208" i="4" s="1"/>
  <c r="DV225" i="4"/>
  <c r="DV200" i="4"/>
  <c r="DW225" i="4"/>
  <c r="DW200" i="4"/>
  <c r="EL200" i="4"/>
  <c r="EL225" i="4"/>
  <c r="AT232" i="4"/>
  <c r="AT207" i="4"/>
  <c r="AT208" i="4" s="1"/>
  <c r="BZ232" i="4"/>
  <c r="BZ207" i="4"/>
  <c r="BZ208" i="4" s="1"/>
  <c r="GG225" i="4"/>
  <c r="GG200" i="4"/>
  <c r="EQ200" i="4"/>
  <c r="EQ225" i="4"/>
  <c r="CG232" i="4"/>
  <c r="CG207" i="4"/>
  <c r="CG208" i="4" s="1"/>
  <c r="DS225" i="4"/>
  <c r="DS200" i="4"/>
  <c r="EU225" i="4"/>
  <c r="EU200" i="4"/>
  <c r="BN207" i="4"/>
  <c r="BN208" i="4" s="1"/>
  <c r="BN232" i="4"/>
  <c r="BV232" i="4"/>
  <c r="BV207" i="4"/>
  <c r="BV208" i="4" s="1"/>
  <c r="FE225" i="4"/>
  <c r="FE200" i="4"/>
  <c r="FH200" i="4"/>
  <c r="FH225" i="4"/>
  <c r="EF200" i="4"/>
  <c r="EF225" i="4"/>
  <c r="GD225" i="4"/>
  <c r="GD200" i="4"/>
  <c r="EJ225" i="4"/>
  <c r="EJ200" i="4"/>
  <c r="FD225" i="4"/>
  <c r="FD200" i="4"/>
  <c r="FL225" i="4"/>
  <c r="FL200" i="4"/>
  <c r="EO225" i="4"/>
  <c r="EO200" i="4"/>
  <c r="GB200" i="4"/>
  <c r="GB225" i="4"/>
  <c r="FI225" i="4"/>
  <c r="FI200" i="4"/>
  <c r="GJ225" i="4"/>
  <c r="GJ200" i="4"/>
  <c r="AK207" i="4"/>
  <c r="AK208" i="4" s="1"/>
  <c r="AK232" i="4"/>
  <c r="AC207" i="4"/>
  <c r="AC208" i="4" s="1"/>
  <c r="AC232" i="4"/>
  <c r="AV232" i="4"/>
  <c r="AV207" i="4"/>
  <c r="AV208" i="4" s="1"/>
  <c r="AS232" i="4"/>
  <c r="AS207" i="4"/>
  <c r="AS208" i="4" s="1"/>
  <c r="CC207" i="4"/>
  <c r="CC208" i="4" s="1"/>
  <c r="CC232" i="4"/>
  <c r="BA207" i="4"/>
  <c r="BA208" i="4" s="1"/>
  <c r="BA232" i="4"/>
  <c r="L232" i="4"/>
  <c r="L207" i="4"/>
  <c r="L208" i="4" s="1"/>
  <c r="BQ232" i="4"/>
  <c r="BQ207" i="4"/>
  <c r="BQ208" i="4" s="1"/>
  <c r="Y232" i="4"/>
  <c r="Y207" i="4"/>
  <c r="Y208" i="4" s="1"/>
  <c r="BY232" i="4"/>
  <c r="BY207" i="4"/>
  <c r="BY208" i="4" s="1"/>
  <c r="FQ200" i="4"/>
  <c r="FQ225" i="4"/>
  <c r="FA200" i="4"/>
  <c r="FA225" i="4"/>
  <c r="BI232" i="4"/>
  <c r="BI207" i="4"/>
  <c r="BI208" i="4" s="1"/>
  <c r="K207" i="4"/>
  <c r="K208" i="4" s="1"/>
  <c r="K232" i="4"/>
  <c r="BR232" i="4"/>
  <c r="BR207" i="4"/>
  <c r="BR208" i="4" s="1"/>
  <c r="ED225" i="4"/>
  <c r="ED200" i="4"/>
  <c r="CE207" i="4"/>
  <c r="CE208" i="4" s="1"/>
  <c r="CE232" i="4"/>
  <c r="EI225" i="4"/>
  <c r="EI200" i="4"/>
  <c r="EX225" i="4"/>
  <c r="EX200" i="4"/>
  <c r="FS225" i="4"/>
  <c r="FS200" i="4"/>
  <c r="U232" i="4"/>
  <c r="U207" i="4"/>
  <c r="U208" i="4" s="1"/>
  <c r="AG232" i="4"/>
  <c r="AG207" i="4"/>
  <c r="AG208" i="4" s="1"/>
  <c r="BT232" i="4"/>
  <c r="BT207" i="4"/>
  <c r="BT208" i="4" s="1"/>
  <c r="GM143" i="4"/>
  <c r="GE143" i="4"/>
  <c r="FW143" i="4"/>
  <c r="FO143" i="4"/>
  <c r="FG143" i="4"/>
  <c r="EY143" i="4"/>
  <c r="EQ143" i="4"/>
  <c r="EI143" i="4"/>
  <c r="EA143" i="4"/>
  <c r="DS143" i="4"/>
  <c r="DK143" i="4"/>
  <c r="DC143" i="4"/>
  <c r="CU143" i="4"/>
  <c r="CM143" i="4"/>
  <c r="CE143" i="4"/>
  <c r="BW143" i="4"/>
  <c r="BO143" i="4"/>
  <c r="BG143" i="4"/>
  <c r="AY143" i="4"/>
  <c r="AQ143" i="4"/>
  <c r="AI143" i="4"/>
  <c r="AA143" i="4"/>
  <c r="S143" i="4"/>
  <c r="K143" i="4"/>
  <c r="GL143" i="4"/>
  <c r="GD143" i="4"/>
  <c r="FV143" i="4"/>
  <c r="FN143" i="4"/>
  <c r="FF143" i="4"/>
  <c r="EX143" i="4"/>
  <c r="EP143" i="4"/>
  <c r="EH143" i="4"/>
  <c r="DZ143" i="4"/>
  <c r="DR143" i="4"/>
  <c r="DJ143" i="4"/>
  <c r="DB143" i="4"/>
  <c r="CT143" i="4"/>
  <c r="CL143" i="4"/>
  <c r="CD143" i="4"/>
  <c r="BV143" i="4"/>
  <c r="BN143" i="4"/>
  <c r="BF143" i="4"/>
  <c r="AX143" i="4"/>
  <c r="AP143" i="4"/>
  <c r="AH143" i="4"/>
  <c r="Z143" i="4"/>
  <c r="R143" i="4"/>
  <c r="GK143" i="4"/>
  <c r="GC143" i="4"/>
  <c r="FU143" i="4"/>
  <c r="FM143" i="4"/>
  <c r="FE143" i="4"/>
  <c r="EW143" i="4"/>
  <c r="EO143" i="4"/>
  <c r="EG143" i="4"/>
  <c r="DY143" i="4"/>
  <c r="DQ143" i="4"/>
  <c r="DI143" i="4"/>
  <c r="DA143" i="4"/>
  <c r="CS143" i="4"/>
  <c r="CK143" i="4"/>
  <c r="CC143" i="4"/>
  <c r="BU143" i="4"/>
  <c r="BM143" i="4"/>
  <c r="BE143" i="4"/>
  <c r="AW143" i="4"/>
  <c r="AO143" i="4"/>
  <c r="AG143" i="4"/>
  <c r="Y143" i="4"/>
  <c r="Q143" i="4"/>
  <c r="GI143" i="4"/>
  <c r="GA143" i="4"/>
  <c r="FS143" i="4"/>
  <c r="FK143" i="4"/>
  <c r="FC143" i="4"/>
  <c r="EU143" i="4"/>
  <c r="EM143" i="4"/>
  <c r="EE143" i="4"/>
  <c r="DW143" i="4"/>
  <c r="DO143" i="4"/>
  <c r="DG143" i="4"/>
  <c r="CY143" i="4"/>
  <c r="CQ143" i="4"/>
  <c r="CI143" i="4"/>
  <c r="CA143" i="4"/>
  <c r="BS143" i="4"/>
  <c r="BK143" i="4"/>
  <c r="BC143" i="4"/>
  <c r="AU143" i="4"/>
  <c r="AM143" i="4"/>
  <c r="AE143" i="4"/>
  <c r="W143" i="4"/>
  <c r="O143" i="4"/>
  <c r="GP143" i="4"/>
  <c r="GH143" i="4"/>
  <c r="FZ143" i="4"/>
  <c r="FR143" i="4"/>
  <c r="FJ143" i="4"/>
  <c r="FB143" i="4"/>
  <c r="ET143" i="4"/>
  <c r="EL143" i="4"/>
  <c r="ED143" i="4"/>
  <c r="DV143" i="4"/>
  <c r="DN143" i="4"/>
  <c r="DF143" i="4"/>
  <c r="CX143" i="4"/>
  <c r="CP143" i="4"/>
  <c r="CH143" i="4"/>
  <c r="BZ143" i="4"/>
  <c r="BR143" i="4"/>
  <c r="BJ143" i="4"/>
  <c r="BB143" i="4"/>
  <c r="AT143" i="4"/>
  <c r="AL143" i="4"/>
  <c r="AD143" i="4"/>
  <c r="V143" i="4"/>
  <c r="N143" i="4"/>
  <c r="GG143" i="4"/>
  <c r="FL143" i="4"/>
  <c r="ER143" i="4"/>
  <c r="DU143" i="4"/>
  <c r="CZ143" i="4"/>
  <c r="CF143" i="4"/>
  <c r="BI143" i="4"/>
  <c r="AN143" i="4"/>
  <c r="T143" i="4"/>
  <c r="GF143" i="4"/>
  <c r="FI143" i="4"/>
  <c r="EN143" i="4"/>
  <c r="DT143" i="4"/>
  <c r="CW143" i="4"/>
  <c r="CB143" i="4"/>
  <c r="BH143" i="4"/>
  <c r="AK143" i="4"/>
  <c r="P143" i="4"/>
  <c r="GB143" i="4"/>
  <c r="FH143" i="4"/>
  <c r="EK143" i="4"/>
  <c r="DP143" i="4"/>
  <c r="CV143" i="4"/>
  <c r="BY143" i="4"/>
  <c r="BD143" i="4"/>
  <c r="AJ143" i="4"/>
  <c r="M143" i="4"/>
  <c r="FY143" i="4"/>
  <c r="FD143" i="4"/>
  <c r="EJ143" i="4"/>
  <c r="DM143" i="4"/>
  <c r="CR143" i="4"/>
  <c r="BX143" i="4"/>
  <c r="BA143" i="4"/>
  <c r="AF143" i="4"/>
  <c r="L143" i="4"/>
  <c r="GO143" i="4"/>
  <c r="FT143" i="4"/>
  <c r="EZ143" i="4"/>
  <c r="EC143" i="4"/>
  <c r="DH143" i="4"/>
  <c r="CN143" i="4"/>
  <c r="BQ143" i="4"/>
  <c r="AV143" i="4"/>
  <c r="AB143" i="4"/>
  <c r="ES143" i="4"/>
  <c r="CJ143" i="4"/>
  <c r="AC143" i="4"/>
  <c r="GN143" i="4"/>
  <c r="EF143" i="4"/>
  <c r="CG143" i="4"/>
  <c r="X143" i="4"/>
  <c r="GJ143" i="4"/>
  <c r="EB143" i="4"/>
  <c r="BT143" i="4"/>
  <c r="U143" i="4"/>
  <c r="EV143" i="4"/>
  <c r="AR143" i="4"/>
  <c r="FX143" i="4"/>
  <c r="DX143" i="4"/>
  <c r="BP143" i="4"/>
  <c r="FQ143" i="4"/>
  <c r="DL143" i="4"/>
  <c r="BL143" i="4"/>
  <c r="FP143" i="4"/>
  <c r="DE143" i="4"/>
  <c r="AZ143" i="4"/>
  <c r="CO143" i="4"/>
  <c r="FA143" i="4"/>
  <c r="DD143" i="4"/>
  <c r="AS143" i="4"/>
  <c r="FM225" i="4"/>
  <c r="FM200" i="4"/>
  <c r="GK225" i="4"/>
  <c r="GK200" i="4"/>
  <c r="GE225" i="4"/>
  <c r="GE200" i="4"/>
  <c r="EB200" i="4"/>
  <c r="EB225" i="4"/>
  <c r="EV225" i="4"/>
  <c r="EV200" i="4"/>
  <c r="FN225" i="4"/>
  <c r="FN200" i="4"/>
  <c r="DU200" i="4"/>
  <c r="DU225" i="4"/>
  <c r="EP225" i="4"/>
  <c r="EP200" i="4"/>
  <c r="DA213" i="4"/>
  <c r="DA214" i="4" s="1"/>
  <c r="L107" i="4"/>
  <c r="K124" i="4"/>
  <c r="N106" i="4"/>
  <c r="DF213" i="4"/>
  <c r="DF214" i="4" s="1"/>
  <c r="T232" i="4"/>
  <c r="T207" i="4"/>
  <c r="T208" i="4" s="1"/>
  <c r="V232" i="4"/>
  <c r="V207" i="4"/>
  <c r="V208" i="4" s="1"/>
  <c r="AM232" i="4"/>
  <c r="AM207" i="4"/>
  <c r="AM208" i="4" s="1"/>
  <c r="BS207" i="4"/>
  <c r="BS208" i="4" s="1"/>
  <c r="BS232" i="4"/>
  <c r="AA232" i="4"/>
  <c r="AA207" i="4"/>
  <c r="AA208" i="4" s="1"/>
  <c r="BW232" i="4"/>
  <c r="BW207" i="4"/>
  <c r="BW208" i="4" s="1"/>
  <c r="BD232" i="4"/>
  <c r="BD207" i="4"/>
  <c r="BD208" i="4" s="1"/>
  <c r="AY232" i="4"/>
  <c r="AY207" i="4"/>
  <c r="AY208" i="4" s="1"/>
  <c r="BX207" i="4"/>
  <c r="BX208" i="4" s="1"/>
  <c r="BX232" i="4"/>
  <c r="BH232" i="4"/>
  <c r="BH207" i="4"/>
  <c r="BH208" i="4" s="1"/>
  <c r="GK158" i="4"/>
  <c r="GC158" i="4"/>
  <c r="FU158" i="4"/>
  <c r="FM158" i="4"/>
  <c r="FE158" i="4"/>
  <c r="EW158" i="4"/>
  <c r="EO158" i="4"/>
  <c r="EG158" i="4"/>
  <c r="DY158" i="4"/>
  <c r="DQ158" i="4"/>
  <c r="DI158" i="4"/>
  <c r="DA158" i="4"/>
  <c r="CS158" i="4"/>
  <c r="CK158" i="4"/>
  <c r="CC158" i="4"/>
  <c r="BU158" i="4"/>
  <c r="BM158" i="4"/>
  <c r="BE158" i="4"/>
  <c r="AW158" i="4"/>
  <c r="AO158" i="4"/>
  <c r="AG158" i="4"/>
  <c r="Y158" i="4"/>
  <c r="Q158" i="4"/>
  <c r="GJ158" i="4"/>
  <c r="GB158" i="4"/>
  <c r="FT158" i="4"/>
  <c r="FL158" i="4"/>
  <c r="FD158" i="4"/>
  <c r="EV158" i="4"/>
  <c r="EN158" i="4"/>
  <c r="EF158" i="4"/>
  <c r="DX158" i="4"/>
  <c r="DP158" i="4"/>
  <c r="DH158" i="4"/>
  <c r="CZ158" i="4"/>
  <c r="CR158" i="4"/>
  <c r="CJ158" i="4"/>
  <c r="CB158" i="4"/>
  <c r="BT158" i="4"/>
  <c r="BL158" i="4"/>
  <c r="BD158" i="4"/>
  <c r="AV158" i="4"/>
  <c r="AN158" i="4"/>
  <c r="AF158" i="4"/>
  <c r="X158" i="4"/>
  <c r="P158" i="4"/>
  <c r="GO158" i="4"/>
  <c r="GG158" i="4"/>
  <c r="FY158" i="4"/>
  <c r="FQ158" i="4"/>
  <c r="FI158" i="4"/>
  <c r="FA158" i="4"/>
  <c r="ES158" i="4"/>
  <c r="EK158" i="4"/>
  <c r="EC158" i="4"/>
  <c r="DU158" i="4"/>
  <c r="DM158" i="4"/>
  <c r="DE158" i="4"/>
  <c r="CW158" i="4"/>
  <c r="CO158" i="4"/>
  <c r="CG158" i="4"/>
  <c r="BY158" i="4"/>
  <c r="BQ158" i="4"/>
  <c r="BI158" i="4"/>
  <c r="BA158" i="4"/>
  <c r="AS158" i="4"/>
  <c r="AK158" i="4"/>
  <c r="AC158" i="4"/>
  <c r="U158" i="4"/>
  <c r="M158" i="4"/>
  <c r="GN158" i="4"/>
  <c r="GF158" i="4"/>
  <c r="FX158" i="4"/>
  <c r="FP158" i="4"/>
  <c r="FH158" i="4"/>
  <c r="EZ158" i="4"/>
  <c r="ER158" i="4"/>
  <c r="EJ158" i="4"/>
  <c r="EB158" i="4"/>
  <c r="DT158" i="4"/>
  <c r="DL158" i="4"/>
  <c r="DD158" i="4"/>
  <c r="CV158" i="4"/>
  <c r="CN158" i="4"/>
  <c r="CF158" i="4"/>
  <c r="BX158" i="4"/>
  <c r="BP158" i="4"/>
  <c r="BH158" i="4"/>
  <c r="AZ158" i="4"/>
  <c r="AR158" i="4"/>
  <c r="AJ158" i="4"/>
  <c r="AB158" i="4"/>
  <c r="T158" i="4"/>
  <c r="L158" i="4"/>
  <c r="GI158" i="4"/>
  <c r="FS158" i="4"/>
  <c r="FC158" i="4"/>
  <c r="EM158" i="4"/>
  <c r="DW158" i="4"/>
  <c r="DG158" i="4"/>
  <c r="CQ158" i="4"/>
  <c r="CA158" i="4"/>
  <c r="BK158" i="4"/>
  <c r="AU158" i="4"/>
  <c r="AE158" i="4"/>
  <c r="O158" i="4"/>
  <c r="GH158" i="4"/>
  <c r="FR158" i="4"/>
  <c r="FB158" i="4"/>
  <c r="EL158" i="4"/>
  <c r="DV158" i="4"/>
  <c r="DF158" i="4"/>
  <c r="CP158" i="4"/>
  <c r="BZ158" i="4"/>
  <c r="BJ158" i="4"/>
  <c r="AT158" i="4"/>
  <c r="AD158" i="4"/>
  <c r="N158" i="4"/>
  <c r="GE158" i="4"/>
  <c r="FO158" i="4"/>
  <c r="EY158" i="4"/>
  <c r="EI158" i="4"/>
  <c r="DS158" i="4"/>
  <c r="DC158" i="4"/>
  <c r="CM158" i="4"/>
  <c r="BW158" i="4"/>
  <c r="BG158" i="4"/>
  <c r="AQ158" i="4"/>
  <c r="AA158" i="4"/>
  <c r="K158" i="4"/>
  <c r="GA158" i="4"/>
  <c r="FK158" i="4"/>
  <c r="EU158" i="4"/>
  <c r="EE158" i="4"/>
  <c r="DO158" i="4"/>
  <c r="CY158" i="4"/>
  <c r="CI158" i="4"/>
  <c r="BS158" i="4"/>
  <c r="BC158" i="4"/>
  <c r="AM158" i="4"/>
  <c r="W158" i="4"/>
  <c r="GP158" i="4"/>
  <c r="FZ158" i="4"/>
  <c r="FJ158" i="4"/>
  <c r="ET158" i="4"/>
  <c r="ED158" i="4"/>
  <c r="DN158" i="4"/>
  <c r="CX158" i="4"/>
  <c r="CH158" i="4"/>
  <c r="BR158" i="4"/>
  <c r="BB158" i="4"/>
  <c r="AL158" i="4"/>
  <c r="V158" i="4"/>
  <c r="GM158" i="4"/>
  <c r="FW158" i="4"/>
  <c r="FF158" i="4"/>
  <c r="DK158" i="4"/>
  <c r="BV158" i="4"/>
  <c r="AH158" i="4"/>
  <c r="EX158" i="4"/>
  <c r="DJ158" i="4"/>
  <c r="BO158" i="4"/>
  <c r="Z158" i="4"/>
  <c r="EQ158" i="4"/>
  <c r="DB158" i="4"/>
  <c r="BN158" i="4"/>
  <c r="S158" i="4"/>
  <c r="GL158" i="4"/>
  <c r="EP158" i="4"/>
  <c r="CU158" i="4"/>
  <c r="BF158" i="4"/>
  <c r="R158" i="4"/>
  <c r="FV158" i="4"/>
  <c r="EA158" i="4"/>
  <c r="CL158" i="4"/>
  <c r="AX158" i="4"/>
  <c r="FG158" i="4"/>
  <c r="DR158" i="4"/>
  <c r="CD158" i="4"/>
  <c r="AI158" i="4"/>
  <c r="CE158" i="4"/>
  <c r="AY158" i="4"/>
  <c r="AP158" i="4"/>
  <c r="GD158" i="4"/>
  <c r="FN158" i="4"/>
  <c r="EH158" i="4"/>
  <c r="CT158" i="4"/>
  <c r="DZ158" i="4"/>
  <c r="GH225" i="4"/>
  <c r="GH200" i="4"/>
  <c r="BP207" i="4"/>
  <c r="BP208" i="4" s="1"/>
  <c r="BP232" i="4"/>
  <c r="CA232" i="4"/>
  <c r="CA207" i="4"/>
  <c r="CA208" i="4" s="1"/>
  <c r="BB232" i="4"/>
  <c r="BB207" i="4"/>
  <c r="BB208" i="4" s="1"/>
  <c r="DP213" i="4"/>
  <c r="DP214" i="4" s="1"/>
  <c r="EW225" i="4"/>
  <c r="EW200" i="4"/>
  <c r="AH232" i="4"/>
  <c r="AH207" i="4"/>
  <c r="AH208" i="4" s="1"/>
  <c r="GP200" i="4"/>
  <c r="GP225" i="4"/>
  <c r="GO225" i="4"/>
  <c r="GO200" i="4"/>
  <c r="GA225" i="4"/>
  <c r="GA200" i="4"/>
  <c r="AU207" i="4"/>
  <c r="AU208" i="4" s="1"/>
  <c r="AU232" i="4"/>
  <c r="D116" i="4"/>
  <c r="L94" i="4"/>
  <c r="D131" i="4"/>
  <c r="N93" i="4"/>
  <c r="DT200" i="4"/>
  <c r="DT225" i="4"/>
  <c r="DR225" i="4"/>
  <c r="DR200" i="4"/>
  <c r="GN225" i="4"/>
  <c r="GN200" i="4"/>
  <c r="EN225" i="4"/>
  <c r="EN200" i="4"/>
  <c r="ET200" i="4"/>
  <c r="ET225" i="4"/>
  <c r="DY225" i="4"/>
  <c r="DY200" i="4"/>
  <c r="FB225" i="4"/>
  <c r="FB200" i="4"/>
  <c r="FR225" i="4"/>
  <c r="FR200" i="4"/>
  <c r="FZ200" i="4"/>
  <c r="FZ225" i="4"/>
  <c r="FG151" i="4"/>
  <c r="CU151" i="4"/>
  <c r="AI151" i="4"/>
  <c r="FF151" i="4"/>
  <c r="CT151" i="4"/>
  <c r="AH151" i="4"/>
  <c r="EW151" i="4"/>
  <c r="CK151" i="4"/>
  <c r="Y151" i="4"/>
  <c r="EM151" i="4"/>
  <c r="CA151" i="4"/>
  <c r="O151" i="4"/>
  <c r="EL151" i="4"/>
  <c r="BZ151" i="4"/>
  <c r="N151" i="4"/>
  <c r="AR151" i="4"/>
  <c r="BI151" i="4"/>
  <c r="CB151" i="4"/>
  <c r="CV151" i="4"/>
  <c r="DL151" i="4"/>
  <c r="EB151" i="4"/>
  <c r="GO151" i="4"/>
  <c r="CN151" i="4"/>
  <c r="EY151" i="4"/>
  <c r="CM151" i="4"/>
  <c r="AA151" i="4"/>
  <c r="EX151" i="4"/>
  <c r="CL151" i="4"/>
  <c r="Z151" i="4"/>
  <c r="EO151" i="4"/>
  <c r="CC151" i="4"/>
  <c r="Q151" i="4"/>
  <c r="EE151" i="4"/>
  <c r="BS151" i="4"/>
  <c r="GP151" i="4"/>
  <c r="ED151" i="4"/>
  <c r="BR151" i="4"/>
  <c r="GJ151" i="4"/>
  <c r="U151" i="4"/>
  <c r="AN151" i="4"/>
  <c r="BH151" i="4"/>
  <c r="BY151" i="4"/>
  <c r="CO151" i="4"/>
  <c r="DE151" i="4"/>
  <c r="DH151" i="4"/>
  <c r="FD151" i="4"/>
  <c r="EI151" i="4"/>
  <c r="BW151" i="4"/>
  <c r="K151" i="4"/>
  <c r="EH151" i="4"/>
  <c r="BV151" i="4"/>
  <c r="GK151" i="4"/>
  <c r="DY151" i="4"/>
  <c r="BM151" i="4"/>
  <c r="GA151" i="4"/>
  <c r="DO151" i="4"/>
  <c r="BC151" i="4"/>
  <c r="FZ151" i="4"/>
  <c r="DN151" i="4"/>
  <c r="BB151" i="4"/>
  <c r="ES151" i="4"/>
  <c r="FL151" i="4"/>
  <c r="GF151" i="4"/>
  <c r="P151" i="4"/>
  <c r="AJ151" i="4"/>
  <c r="AZ151" i="4"/>
  <c r="BP151" i="4"/>
  <c r="EC151" i="4"/>
  <c r="EZ151" i="4"/>
  <c r="GM151" i="4"/>
  <c r="EA151" i="4"/>
  <c r="BO151" i="4"/>
  <c r="GL151" i="4"/>
  <c r="DZ151" i="4"/>
  <c r="BN151" i="4"/>
  <c r="GC151" i="4"/>
  <c r="DQ151" i="4"/>
  <c r="BE151" i="4"/>
  <c r="FS151" i="4"/>
  <c r="DG151" i="4"/>
  <c r="AU151" i="4"/>
  <c r="FR151" i="4"/>
  <c r="DF151" i="4"/>
  <c r="AT151" i="4"/>
  <c r="DX151" i="4"/>
  <c r="ER151" i="4"/>
  <c r="FI151" i="4"/>
  <c r="GB151" i="4"/>
  <c r="M151" i="4"/>
  <c r="AC151" i="4"/>
  <c r="AS151" i="4"/>
  <c r="FY151" i="4"/>
  <c r="BQ151" i="4"/>
  <c r="GE151" i="4"/>
  <c r="DS151" i="4"/>
  <c r="BG151" i="4"/>
  <c r="GD151" i="4"/>
  <c r="DR151" i="4"/>
  <c r="BF151" i="4"/>
  <c r="FU151" i="4"/>
  <c r="DI151" i="4"/>
  <c r="AW151" i="4"/>
  <c r="FK151" i="4"/>
  <c r="CY151" i="4"/>
  <c r="AM151" i="4"/>
  <c r="FJ151" i="4"/>
  <c r="CX151" i="4"/>
  <c r="AL151" i="4"/>
  <c r="DD151" i="4"/>
  <c r="DU151" i="4"/>
  <c r="EN151" i="4"/>
  <c r="FH151" i="4"/>
  <c r="FX151" i="4"/>
  <c r="GN151" i="4"/>
  <c r="X151" i="4"/>
  <c r="CR151" i="4"/>
  <c r="AV151" i="4"/>
  <c r="FW151" i="4"/>
  <c r="DK151" i="4"/>
  <c r="AY151" i="4"/>
  <c r="FV151" i="4"/>
  <c r="DJ151" i="4"/>
  <c r="AX151" i="4"/>
  <c r="FM151" i="4"/>
  <c r="DA151" i="4"/>
  <c r="AO151" i="4"/>
  <c r="FC151" i="4"/>
  <c r="CQ151" i="4"/>
  <c r="AE151" i="4"/>
  <c r="FB151" i="4"/>
  <c r="CP151" i="4"/>
  <c r="AD151" i="4"/>
  <c r="CG151" i="4"/>
  <c r="CZ151" i="4"/>
  <c r="DT151" i="4"/>
  <c r="EK151" i="4"/>
  <c r="FA151" i="4"/>
  <c r="FQ151" i="4"/>
  <c r="DM151" i="4"/>
  <c r="L151" i="4"/>
  <c r="EJ151" i="4"/>
  <c r="FN151" i="4"/>
  <c r="CS151" i="4"/>
  <c r="W151" i="4"/>
  <c r="BL151" i="4"/>
  <c r="EF151" i="4"/>
  <c r="BA151" i="4"/>
  <c r="EP151" i="4"/>
  <c r="BU151" i="4"/>
  <c r="GH151" i="4"/>
  <c r="GG151" i="4"/>
  <c r="BT151" i="4"/>
  <c r="FO151" i="4"/>
  <c r="DB151" i="4"/>
  <c r="AG151" i="4"/>
  <c r="ET151" i="4"/>
  <c r="CF151" i="4"/>
  <c r="EV151" i="4"/>
  <c r="FP151" i="4"/>
  <c r="EQ151" i="4"/>
  <c r="CD151" i="4"/>
  <c r="GI151" i="4"/>
  <c r="DV151" i="4"/>
  <c r="T151" i="4"/>
  <c r="CJ151" i="4"/>
  <c r="DC151" i="4"/>
  <c r="AP151" i="4"/>
  <c r="EU151" i="4"/>
  <c r="CH151" i="4"/>
  <c r="CW151" i="4"/>
  <c r="AF151" i="4"/>
  <c r="BK151" i="4"/>
  <c r="CE151" i="4"/>
  <c r="R151" i="4"/>
  <c r="DW151" i="4"/>
  <c r="BJ151" i="4"/>
  <c r="AK151" i="4"/>
  <c r="AB151" i="4"/>
  <c r="S151" i="4"/>
  <c r="BD151" i="4"/>
  <c r="AQ151" i="4"/>
  <c r="FE151" i="4"/>
  <c r="CI151" i="4"/>
  <c r="V151" i="4"/>
  <c r="DP151" i="4"/>
  <c r="FT151" i="4"/>
  <c r="EG151" i="4"/>
  <c r="BX151" i="4"/>
  <c r="P232" i="4"/>
  <c r="P207" i="4"/>
  <c r="P208" i="4" s="1"/>
  <c r="CD207" i="4"/>
  <c r="CD208" i="4" s="1"/>
  <c r="CD232" i="4"/>
  <c r="BC232" i="4"/>
  <c r="BC207" i="4"/>
  <c r="BC208" i="4" s="1"/>
  <c r="BO232" i="4"/>
  <c r="BO207" i="4"/>
  <c r="BO208" i="4" s="1"/>
  <c r="O207" i="4"/>
  <c r="O208" i="4" s="1"/>
  <c r="O232" i="4"/>
  <c r="AN232" i="4"/>
  <c r="AN207" i="4"/>
  <c r="AN208" i="4" s="1"/>
  <c r="AI207" i="4"/>
  <c r="AI208" i="4" s="1"/>
  <c r="AI232" i="4"/>
  <c r="AZ232" i="4"/>
  <c r="AZ207" i="4"/>
  <c r="AZ208" i="4" s="1"/>
  <c r="N232" i="4"/>
  <c r="N207" i="4"/>
  <c r="N208" i="4" s="1"/>
  <c r="ET226" i="4" l="1"/>
  <c r="ET201" i="4"/>
  <c r="EP201" i="4"/>
  <c r="EP226" i="4"/>
  <c r="FM201" i="4"/>
  <c r="FM226" i="4"/>
  <c r="FU226" i="4"/>
  <c r="FU201" i="4"/>
  <c r="FY201" i="4"/>
  <c r="FY226" i="4"/>
  <c r="GC226" i="4"/>
  <c r="GC201" i="4"/>
  <c r="EC201" i="4"/>
  <c r="EC226" i="4"/>
  <c r="GK201" i="4"/>
  <c r="GK226" i="4"/>
  <c r="ED201" i="4"/>
  <c r="ED226" i="4"/>
  <c r="FF226" i="4"/>
  <c r="FF201" i="4"/>
  <c r="D132" i="4"/>
  <c r="L95" i="4"/>
  <c r="D117" i="4"/>
  <c r="N94" i="4"/>
  <c r="L49" i="1"/>
  <c r="AZ218" i="4"/>
  <c r="AZ193" i="4"/>
  <c r="CG218" i="4"/>
  <c r="CG193" i="4"/>
  <c r="BQ218" i="4"/>
  <c r="BQ193" i="4"/>
  <c r="AF218" i="4"/>
  <c r="AF193" i="4"/>
  <c r="M193" i="4"/>
  <c r="M218" i="4"/>
  <c r="BB218" i="4"/>
  <c r="BB193" i="4"/>
  <c r="BC218" i="4"/>
  <c r="BC193" i="4"/>
  <c r="BM193" i="4"/>
  <c r="BM218" i="4"/>
  <c r="BV193" i="4"/>
  <c r="BV218" i="4"/>
  <c r="K193" i="4"/>
  <c r="K218" i="4"/>
  <c r="BW193" i="4"/>
  <c r="BW218" i="4"/>
  <c r="DX201" i="4"/>
  <c r="DX226" i="4"/>
  <c r="GN159" i="4"/>
  <c r="GF159" i="4"/>
  <c r="FX159" i="4"/>
  <c r="FP159" i="4"/>
  <c r="FH159" i="4"/>
  <c r="EZ159" i="4"/>
  <c r="ER159" i="4"/>
  <c r="EJ159" i="4"/>
  <c r="EB159" i="4"/>
  <c r="DT159" i="4"/>
  <c r="DL159" i="4"/>
  <c r="DD159" i="4"/>
  <c r="CV159" i="4"/>
  <c r="CN159" i="4"/>
  <c r="CF159" i="4"/>
  <c r="BX159" i="4"/>
  <c r="BP159" i="4"/>
  <c r="BH159" i="4"/>
  <c r="AZ159" i="4"/>
  <c r="AR159" i="4"/>
  <c r="AJ159" i="4"/>
  <c r="AB159" i="4"/>
  <c r="T159" i="4"/>
  <c r="L159" i="4"/>
  <c r="GM159" i="4"/>
  <c r="GE159" i="4"/>
  <c r="FW159" i="4"/>
  <c r="FO159" i="4"/>
  <c r="FG159" i="4"/>
  <c r="EY159" i="4"/>
  <c r="EQ159" i="4"/>
  <c r="EI159" i="4"/>
  <c r="EA159" i="4"/>
  <c r="DS159" i="4"/>
  <c r="DK159" i="4"/>
  <c r="DC159" i="4"/>
  <c r="CU159" i="4"/>
  <c r="CM159" i="4"/>
  <c r="CE159" i="4"/>
  <c r="BW159" i="4"/>
  <c r="BO159" i="4"/>
  <c r="BG159" i="4"/>
  <c r="AY159" i="4"/>
  <c r="AQ159" i="4"/>
  <c r="AI159" i="4"/>
  <c r="AA159" i="4"/>
  <c r="S159" i="4"/>
  <c r="K159" i="4"/>
  <c r="GJ159" i="4"/>
  <c r="GB159" i="4"/>
  <c r="FT159" i="4"/>
  <c r="FL159" i="4"/>
  <c r="FD159" i="4"/>
  <c r="EV159" i="4"/>
  <c r="EN159" i="4"/>
  <c r="EF159" i="4"/>
  <c r="DX159" i="4"/>
  <c r="DP159" i="4"/>
  <c r="DH159" i="4"/>
  <c r="CZ159" i="4"/>
  <c r="CR159" i="4"/>
  <c r="CJ159" i="4"/>
  <c r="CB159" i="4"/>
  <c r="BT159" i="4"/>
  <c r="BL159" i="4"/>
  <c r="BD159" i="4"/>
  <c r="AV159" i="4"/>
  <c r="AN159" i="4"/>
  <c r="AF159" i="4"/>
  <c r="X159" i="4"/>
  <c r="P159" i="4"/>
  <c r="GI159" i="4"/>
  <c r="GA159" i="4"/>
  <c r="FS159" i="4"/>
  <c r="FK159" i="4"/>
  <c r="FC159" i="4"/>
  <c r="EU159" i="4"/>
  <c r="EM159" i="4"/>
  <c r="EE159" i="4"/>
  <c r="DW159" i="4"/>
  <c r="DO159" i="4"/>
  <c r="DG159" i="4"/>
  <c r="CY159" i="4"/>
  <c r="CQ159" i="4"/>
  <c r="CI159" i="4"/>
  <c r="CA159" i="4"/>
  <c r="BS159" i="4"/>
  <c r="BK159" i="4"/>
  <c r="BC159" i="4"/>
  <c r="AU159" i="4"/>
  <c r="AM159" i="4"/>
  <c r="AE159" i="4"/>
  <c r="W159" i="4"/>
  <c r="O159" i="4"/>
  <c r="GL159" i="4"/>
  <c r="FV159" i="4"/>
  <c r="FF159" i="4"/>
  <c r="EP159" i="4"/>
  <c r="DZ159" i="4"/>
  <c r="DJ159" i="4"/>
  <c r="CT159" i="4"/>
  <c r="CD159" i="4"/>
  <c r="BN159" i="4"/>
  <c r="AX159" i="4"/>
  <c r="AH159" i="4"/>
  <c r="R159" i="4"/>
  <c r="GK159" i="4"/>
  <c r="FU159" i="4"/>
  <c r="FE159" i="4"/>
  <c r="EO159" i="4"/>
  <c r="DY159" i="4"/>
  <c r="DI159" i="4"/>
  <c r="CS159" i="4"/>
  <c r="CC159" i="4"/>
  <c r="BM159" i="4"/>
  <c r="AW159" i="4"/>
  <c r="AG159" i="4"/>
  <c r="Q159" i="4"/>
  <c r="GH159" i="4"/>
  <c r="FR159" i="4"/>
  <c r="FB159" i="4"/>
  <c r="EL159" i="4"/>
  <c r="DV159" i="4"/>
  <c r="DF159" i="4"/>
  <c r="CP159" i="4"/>
  <c r="BZ159" i="4"/>
  <c r="BJ159" i="4"/>
  <c r="AT159" i="4"/>
  <c r="AD159" i="4"/>
  <c r="N159" i="4"/>
  <c r="GD159" i="4"/>
  <c r="FN159" i="4"/>
  <c r="EX159" i="4"/>
  <c r="EH159" i="4"/>
  <c r="DR159" i="4"/>
  <c r="DB159" i="4"/>
  <c r="CL159" i="4"/>
  <c r="BV159" i="4"/>
  <c r="BF159" i="4"/>
  <c r="AP159" i="4"/>
  <c r="Z159" i="4"/>
  <c r="GC159" i="4"/>
  <c r="FM159" i="4"/>
  <c r="EW159" i="4"/>
  <c r="EG159" i="4"/>
  <c r="DQ159" i="4"/>
  <c r="DA159" i="4"/>
  <c r="CK159" i="4"/>
  <c r="BU159" i="4"/>
  <c r="BE159" i="4"/>
  <c r="AO159" i="4"/>
  <c r="Y159" i="4"/>
  <c r="GP159" i="4"/>
  <c r="FZ159" i="4"/>
  <c r="FJ159" i="4"/>
  <c r="ET159" i="4"/>
  <c r="ED159" i="4"/>
  <c r="DN159" i="4"/>
  <c r="CX159" i="4"/>
  <c r="CH159" i="4"/>
  <c r="BR159" i="4"/>
  <c r="BB159" i="4"/>
  <c r="AL159" i="4"/>
  <c r="V159" i="4"/>
  <c r="FA159" i="4"/>
  <c r="CO159" i="4"/>
  <c r="AC159" i="4"/>
  <c r="ES159" i="4"/>
  <c r="CG159" i="4"/>
  <c r="U159" i="4"/>
  <c r="EK159" i="4"/>
  <c r="BY159" i="4"/>
  <c r="M159" i="4"/>
  <c r="GO159" i="4"/>
  <c r="EC159" i="4"/>
  <c r="BQ159" i="4"/>
  <c r="FY159" i="4"/>
  <c r="DM159" i="4"/>
  <c r="BA159" i="4"/>
  <c r="FI159" i="4"/>
  <c r="CW159" i="4"/>
  <c r="AK159" i="4"/>
  <c r="DE159" i="4"/>
  <c r="BI159" i="4"/>
  <c r="DU159" i="4"/>
  <c r="AS159" i="4"/>
  <c r="GG159" i="4"/>
  <c r="FQ159" i="4"/>
  <c r="X218" i="4"/>
  <c r="X193" i="4"/>
  <c r="AT218" i="4"/>
  <c r="AT193" i="4"/>
  <c r="AU218" i="4"/>
  <c r="AU193" i="4"/>
  <c r="BE193" i="4"/>
  <c r="BE218" i="4"/>
  <c r="BN218" i="4"/>
  <c r="BN193" i="4"/>
  <c r="BO218" i="4"/>
  <c r="BO193" i="4"/>
  <c r="GP226" i="4"/>
  <c r="GP201" i="4"/>
  <c r="GP144" i="4"/>
  <c r="GH144" i="4"/>
  <c r="FZ144" i="4"/>
  <c r="FR144" i="4"/>
  <c r="FJ144" i="4"/>
  <c r="FB144" i="4"/>
  <c r="ET144" i="4"/>
  <c r="EL144" i="4"/>
  <c r="ED144" i="4"/>
  <c r="DV144" i="4"/>
  <c r="DN144" i="4"/>
  <c r="DF144" i="4"/>
  <c r="CX144" i="4"/>
  <c r="CP144" i="4"/>
  <c r="CH144" i="4"/>
  <c r="BZ144" i="4"/>
  <c r="BR144" i="4"/>
  <c r="BJ144" i="4"/>
  <c r="BB144" i="4"/>
  <c r="AT144" i="4"/>
  <c r="AL144" i="4"/>
  <c r="AD144" i="4"/>
  <c r="V144" i="4"/>
  <c r="N144" i="4"/>
  <c r="GO144" i="4"/>
  <c r="GG144" i="4"/>
  <c r="FY144" i="4"/>
  <c r="FQ144" i="4"/>
  <c r="FI144" i="4"/>
  <c r="FA144" i="4"/>
  <c r="ES144" i="4"/>
  <c r="EK144" i="4"/>
  <c r="EC144" i="4"/>
  <c r="DU144" i="4"/>
  <c r="DM144" i="4"/>
  <c r="DE144" i="4"/>
  <c r="CW144" i="4"/>
  <c r="CO144" i="4"/>
  <c r="CG144" i="4"/>
  <c r="BY144" i="4"/>
  <c r="BQ144" i="4"/>
  <c r="BI144" i="4"/>
  <c r="BA144" i="4"/>
  <c r="AS144" i="4"/>
  <c r="AK144" i="4"/>
  <c r="AC144" i="4"/>
  <c r="U144" i="4"/>
  <c r="M144" i="4"/>
  <c r="GN144" i="4"/>
  <c r="GF144" i="4"/>
  <c r="FX144" i="4"/>
  <c r="FP144" i="4"/>
  <c r="FH144" i="4"/>
  <c r="EZ144" i="4"/>
  <c r="ER144" i="4"/>
  <c r="EJ144" i="4"/>
  <c r="EB144" i="4"/>
  <c r="DT144" i="4"/>
  <c r="DL144" i="4"/>
  <c r="DD144" i="4"/>
  <c r="CV144" i="4"/>
  <c r="CN144" i="4"/>
  <c r="CF144" i="4"/>
  <c r="BX144" i="4"/>
  <c r="BP144" i="4"/>
  <c r="BH144" i="4"/>
  <c r="AZ144" i="4"/>
  <c r="AR144" i="4"/>
  <c r="AJ144" i="4"/>
  <c r="AB144" i="4"/>
  <c r="T144" i="4"/>
  <c r="L144" i="4"/>
  <c r="GL144" i="4"/>
  <c r="GD144" i="4"/>
  <c r="FV144" i="4"/>
  <c r="FN144" i="4"/>
  <c r="FF144" i="4"/>
  <c r="EX144" i="4"/>
  <c r="EP144" i="4"/>
  <c r="EH144" i="4"/>
  <c r="DZ144" i="4"/>
  <c r="DR144" i="4"/>
  <c r="DJ144" i="4"/>
  <c r="DB144" i="4"/>
  <c r="CT144" i="4"/>
  <c r="CL144" i="4"/>
  <c r="CD144" i="4"/>
  <c r="BV144" i="4"/>
  <c r="BN144" i="4"/>
  <c r="BF144" i="4"/>
  <c r="AX144" i="4"/>
  <c r="AP144" i="4"/>
  <c r="AH144" i="4"/>
  <c r="Z144" i="4"/>
  <c r="R144" i="4"/>
  <c r="GK144" i="4"/>
  <c r="GC144" i="4"/>
  <c r="FU144" i="4"/>
  <c r="FM144" i="4"/>
  <c r="FE144" i="4"/>
  <c r="EW144" i="4"/>
  <c r="EO144" i="4"/>
  <c r="EG144" i="4"/>
  <c r="DY144" i="4"/>
  <c r="DQ144" i="4"/>
  <c r="DI144" i="4"/>
  <c r="DA144" i="4"/>
  <c r="CS144" i="4"/>
  <c r="CK144" i="4"/>
  <c r="CC144" i="4"/>
  <c r="BU144" i="4"/>
  <c r="BM144" i="4"/>
  <c r="BE144" i="4"/>
  <c r="AW144" i="4"/>
  <c r="AO144" i="4"/>
  <c r="AG144" i="4"/>
  <c r="Y144" i="4"/>
  <c r="Q144" i="4"/>
  <c r="GJ144" i="4"/>
  <c r="FO144" i="4"/>
  <c r="EU144" i="4"/>
  <c r="DX144" i="4"/>
  <c r="DC144" i="4"/>
  <c r="CI144" i="4"/>
  <c r="BL144" i="4"/>
  <c r="AQ144" i="4"/>
  <c r="W144" i="4"/>
  <c r="GI144" i="4"/>
  <c r="FL144" i="4"/>
  <c r="EQ144" i="4"/>
  <c r="DW144" i="4"/>
  <c r="CZ144" i="4"/>
  <c r="CE144" i="4"/>
  <c r="BK144" i="4"/>
  <c r="AN144" i="4"/>
  <c r="S144" i="4"/>
  <c r="GE144" i="4"/>
  <c r="FK144" i="4"/>
  <c r="EN144" i="4"/>
  <c r="DS144" i="4"/>
  <c r="CY144" i="4"/>
  <c r="CB144" i="4"/>
  <c r="BG144" i="4"/>
  <c r="AM144" i="4"/>
  <c r="P144" i="4"/>
  <c r="GB144" i="4"/>
  <c r="FG144" i="4"/>
  <c r="EM144" i="4"/>
  <c r="DP144" i="4"/>
  <c r="CU144" i="4"/>
  <c r="CA144" i="4"/>
  <c r="BD144" i="4"/>
  <c r="AI144" i="4"/>
  <c r="O144" i="4"/>
  <c r="FW144" i="4"/>
  <c r="FC144" i="4"/>
  <c r="EF144" i="4"/>
  <c r="DK144" i="4"/>
  <c r="CQ144" i="4"/>
  <c r="BT144" i="4"/>
  <c r="AY144" i="4"/>
  <c r="AE144" i="4"/>
  <c r="GA144" i="4"/>
  <c r="EA144" i="4"/>
  <c r="BS144" i="4"/>
  <c r="K144" i="4"/>
  <c r="FT144" i="4"/>
  <c r="DO144" i="4"/>
  <c r="BO144" i="4"/>
  <c r="FS144" i="4"/>
  <c r="DH144" i="4"/>
  <c r="BC144" i="4"/>
  <c r="GM144" i="4"/>
  <c r="BW144" i="4"/>
  <c r="FD144" i="4"/>
  <c r="DG144" i="4"/>
  <c r="AV144" i="4"/>
  <c r="EY144" i="4"/>
  <c r="CR144" i="4"/>
  <c r="AU144" i="4"/>
  <c r="EV144" i="4"/>
  <c r="CM144" i="4"/>
  <c r="AF144" i="4"/>
  <c r="EE144" i="4"/>
  <c r="X144" i="4"/>
  <c r="EI144" i="4"/>
  <c r="CJ144" i="4"/>
  <c r="AA144" i="4"/>
  <c r="FR152" i="4"/>
  <c r="DF152" i="4"/>
  <c r="AT152" i="4"/>
  <c r="FQ152" i="4"/>
  <c r="DE152" i="4"/>
  <c r="AS152" i="4"/>
  <c r="FP152" i="4"/>
  <c r="DD152" i="4"/>
  <c r="AR152" i="4"/>
  <c r="FN152" i="4"/>
  <c r="DB152" i="4"/>
  <c r="AP152" i="4"/>
  <c r="FE152" i="4"/>
  <c r="CS152" i="4"/>
  <c r="AG152" i="4"/>
  <c r="CJ152" i="4"/>
  <c r="DC152" i="4"/>
  <c r="DW152" i="4"/>
  <c r="EN152" i="4"/>
  <c r="FD152" i="4"/>
  <c r="FT152" i="4"/>
  <c r="GB152" i="4"/>
  <c r="FC152" i="4"/>
  <c r="AI152" i="4"/>
  <c r="CW152" i="4"/>
  <c r="CV152" i="4"/>
  <c r="FF152" i="4"/>
  <c r="AH152" i="4"/>
  <c r="CK152" i="4"/>
  <c r="Y152" i="4"/>
  <c r="CI152" i="4"/>
  <c r="CZ152" i="4"/>
  <c r="EI152" i="4"/>
  <c r="EY152" i="4"/>
  <c r="BT152" i="4"/>
  <c r="FB152" i="4"/>
  <c r="FA152" i="4"/>
  <c r="EZ152" i="4"/>
  <c r="EX152" i="4"/>
  <c r="EO152" i="4"/>
  <c r="Q152" i="4"/>
  <c r="CE152" i="4"/>
  <c r="EE152" i="4"/>
  <c r="BD152" i="4"/>
  <c r="DM152" i="4"/>
  <c r="DJ152" i="4"/>
  <c r="DX152" i="4"/>
  <c r="CA152" i="4"/>
  <c r="FJ152" i="4"/>
  <c r="CX152" i="4"/>
  <c r="AL152" i="4"/>
  <c r="FI152" i="4"/>
  <c r="AK152" i="4"/>
  <c r="FH152" i="4"/>
  <c r="AJ152" i="4"/>
  <c r="CT152" i="4"/>
  <c r="EW152" i="4"/>
  <c r="BO152" i="4"/>
  <c r="DS152" i="4"/>
  <c r="CU152" i="4"/>
  <c r="AD152" i="4"/>
  <c r="CO152" i="4"/>
  <c r="CN152" i="4"/>
  <c r="CL152" i="4"/>
  <c r="CC152" i="4"/>
  <c r="BL152" i="4"/>
  <c r="CY152" i="4"/>
  <c r="O152" i="4"/>
  <c r="DH152" i="4"/>
  <c r="FY152" i="4"/>
  <c r="FV152" i="4"/>
  <c r="DG152" i="4"/>
  <c r="AA152" i="4"/>
  <c r="CP152" i="4"/>
  <c r="AC152" i="4"/>
  <c r="AB152" i="4"/>
  <c r="Z152" i="4"/>
  <c r="AU152" i="4"/>
  <c r="DO152" i="4"/>
  <c r="EM152" i="4"/>
  <c r="FX152" i="4"/>
  <c r="FM152" i="4"/>
  <c r="FK152" i="4"/>
  <c r="ET152" i="4"/>
  <c r="CH152" i="4"/>
  <c r="V152" i="4"/>
  <c r="ES152" i="4"/>
  <c r="CG152" i="4"/>
  <c r="U152" i="4"/>
  <c r="ER152" i="4"/>
  <c r="CF152" i="4"/>
  <c r="T152" i="4"/>
  <c r="EP152" i="4"/>
  <c r="CD152" i="4"/>
  <c r="R152" i="4"/>
  <c r="EG152" i="4"/>
  <c r="BU152" i="4"/>
  <c r="GM152" i="4"/>
  <c r="X152" i="4"/>
  <c r="AQ152" i="4"/>
  <c r="BK152" i="4"/>
  <c r="CB152" i="4"/>
  <c r="CR152" i="4"/>
  <c r="FW152" i="4"/>
  <c r="EL152" i="4"/>
  <c r="BZ152" i="4"/>
  <c r="N152" i="4"/>
  <c r="EK152" i="4"/>
  <c r="BY152" i="4"/>
  <c r="M152" i="4"/>
  <c r="EJ152" i="4"/>
  <c r="BX152" i="4"/>
  <c r="L152" i="4"/>
  <c r="EH152" i="4"/>
  <c r="BV152" i="4"/>
  <c r="GK152" i="4"/>
  <c r="DY152" i="4"/>
  <c r="BM152" i="4"/>
  <c r="FS152" i="4"/>
  <c r="GJ152" i="4"/>
  <c r="W152" i="4"/>
  <c r="AN152" i="4"/>
  <c r="BG152" i="4"/>
  <c r="BW152" i="4"/>
  <c r="CM152" i="4"/>
  <c r="CQ152" i="4"/>
  <c r="EF152" i="4"/>
  <c r="BB152" i="4"/>
  <c r="AZ152" i="4"/>
  <c r="AO152" i="4"/>
  <c r="K152" i="4"/>
  <c r="GP152" i="4"/>
  <c r="ED152" i="4"/>
  <c r="BR152" i="4"/>
  <c r="GO152" i="4"/>
  <c r="EC152" i="4"/>
  <c r="BQ152" i="4"/>
  <c r="GN152" i="4"/>
  <c r="EB152" i="4"/>
  <c r="BP152" i="4"/>
  <c r="GL152" i="4"/>
  <c r="DZ152" i="4"/>
  <c r="BN152" i="4"/>
  <c r="GC152" i="4"/>
  <c r="DQ152" i="4"/>
  <c r="BE152" i="4"/>
  <c r="EV152" i="4"/>
  <c r="FO152" i="4"/>
  <c r="GI152" i="4"/>
  <c r="S152" i="4"/>
  <c r="AM152" i="4"/>
  <c r="BC152" i="4"/>
  <c r="BS152" i="4"/>
  <c r="DK152" i="4"/>
  <c r="AY152" i="4"/>
  <c r="DN152" i="4"/>
  <c r="DL152" i="4"/>
  <c r="DA152" i="4"/>
  <c r="GA152" i="4"/>
  <c r="GH152" i="4"/>
  <c r="DV152" i="4"/>
  <c r="BJ152" i="4"/>
  <c r="GG152" i="4"/>
  <c r="DU152" i="4"/>
  <c r="BI152" i="4"/>
  <c r="GF152" i="4"/>
  <c r="DT152" i="4"/>
  <c r="BH152" i="4"/>
  <c r="GD152" i="4"/>
  <c r="DR152" i="4"/>
  <c r="BF152" i="4"/>
  <c r="FU152" i="4"/>
  <c r="DI152" i="4"/>
  <c r="AW152" i="4"/>
  <c r="EA152" i="4"/>
  <c r="EU152" i="4"/>
  <c r="FL152" i="4"/>
  <c r="GE152" i="4"/>
  <c r="P152" i="4"/>
  <c r="AF152" i="4"/>
  <c r="AV152" i="4"/>
  <c r="FG152" i="4"/>
  <c r="AE152" i="4"/>
  <c r="FZ152" i="4"/>
  <c r="BA152" i="4"/>
  <c r="AX152" i="4"/>
  <c r="EQ152" i="4"/>
  <c r="DP152" i="4"/>
  <c r="AR218" i="4"/>
  <c r="AR193" i="4"/>
  <c r="BA218" i="4"/>
  <c r="BA193" i="4"/>
  <c r="AJ193" i="4"/>
  <c r="AJ218" i="4"/>
  <c r="P218" i="4"/>
  <c r="P193" i="4"/>
  <c r="BJ218" i="4"/>
  <c r="BJ193" i="4"/>
  <c r="BK218" i="4"/>
  <c r="BK193" i="4"/>
  <c r="BU193" i="4"/>
  <c r="BU218" i="4"/>
  <c r="R218" i="4"/>
  <c r="R193" i="4"/>
  <c r="CD218" i="4"/>
  <c r="CD193" i="4"/>
  <c r="S193" i="4"/>
  <c r="S218" i="4"/>
  <c r="CE193" i="4"/>
  <c r="CE218" i="4"/>
  <c r="EJ226" i="4"/>
  <c r="EJ201" i="4"/>
  <c r="ES201" i="4"/>
  <c r="ES226" i="4"/>
  <c r="L218" i="4"/>
  <c r="L193" i="4"/>
  <c r="EX226" i="4"/>
  <c r="EX201" i="4"/>
  <c r="FT226" i="4"/>
  <c r="FT201" i="4"/>
  <c r="GI226" i="4"/>
  <c r="GI201" i="4"/>
  <c r="EF226" i="4"/>
  <c r="EF201" i="4"/>
  <c r="FQ201" i="4"/>
  <c r="FQ226" i="4"/>
  <c r="FB226" i="4"/>
  <c r="FB201" i="4"/>
  <c r="GN226" i="4"/>
  <c r="GN201" i="4"/>
  <c r="FJ226" i="4"/>
  <c r="FJ201" i="4"/>
  <c r="DR201" i="4"/>
  <c r="DR226" i="4"/>
  <c r="FR201" i="4"/>
  <c r="FR226" i="4"/>
  <c r="DZ226" i="4"/>
  <c r="DZ201" i="4"/>
  <c r="FZ201" i="4"/>
  <c r="FZ226" i="4"/>
  <c r="EH226" i="4"/>
  <c r="EH201" i="4"/>
  <c r="EM201" i="4"/>
  <c r="EM226" i="4"/>
  <c r="L108" i="4"/>
  <c r="K125" i="4"/>
  <c r="N107" i="4"/>
  <c r="L51" i="1" s="1"/>
  <c r="BX193" i="4"/>
  <c r="BX218" i="4"/>
  <c r="BD218" i="4"/>
  <c r="BD193" i="4"/>
  <c r="AK218" i="4"/>
  <c r="AK193" i="4"/>
  <c r="T193" i="4"/>
  <c r="T218" i="4"/>
  <c r="BR218" i="4"/>
  <c r="BR193" i="4"/>
  <c r="BS193" i="4"/>
  <c r="BS218" i="4"/>
  <c r="Q218" i="4"/>
  <c r="Q193" i="4"/>
  <c r="CC218" i="4"/>
  <c r="CC193" i="4"/>
  <c r="Z193" i="4"/>
  <c r="Z218" i="4"/>
  <c r="AA218" i="4"/>
  <c r="AA193" i="4"/>
  <c r="DY201" i="4"/>
  <c r="DY226" i="4"/>
  <c r="AV193" i="4"/>
  <c r="AV218" i="4"/>
  <c r="EG226" i="4"/>
  <c r="EG201" i="4"/>
  <c r="DV226" i="4"/>
  <c r="DV201" i="4"/>
  <c r="FO226" i="4"/>
  <c r="FO201" i="4"/>
  <c r="FA226" i="4"/>
  <c r="FA201" i="4"/>
  <c r="FV226" i="4"/>
  <c r="FV201" i="4"/>
  <c r="FX226" i="4"/>
  <c r="FX201" i="4"/>
  <c r="GD226" i="4"/>
  <c r="GD201" i="4"/>
  <c r="GL226" i="4"/>
  <c r="GL201" i="4"/>
  <c r="EE226" i="4"/>
  <c r="EE201" i="4"/>
  <c r="FG226" i="4"/>
  <c r="FG201" i="4"/>
  <c r="BL218" i="4"/>
  <c r="BL193" i="4"/>
  <c r="U218" i="4"/>
  <c r="U193" i="4"/>
  <c r="AC193" i="4"/>
  <c r="AC218" i="4"/>
  <c r="BY218" i="4"/>
  <c r="BY193" i="4"/>
  <c r="BH218" i="4"/>
  <c r="BH193" i="4"/>
  <c r="AN193" i="4"/>
  <c r="AN218" i="4"/>
  <c r="N218" i="4"/>
  <c r="N193" i="4"/>
  <c r="BZ218" i="4"/>
  <c r="BZ193" i="4"/>
  <c r="O218" i="4"/>
  <c r="O193" i="4"/>
  <c r="CA193" i="4"/>
  <c r="CA218" i="4"/>
  <c r="Y193" i="4"/>
  <c r="Y218" i="4"/>
  <c r="AH218" i="4"/>
  <c r="AH193" i="4"/>
  <c r="AI218" i="4"/>
  <c r="AI193" i="4"/>
  <c r="CH218" i="4"/>
  <c r="CH193" i="4"/>
  <c r="W218" i="4"/>
  <c r="W193" i="4"/>
  <c r="CI218" i="4"/>
  <c r="CI193" i="4"/>
  <c r="AG218" i="4"/>
  <c r="AG193" i="4"/>
  <c r="AP193" i="4"/>
  <c r="AP218" i="4"/>
  <c r="AQ218" i="4"/>
  <c r="AQ193" i="4"/>
  <c r="DQ226" i="4"/>
  <c r="DQ201" i="4"/>
  <c r="EB201" i="4"/>
  <c r="EB226" i="4"/>
  <c r="EQ226" i="4"/>
  <c r="EQ201" i="4"/>
  <c r="FH226" i="4"/>
  <c r="FH201" i="4"/>
  <c r="AS218" i="4"/>
  <c r="AS193" i="4"/>
  <c r="BT218" i="4"/>
  <c r="BT193" i="4"/>
  <c r="CB193" i="4"/>
  <c r="CB218" i="4"/>
  <c r="V218" i="4"/>
  <c r="V193" i="4"/>
  <c r="DW201" i="4"/>
  <c r="DW226" i="4"/>
  <c r="FP226" i="4"/>
  <c r="FP201" i="4"/>
  <c r="GG226" i="4"/>
  <c r="GG201" i="4"/>
  <c r="DT201" i="4"/>
  <c r="DT226" i="4"/>
  <c r="FC226" i="4"/>
  <c r="FC201" i="4"/>
  <c r="EN201" i="4"/>
  <c r="EN226" i="4"/>
  <c r="FK226" i="4"/>
  <c r="FK201" i="4"/>
  <c r="DS201" i="4"/>
  <c r="DS226" i="4"/>
  <c r="FI201" i="4"/>
  <c r="FI226" i="4"/>
  <c r="FS226" i="4"/>
  <c r="FS201" i="4"/>
  <c r="EA201" i="4"/>
  <c r="EA226" i="4"/>
  <c r="GF226" i="4"/>
  <c r="GF201" i="4"/>
  <c r="GA201" i="4"/>
  <c r="GA226" i="4"/>
  <c r="EI226" i="4"/>
  <c r="EI201" i="4"/>
  <c r="EW226" i="4"/>
  <c r="EW201" i="4"/>
  <c r="CF218" i="4"/>
  <c r="CF193" i="4"/>
  <c r="AD193" i="4"/>
  <c r="AD218" i="4"/>
  <c r="AE218" i="4"/>
  <c r="AE193" i="4"/>
  <c r="AO193" i="4"/>
  <c r="AO218" i="4"/>
  <c r="AX218" i="4"/>
  <c r="AX193" i="4"/>
  <c r="AY193" i="4"/>
  <c r="AY218" i="4"/>
  <c r="EZ226" i="4"/>
  <c r="EZ201" i="4"/>
  <c r="EL226" i="4"/>
  <c r="EL201" i="4"/>
  <c r="EU226" i="4"/>
  <c r="EU201" i="4"/>
  <c r="EK201" i="4"/>
  <c r="EK226" i="4"/>
  <c r="GB201" i="4"/>
  <c r="GB226" i="4"/>
  <c r="EY226" i="4"/>
  <c r="EY201" i="4"/>
  <c r="CJ218" i="4"/>
  <c r="CJ193" i="4"/>
  <c r="BI218" i="4"/>
  <c r="BI193" i="4"/>
  <c r="FE226" i="4"/>
  <c r="FE201" i="4"/>
  <c r="EV226" i="4"/>
  <c r="EV201" i="4"/>
  <c r="GH226" i="4"/>
  <c r="GH201" i="4"/>
  <c r="FN201" i="4"/>
  <c r="FN226" i="4"/>
  <c r="FW226" i="4"/>
  <c r="FW201" i="4"/>
  <c r="DU201" i="4"/>
  <c r="DU226" i="4"/>
  <c r="GE226" i="4"/>
  <c r="GE201" i="4"/>
  <c r="ER226" i="4"/>
  <c r="ER201" i="4"/>
  <c r="GM226" i="4"/>
  <c r="GM201" i="4"/>
  <c r="FL226" i="4"/>
  <c r="FL201" i="4"/>
  <c r="FD201" i="4"/>
  <c r="FD226" i="4"/>
  <c r="GJ201" i="4"/>
  <c r="GJ226" i="4"/>
  <c r="EO226" i="4"/>
  <c r="EO201" i="4"/>
  <c r="GO226" i="4"/>
  <c r="GO201" i="4"/>
  <c r="B69" i="1"/>
  <c r="BP193" i="4"/>
  <c r="BP218" i="4"/>
  <c r="AB218" i="4"/>
  <c r="AB193" i="4"/>
  <c r="AL193" i="4"/>
  <c r="AL218" i="4"/>
  <c r="AM193" i="4"/>
  <c r="AM218" i="4"/>
  <c r="AW193" i="4"/>
  <c r="AW218" i="4"/>
  <c r="BF218" i="4"/>
  <c r="BF193" i="4"/>
  <c r="BG193" i="4"/>
  <c r="BG218" i="4"/>
  <c r="DU202" i="4" l="1"/>
  <c r="DU227" i="4"/>
  <c r="FI227" i="4"/>
  <c r="FI202" i="4"/>
  <c r="BT194" i="4"/>
  <c r="BT219" i="4"/>
  <c r="BM194" i="4"/>
  <c r="BM219" i="4"/>
  <c r="L194" i="4"/>
  <c r="L219" i="4"/>
  <c r="BV209" i="4"/>
  <c r="BV234" i="4"/>
  <c r="R234" i="4"/>
  <c r="R209" i="4"/>
  <c r="BD234" i="4"/>
  <c r="BD209" i="4"/>
  <c r="EV227" i="4"/>
  <c r="EV202" i="4"/>
  <c r="DS202" i="4"/>
  <c r="DS227" i="4"/>
  <c r="EE202" i="4"/>
  <c r="EE227" i="4"/>
  <c r="FF227" i="4"/>
  <c r="FF202" i="4"/>
  <c r="AF219" i="4"/>
  <c r="AF194" i="4"/>
  <c r="CA219" i="4"/>
  <c r="CA194" i="4"/>
  <c r="AN194" i="4"/>
  <c r="AN219" i="4"/>
  <c r="CD219" i="4"/>
  <c r="CD194" i="4"/>
  <c r="T219" i="4"/>
  <c r="T194" i="4"/>
  <c r="CG219" i="4"/>
  <c r="CG194" i="4"/>
  <c r="V194" i="4"/>
  <c r="V219" i="4"/>
  <c r="CG234" i="4"/>
  <c r="CG209" i="4"/>
  <c r="AH234" i="4"/>
  <c r="AH209" i="4"/>
  <c r="BC234" i="4"/>
  <c r="BC209" i="4"/>
  <c r="BO234" i="4"/>
  <c r="BO209" i="4"/>
  <c r="BP234" i="4"/>
  <c r="BP209" i="4"/>
  <c r="GK145" i="4"/>
  <c r="GC145" i="4"/>
  <c r="FU145" i="4"/>
  <c r="FM145" i="4"/>
  <c r="FE145" i="4"/>
  <c r="EW145" i="4"/>
  <c r="EO145" i="4"/>
  <c r="EG145" i="4"/>
  <c r="DY145" i="4"/>
  <c r="DQ145" i="4"/>
  <c r="DI145" i="4"/>
  <c r="DA145" i="4"/>
  <c r="CS145" i="4"/>
  <c r="CK145" i="4"/>
  <c r="CC145" i="4"/>
  <c r="BU145" i="4"/>
  <c r="BM145" i="4"/>
  <c r="BE145" i="4"/>
  <c r="AW145" i="4"/>
  <c r="AO145" i="4"/>
  <c r="AG145" i="4"/>
  <c r="Y145" i="4"/>
  <c r="Q145" i="4"/>
  <c r="GJ145" i="4"/>
  <c r="GB145" i="4"/>
  <c r="FT145" i="4"/>
  <c r="FL145" i="4"/>
  <c r="FD145" i="4"/>
  <c r="EV145" i="4"/>
  <c r="EN145" i="4"/>
  <c r="EF145" i="4"/>
  <c r="DX145" i="4"/>
  <c r="DP145" i="4"/>
  <c r="DH145" i="4"/>
  <c r="CZ145" i="4"/>
  <c r="CR145" i="4"/>
  <c r="CJ145" i="4"/>
  <c r="CB145" i="4"/>
  <c r="BT145" i="4"/>
  <c r="BL145" i="4"/>
  <c r="BD145" i="4"/>
  <c r="AV145" i="4"/>
  <c r="AN145" i="4"/>
  <c r="AF145" i="4"/>
  <c r="X145" i="4"/>
  <c r="P145" i="4"/>
  <c r="GI145" i="4"/>
  <c r="GA145" i="4"/>
  <c r="FS145" i="4"/>
  <c r="FK145" i="4"/>
  <c r="FC145" i="4"/>
  <c r="EU145" i="4"/>
  <c r="EM145" i="4"/>
  <c r="EE145" i="4"/>
  <c r="DW145" i="4"/>
  <c r="DO145" i="4"/>
  <c r="DG145" i="4"/>
  <c r="CY145" i="4"/>
  <c r="CQ145" i="4"/>
  <c r="CI145" i="4"/>
  <c r="CA145" i="4"/>
  <c r="BS145" i="4"/>
  <c r="BK145" i="4"/>
  <c r="BC145" i="4"/>
  <c r="AU145" i="4"/>
  <c r="AM145" i="4"/>
  <c r="AE145" i="4"/>
  <c r="W145" i="4"/>
  <c r="O145" i="4"/>
  <c r="GO145" i="4"/>
  <c r="GG145" i="4"/>
  <c r="FY145" i="4"/>
  <c r="FQ145" i="4"/>
  <c r="FI145" i="4"/>
  <c r="FA145" i="4"/>
  <c r="ES145" i="4"/>
  <c r="EK145" i="4"/>
  <c r="EC145" i="4"/>
  <c r="DU145" i="4"/>
  <c r="DM145" i="4"/>
  <c r="DE145" i="4"/>
  <c r="CW145" i="4"/>
  <c r="CO145" i="4"/>
  <c r="CG145" i="4"/>
  <c r="BY145" i="4"/>
  <c r="BQ145" i="4"/>
  <c r="BI145" i="4"/>
  <c r="BA145" i="4"/>
  <c r="AS145" i="4"/>
  <c r="AK145" i="4"/>
  <c r="AC145" i="4"/>
  <c r="U145" i="4"/>
  <c r="M145" i="4"/>
  <c r="GN145" i="4"/>
  <c r="GF145" i="4"/>
  <c r="FX145" i="4"/>
  <c r="FP145" i="4"/>
  <c r="FH145" i="4"/>
  <c r="EZ145" i="4"/>
  <c r="ER145" i="4"/>
  <c r="EJ145" i="4"/>
  <c r="EB145" i="4"/>
  <c r="DT145" i="4"/>
  <c r="DL145" i="4"/>
  <c r="DD145" i="4"/>
  <c r="CV145" i="4"/>
  <c r="CN145" i="4"/>
  <c r="CF145" i="4"/>
  <c r="BX145" i="4"/>
  <c r="BP145" i="4"/>
  <c r="BH145" i="4"/>
  <c r="AZ145" i="4"/>
  <c r="AR145" i="4"/>
  <c r="AJ145" i="4"/>
  <c r="AB145" i="4"/>
  <c r="T145" i="4"/>
  <c r="L145" i="4"/>
  <c r="GM145" i="4"/>
  <c r="FR145" i="4"/>
  <c r="EX145" i="4"/>
  <c r="EA145" i="4"/>
  <c r="DF145" i="4"/>
  <c r="CL145" i="4"/>
  <c r="BO145" i="4"/>
  <c r="AT145" i="4"/>
  <c r="Z145" i="4"/>
  <c r="GL145" i="4"/>
  <c r="FO145" i="4"/>
  <c r="ET145" i="4"/>
  <c r="DZ145" i="4"/>
  <c r="DC145" i="4"/>
  <c r="CH145" i="4"/>
  <c r="BN145" i="4"/>
  <c r="AQ145" i="4"/>
  <c r="V145" i="4"/>
  <c r="GH145" i="4"/>
  <c r="FN145" i="4"/>
  <c r="EQ145" i="4"/>
  <c r="DV145" i="4"/>
  <c r="DB145" i="4"/>
  <c r="CE145" i="4"/>
  <c r="BJ145" i="4"/>
  <c r="AP145" i="4"/>
  <c r="S145" i="4"/>
  <c r="GE145" i="4"/>
  <c r="FJ145" i="4"/>
  <c r="EP145" i="4"/>
  <c r="DS145" i="4"/>
  <c r="CX145" i="4"/>
  <c r="CD145" i="4"/>
  <c r="BG145" i="4"/>
  <c r="AL145" i="4"/>
  <c r="R145" i="4"/>
  <c r="FZ145" i="4"/>
  <c r="FF145" i="4"/>
  <c r="EI145" i="4"/>
  <c r="DN145" i="4"/>
  <c r="CT145" i="4"/>
  <c r="BW145" i="4"/>
  <c r="BB145" i="4"/>
  <c r="AH145" i="4"/>
  <c r="K145" i="4"/>
  <c r="FG145" i="4"/>
  <c r="DJ145" i="4"/>
  <c r="AY145" i="4"/>
  <c r="FB145" i="4"/>
  <c r="CU145" i="4"/>
  <c r="AX145" i="4"/>
  <c r="EY145" i="4"/>
  <c r="CP145" i="4"/>
  <c r="AI145" i="4"/>
  <c r="DK145" i="4"/>
  <c r="EL145" i="4"/>
  <c r="CM145" i="4"/>
  <c r="AD145" i="4"/>
  <c r="GP145" i="4"/>
  <c r="EH145" i="4"/>
  <c r="BZ145" i="4"/>
  <c r="AA145" i="4"/>
  <c r="GD145" i="4"/>
  <c r="ED145" i="4"/>
  <c r="BV145" i="4"/>
  <c r="N145" i="4"/>
  <c r="FV145" i="4"/>
  <c r="BF145" i="4"/>
  <c r="FW145" i="4"/>
  <c r="DR145" i="4"/>
  <c r="BR145" i="4"/>
  <c r="B72" i="1"/>
  <c r="GE227" i="4"/>
  <c r="GE202" i="4"/>
  <c r="DR227" i="4"/>
  <c r="DR202" i="4"/>
  <c r="GN227" i="4"/>
  <c r="GN202" i="4"/>
  <c r="EH227" i="4"/>
  <c r="EH202" i="4"/>
  <c r="GM227" i="4"/>
  <c r="GM202" i="4"/>
  <c r="ER227" i="4"/>
  <c r="ER202" i="4"/>
  <c r="FM227" i="4"/>
  <c r="FM202" i="4"/>
  <c r="EY202" i="4"/>
  <c r="EY227" i="4"/>
  <c r="DW227" i="4"/>
  <c r="DW202" i="4"/>
  <c r="FN227" i="4"/>
  <c r="FN202" i="4"/>
  <c r="BW219" i="4"/>
  <c r="BW194" i="4"/>
  <c r="K219" i="4"/>
  <c r="K194" i="4"/>
  <c r="CB219" i="4"/>
  <c r="CB194" i="4"/>
  <c r="BK219" i="4"/>
  <c r="BK194" i="4"/>
  <c r="AQ194" i="4"/>
  <c r="AQ219" i="4"/>
  <c r="Q194" i="4"/>
  <c r="Q219" i="4"/>
  <c r="CC219" i="4"/>
  <c r="CC194" i="4"/>
  <c r="Z194" i="4"/>
  <c r="Z219" i="4"/>
  <c r="AB219" i="4"/>
  <c r="AB194" i="4"/>
  <c r="AC219" i="4"/>
  <c r="AC194" i="4"/>
  <c r="AD219" i="4"/>
  <c r="AD194" i="4"/>
  <c r="BI234" i="4"/>
  <c r="BI209" i="4"/>
  <c r="BQ234" i="4"/>
  <c r="BQ209" i="4"/>
  <c r="CH234" i="4"/>
  <c r="CH209" i="4"/>
  <c r="Y234" i="4"/>
  <c r="Y209" i="4"/>
  <c r="AT234" i="4"/>
  <c r="AT209" i="4"/>
  <c r="AX234" i="4"/>
  <c r="AX209" i="4"/>
  <c r="BK209" i="4"/>
  <c r="BK234" i="4"/>
  <c r="BT234" i="4"/>
  <c r="BT209" i="4"/>
  <c r="K209" i="4"/>
  <c r="K234" i="4"/>
  <c r="BW234" i="4"/>
  <c r="BW209" i="4"/>
  <c r="L234" i="4"/>
  <c r="L209" i="4"/>
  <c r="BX209" i="4"/>
  <c r="BX234" i="4"/>
  <c r="D118" i="4"/>
  <c r="L96" i="4"/>
  <c r="D133" i="4"/>
  <c r="N95" i="4"/>
  <c r="FO227" i="4"/>
  <c r="FO202" i="4"/>
  <c r="S219" i="4"/>
  <c r="S194" i="4"/>
  <c r="N194" i="4"/>
  <c r="N219" i="4"/>
  <c r="U234" i="4"/>
  <c r="U209" i="4"/>
  <c r="N209" i="4"/>
  <c r="N234" i="4"/>
  <c r="AU234" i="4"/>
  <c r="AU209" i="4"/>
  <c r="BH209" i="4"/>
  <c r="BH234" i="4"/>
  <c r="EB202" i="4"/>
  <c r="EB227" i="4"/>
  <c r="FK202" i="4"/>
  <c r="FK227" i="4"/>
  <c r="EN227" i="4"/>
  <c r="EN202" i="4"/>
  <c r="BG219" i="4"/>
  <c r="BG194" i="4"/>
  <c r="W194" i="4"/>
  <c r="W219" i="4"/>
  <c r="BU219" i="4"/>
  <c r="BU194" i="4"/>
  <c r="R219" i="4"/>
  <c r="R194" i="4"/>
  <c r="CF194" i="4"/>
  <c r="CF219" i="4"/>
  <c r="U219" i="4"/>
  <c r="U194" i="4"/>
  <c r="CH219" i="4"/>
  <c r="CH194" i="4"/>
  <c r="BR234" i="4"/>
  <c r="BR209" i="4"/>
  <c r="AD234" i="4"/>
  <c r="AD209" i="4"/>
  <c r="BL234" i="4"/>
  <c r="BL209" i="4"/>
  <c r="FL227" i="4"/>
  <c r="FL202" i="4"/>
  <c r="GD202" i="4"/>
  <c r="GD227" i="4"/>
  <c r="DV227" i="4"/>
  <c r="DV202" i="4"/>
  <c r="DQ227" i="4"/>
  <c r="DQ202" i="4"/>
  <c r="EL227" i="4"/>
  <c r="EL202" i="4"/>
  <c r="FX227" i="4"/>
  <c r="FX202" i="4"/>
  <c r="EW227" i="4"/>
  <c r="EW202" i="4"/>
  <c r="FJ227" i="4"/>
  <c r="FJ202" i="4"/>
  <c r="EI202" i="4"/>
  <c r="EI227" i="4"/>
  <c r="FR227" i="4"/>
  <c r="FR202" i="4"/>
  <c r="BS194" i="4"/>
  <c r="BS219" i="4"/>
  <c r="CE194" i="4"/>
  <c r="CE219" i="4"/>
  <c r="BL194" i="4"/>
  <c r="BL219" i="4"/>
  <c r="Y219" i="4"/>
  <c r="Y194" i="4"/>
  <c r="AH219" i="4"/>
  <c r="AH194" i="4"/>
  <c r="AJ219" i="4"/>
  <c r="AJ194" i="4"/>
  <c r="AK219" i="4"/>
  <c r="AK194" i="4"/>
  <c r="AL219" i="4"/>
  <c r="AL194" i="4"/>
  <c r="AC234" i="4"/>
  <c r="AC209" i="4"/>
  <c r="AO234" i="4"/>
  <c r="AO209" i="4"/>
  <c r="BJ234" i="4"/>
  <c r="BJ209" i="4"/>
  <c r="BN234" i="4"/>
  <c r="BN209" i="4"/>
  <c r="BS234" i="4"/>
  <c r="BS209" i="4"/>
  <c r="P234" i="4"/>
  <c r="P209" i="4"/>
  <c r="CB209" i="4"/>
  <c r="CB234" i="4"/>
  <c r="S234" i="4"/>
  <c r="S209" i="4"/>
  <c r="CE209" i="4"/>
  <c r="CE234" i="4"/>
  <c r="T234" i="4"/>
  <c r="T209" i="4"/>
  <c r="CF234" i="4"/>
  <c r="CF209" i="4"/>
  <c r="GI160" i="4"/>
  <c r="GA160" i="4"/>
  <c r="FS160" i="4"/>
  <c r="FK160" i="4"/>
  <c r="FC160" i="4"/>
  <c r="EU160" i="4"/>
  <c r="EM160" i="4"/>
  <c r="EE160" i="4"/>
  <c r="DW160" i="4"/>
  <c r="DO160" i="4"/>
  <c r="DG160" i="4"/>
  <c r="CY160" i="4"/>
  <c r="CQ160" i="4"/>
  <c r="CI160" i="4"/>
  <c r="CA160" i="4"/>
  <c r="BS160" i="4"/>
  <c r="BK160" i="4"/>
  <c r="BC160" i="4"/>
  <c r="AU160" i="4"/>
  <c r="AM160" i="4"/>
  <c r="AE160" i="4"/>
  <c r="W160" i="4"/>
  <c r="O160" i="4"/>
  <c r="GP160" i="4"/>
  <c r="GH160" i="4"/>
  <c r="FZ160" i="4"/>
  <c r="FR160" i="4"/>
  <c r="FJ160" i="4"/>
  <c r="FB160" i="4"/>
  <c r="ET160" i="4"/>
  <c r="EL160" i="4"/>
  <c r="ED160" i="4"/>
  <c r="DV160" i="4"/>
  <c r="DN160" i="4"/>
  <c r="DF160" i="4"/>
  <c r="CX160" i="4"/>
  <c r="CP160" i="4"/>
  <c r="CH160" i="4"/>
  <c r="BZ160" i="4"/>
  <c r="BR160" i="4"/>
  <c r="BJ160" i="4"/>
  <c r="BB160" i="4"/>
  <c r="AT160" i="4"/>
  <c r="AL160" i="4"/>
  <c r="AD160" i="4"/>
  <c r="V160" i="4"/>
  <c r="N160" i="4"/>
  <c r="GM160" i="4"/>
  <c r="GE160" i="4"/>
  <c r="FW160" i="4"/>
  <c r="FO160" i="4"/>
  <c r="FG160" i="4"/>
  <c r="EY160" i="4"/>
  <c r="EQ160" i="4"/>
  <c r="EI160" i="4"/>
  <c r="EA160" i="4"/>
  <c r="DS160" i="4"/>
  <c r="DK160" i="4"/>
  <c r="DC160" i="4"/>
  <c r="CU160" i="4"/>
  <c r="CM160" i="4"/>
  <c r="CE160" i="4"/>
  <c r="BW160" i="4"/>
  <c r="BO160" i="4"/>
  <c r="BG160" i="4"/>
  <c r="AY160" i="4"/>
  <c r="AQ160" i="4"/>
  <c r="AI160" i="4"/>
  <c r="AA160" i="4"/>
  <c r="S160" i="4"/>
  <c r="K160" i="4"/>
  <c r="GL160" i="4"/>
  <c r="GD160" i="4"/>
  <c r="FV160" i="4"/>
  <c r="FN160" i="4"/>
  <c r="FF160" i="4"/>
  <c r="EX160" i="4"/>
  <c r="EP160" i="4"/>
  <c r="EH160" i="4"/>
  <c r="DZ160" i="4"/>
  <c r="DR160" i="4"/>
  <c r="DJ160" i="4"/>
  <c r="DB160" i="4"/>
  <c r="CT160" i="4"/>
  <c r="CL160" i="4"/>
  <c r="CD160" i="4"/>
  <c r="BV160" i="4"/>
  <c r="BN160" i="4"/>
  <c r="BF160" i="4"/>
  <c r="AX160" i="4"/>
  <c r="AP160" i="4"/>
  <c r="AH160" i="4"/>
  <c r="Z160" i="4"/>
  <c r="R160" i="4"/>
  <c r="GO160" i="4"/>
  <c r="FY160" i="4"/>
  <c r="FI160" i="4"/>
  <c r="ES160" i="4"/>
  <c r="EC160" i="4"/>
  <c r="DM160" i="4"/>
  <c r="CW160" i="4"/>
  <c r="CG160" i="4"/>
  <c r="BQ160" i="4"/>
  <c r="BA160" i="4"/>
  <c r="AK160" i="4"/>
  <c r="U160" i="4"/>
  <c r="GN160" i="4"/>
  <c r="FX160" i="4"/>
  <c r="FH160" i="4"/>
  <c r="ER160" i="4"/>
  <c r="EB160" i="4"/>
  <c r="DL160" i="4"/>
  <c r="CV160" i="4"/>
  <c r="CF160" i="4"/>
  <c r="BP160" i="4"/>
  <c r="AZ160" i="4"/>
  <c r="AJ160" i="4"/>
  <c r="T160" i="4"/>
  <c r="GK160" i="4"/>
  <c r="FU160" i="4"/>
  <c r="FE160" i="4"/>
  <c r="EO160" i="4"/>
  <c r="DY160" i="4"/>
  <c r="DI160" i="4"/>
  <c r="CS160" i="4"/>
  <c r="CC160" i="4"/>
  <c r="BM160" i="4"/>
  <c r="AW160" i="4"/>
  <c r="AG160" i="4"/>
  <c r="Q160" i="4"/>
  <c r="GG160" i="4"/>
  <c r="FQ160" i="4"/>
  <c r="FA160" i="4"/>
  <c r="EK160" i="4"/>
  <c r="DU160" i="4"/>
  <c r="DE160" i="4"/>
  <c r="CO160" i="4"/>
  <c r="BY160" i="4"/>
  <c r="BI160" i="4"/>
  <c r="AS160" i="4"/>
  <c r="AC160" i="4"/>
  <c r="M160" i="4"/>
  <c r="GF160" i="4"/>
  <c r="FP160" i="4"/>
  <c r="EZ160" i="4"/>
  <c r="EJ160" i="4"/>
  <c r="DT160" i="4"/>
  <c r="DD160" i="4"/>
  <c r="CN160" i="4"/>
  <c r="BX160" i="4"/>
  <c r="BH160" i="4"/>
  <c r="AR160" i="4"/>
  <c r="AB160" i="4"/>
  <c r="L160" i="4"/>
  <c r="GC160" i="4"/>
  <c r="FM160" i="4"/>
  <c r="EW160" i="4"/>
  <c r="EG160" i="4"/>
  <c r="DQ160" i="4"/>
  <c r="DA160" i="4"/>
  <c r="CK160" i="4"/>
  <c r="BU160" i="4"/>
  <c r="BE160" i="4"/>
  <c r="AO160" i="4"/>
  <c r="Y160" i="4"/>
  <c r="FD160" i="4"/>
  <c r="CR160" i="4"/>
  <c r="AF160" i="4"/>
  <c r="EV160" i="4"/>
  <c r="CJ160" i="4"/>
  <c r="X160" i="4"/>
  <c r="EN160" i="4"/>
  <c r="CB160" i="4"/>
  <c r="P160" i="4"/>
  <c r="EF160" i="4"/>
  <c r="BT160" i="4"/>
  <c r="GB160" i="4"/>
  <c r="DP160" i="4"/>
  <c r="BD160" i="4"/>
  <c r="FL160" i="4"/>
  <c r="CZ160" i="4"/>
  <c r="AN160" i="4"/>
  <c r="FT160" i="4"/>
  <c r="DX160" i="4"/>
  <c r="DH160" i="4"/>
  <c r="BL160" i="4"/>
  <c r="AV160" i="4"/>
  <c r="GJ160" i="4"/>
  <c r="GK202" i="4"/>
  <c r="GK227" i="4"/>
  <c r="FB227" i="4"/>
  <c r="FB202" i="4"/>
  <c r="AM194" i="4"/>
  <c r="AM219" i="4"/>
  <c r="BX219" i="4"/>
  <c r="BX194" i="4"/>
  <c r="BZ194" i="4"/>
  <c r="BZ219" i="4"/>
  <c r="EU202" i="4"/>
  <c r="EU227" i="4"/>
  <c r="GC227" i="4"/>
  <c r="GC202" i="4"/>
  <c r="GJ227" i="4"/>
  <c r="GJ202" i="4"/>
  <c r="EG227" i="4"/>
  <c r="EG202" i="4"/>
  <c r="AA219" i="4"/>
  <c r="AA194" i="4"/>
  <c r="AK209" i="4"/>
  <c r="AK234" i="4"/>
  <c r="BZ234" i="4"/>
  <c r="BZ209" i="4"/>
  <c r="CD209" i="4"/>
  <c r="CD234" i="4"/>
  <c r="EA227" i="4"/>
  <c r="EA202" i="4"/>
  <c r="DT227" i="4"/>
  <c r="DT202" i="4"/>
  <c r="GA227" i="4"/>
  <c r="GA202" i="4"/>
  <c r="GO227" i="4"/>
  <c r="GO202" i="4"/>
  <c r="EF227" i="4"/>
  <c r="EF202" i="4"/>
  <c r="FS227" i="4"/>
  <c r="FS202" i="4"/>
  <c r="EJ227" i="4"/>
  <c r="EJ202" i="4"/>
  <c r="ES227" i="4"/>
  <c r="ES202" i="4"/>
  <c r="FV227" i="4"/>
  <c r="FV202" i="4"/>
  <c r="DX227" i="4"/>
  <c r="DX202" i="4"/>
  <c r="EX202" i="4"/>
  <c r="EX227" i="4"/>
  <c r="FC227" i="4"/>
  <c r="FC202" i="4"/>
  <c r="FP227" i="4"/>
  <c r="FP202" i="4"/>
  <c r="CJ194" i="4"/>
  <c r="CJ219" i="4"/>
  <c r="AO219" i="4"/>
  <c r="AO194" i="4"/>
  <c r="AX194" i="4"/>
  <c r="AX219" i="4"/>
  <c r="AZ194" i="4"/>
  <c r="AZ219" i="4"/>
  <c r="BA219" i="4"/>
  <c r="BA194" i="4"/>
  <c r="BB194" i="4"/>
  <c r="BB219" i="4"/>
  <c r="M234" i="4"/>
  <c r="M209" i="4"/>
  <c r="BU234" i="4"/>
  <c r="BU209" i="4"/>
  <c r="Z234" i="4"/>
  <c r="Z209" i="4"/>
  <c r="AG209" i="4"/>
  <c r="AG234" i="4"/>
  <c r="W234" i="4"/>
  <c r="W209" i="4"/>
  <c r="CI209" i="4"/>
  <c r="CI234" i="4"/>
  <c r="AF234" i="4"/>
  <c r="AF209" i="4"/>
  <c r="AI234" i="4"/>
  <c r="AI209" i="4"/>
  <c r="AJ234" i="4"/>
  <c r="AJ209" i="4"/>
  <c r="EK202" i="4"/>
  <c r="EK227" i="4"/>
  <c r="FD227" i="4"/>
  <c r="FD202" i="4"/>
  <c r="BV219" i="4"/>
  <c r="BV194" i="4"/>
  <c r="M219" i="4"/>
  <c r="M194" i="4"/>
  <c r="BB234" i="4"/>
  <c r="BB209" i="4"/>
  <c r="GG227" i="4"/>
  <c r="GG202" i="4"/>
  <c r="EC227" i="4"/>
  <c r="EC202" i="4"/>
  <c r="EM202" i="4"/>
  <c r="EM227" i="4"/>
  <c r="BC219" i="4"/>
  <c r="BC194" i="4"/>
  <c r="CI219" i="4"/>
  <c r="CI194" i="4"/>
  <c r="AR194" i="4"/>
  <c r="AR219" i="4"/>
  <c r="AT219" i="4"/>
  <c r="AT194" i="4"/>
  <c r="O234" i="4"/>
  <c r="O209" i="4"/>
  <c r="X234" i="4"/>
  <c r="X209" i="4"/>
  <c r="AA234" i="4"/>
  <c r="AA209" i="4"/>
  <c r="AB209" i="4"/>
  <c r="AB234" i="4"/>
  <c r="FE153" i="4"/>
  <c r="CS153" i="4"/>
  <c r="AG153" i="4"/>
  <c r="EV153" i="4"/>
  <c r="CJ153" i="4"/>
  <c r="X153" i="4"/>
  <c r="EM153" i="4"/>
  <c r="CA153" i="4"/>
  <c r="O153" i="4"/>
  <c r="EK153" i="4"/>
  <c r="BY153" i="4"/>
  <c r="M153" i="4"/>
  <c r="EJ153" i="4"/>
  <c r="BX153" i="4"/>
  <c r="L153" i="4"/>
  <c r="AX153" i="4"/>
  <c r="BO153" i="4"/>
  <c r="CH153" i="4"/>
  <c r="DB153" i="4"/>
  <c r="DR153" i="4"/>
  <c r="EH153" i="4"/>
  <c r="FF153" i="4"/>
  <c r="AL153" i="4"/>
  <c r="EW153" i="4"/>
  <c r="CK153" i="4"/>
  <c r="Y153" i="4"/>
  <c r="EN153" i="4"/>
  <c r="CB153" i="4"/>
  <c r="P153" i="4"/>
  <c r="EE153" i="4"/>
  <c r="BS153" i="4"/>
  <c r="GO153" i="4"/>
  <c r="EC153" i="4"/>
  <c r="BQ153" i="4"/>
  <c r="GN153" i="4"/>
  <c r="EB153" i="4"/>
  <c r="BP153" i="4"/>
  <c r="GP153" i="4"/>
  <c r="AA153" i="4"/>
  <c r="AT153" i="4"/>
  <c r="BN153" i="4"/>
  <c r="CE153" i="4"/>
  <c r="CU153" i="4"/>
  <c r="DK153" i="4"/>
  <c r="BW153" i="4"/>
  <c r="DN153" i="4"/>
  <c r="EG153" i="4"/>
  <c r="BU153" i="4"/>
  <c r="GJ153" i="4"/>
  <c r="DX153" i="4"/>
  <c r="BL153" i="4"/>
  <c r="GA153" i="4"/>
  <c r="DO153" i="4"/>
  <c r="BC153" i="4"/>
  <c r="FY153" i="4"/>
  <c r="DM153" i="4"/>
  <c r="BA153" i="4"/>
  <c r="FX153" i="4"/>
  <c r="DL153" i="4"/>
  <c r="AZ153" i="4"/>
  <c r="EY153" i="4"/>
  <c r="FR153" i="4"/>
  <c r="GL153" i="4"/>
  <c r="V153" i="4"/>
  <c r="AP153" i="4"/>
  <c r="BF153" i="4"/>
  <c r="BV153" i="4"/>
  <c r="EP153" i="4"/>
  <c r="FZ153" i="4"/>
  <c r="GK153" i="4"/>
  <c r="DY153" i="4"/>
  <c r="BM153" i="4"/>
  <c r="GB153" i="4"/>
  <c r="DP153" i="4"/>
  <c r="BD153" i="4"/>
  <c r="FS153" i="4"/>
  <c r="DG153" i="4"/>
  <c r="AU153" i="4"/>
  <c r="FQ153" i="4"/>
  <c r="DE153" i="4"/>
  <c r="AS153" i="4"/>
  <c r="FP153" i="4"/>
  <c r="DD153" i="4"/>
  <c r="AR153" i="4"/>
  <c r="ED153" i="4"/>
  <c r="EX153" i="4"/>
  <c r="FO153" i="4"/>
  <c r="GH153" i="4"/>
  <c r="S153" i="4"/>
  <c r="AI153" i="4"/>
  <c r="AY153" i="4"/>
  <c r="BG153" i="4"/>
  <c r="K153" i="4"/>
  <c r="GC153" i="4"/>
  <c r="DQ153" i="4"/>
  <c r="BE153" i="4"/>
  <c r="FT153" i="4"/>
  <c r="DH153" i="4"/>
  <c r="AV153" i="4"/>
  <c r="FK153" i="4"/>
  <c r="CY153" i="4"/>
  <c r="AM153" i="4"/>
  <c r="FI153" i="4"/>
  <c r="CW153" i="4"/>
  <c r="AK153" i="4"/>
  <c r="FH153" i="4"/>
  <c r="CV153" i="4"/>
  <c r="AJ153" i="4"/>
  <c r="DJ153" i="4"/>
  <c r="EA153" i="4"/>
  <c r="ET153" i="4"/>
  <c r="FN153" i="4"/>
  <c r="GD153" i="4"/>
  <c r="N153" i="4"/>
  <c r="AD153" i="4"/>
  <c r="EI153" i="4"/>
  <c r="GE153" i="4"/>
  <c r="FU153" i="4"/>
  <c r="DI153" i="4"/>
  <c r="AW153" i="4"/>
  <c r="FL153" i="4"/>
  <c r="CZ153" i="4"/>
  <c r="AN153" i="4"/>
  <c r="FC153" i="4"/>
  <c r="CQ153" i="4"/>
  <c r="AE153" i="4"/>
  <c r="FA153" i="4"/>
  <c r="CO153" i="4"/>
  <c r="AC153" i="4"/>
  <c r="EZ153" i="4"/>
  <c r="CN153" i="4"/>
  <c r="AB153" i="4"/>
  <c r="CM153" i="4"/>
  <c r="DF153" i="4"/>
  <c r="DZ153" i="4"/>
  <c r="EQ153" i="4"/>
  <c r="FG153" i="4"/>
  <c r="FW153" i="4"/>
  <c r="FJ153" i="4"/>
  <c r="BB153" i="4"/>
  <c r="CX153" i="4"/>
  <c r="FM153" i="4"/>
  <c r="CR153" i="4"/>
  <c r="W153" i="4"/>
  <c r="ER153" i="4"/>
  <c r="CL153" i="4"/>
  <c r="FB153" i="4"/>
  <c r="EO153" i="4"/>
  <c r="BT153" i="4"/>
  <c r="GG153" i="4"/>
  <c r="DT153" i="4"/>
  <c r="Z153" i="4"/>
  <c r="CP153" i="4"/>
  <c r="DA153" i="4"/>
  <c r="AF153" i="4"/>
  <c r="ES153" i="4"/>
  <c r="CF153" i="4"/>
  <c r="DC153" i="4"/>
  <c r="CD153" i="4"/>
  <c r="CC153" i="4"/>
  <c r="GI153" i="4"/>
  <c r="DU153" i="4"/>
  <c r="BH153" i="4"/>
  <c r="AQ153" i="4"/>
  <c r="CT153" i="4"/>
  <c r="AO153" i="4"/>
  <c r="EU153" i="4"/>
  <c r="CG153" i="4"/>
  <c r="T153" i="4"/>
  <c r="DV153" i="4"/>
  <c r="DS153" i="4"/>
  <c r="EF153" i="4"/>
  <c r="GF153" i="4"/>
  <c r="Q153" i="4"/>
  <c r="DW153" i="4"/>
  <c r="BI153" i="4"/>
  <c r="FV153" i="4"/>
  <c r="BJ153" i="4"/>
  <c r="AH153" i="4"/>
  <c r="BK153" i="4"/>
  <c r="BZ153" i="4"/>
  <c r="FD153" i="4"/>
  <c r="CI153" i="4"/>
  <c r="U153" i="4"/>
  <c r="BR153" i="4"/>
  <c r="EL153" i="4"/>
  <c r="R153" i="4"/>
  <c r="GM153" i="4"/>
  <c r="FG227" i="4"/>
  <c r="FG202" i="4"/>
  <c r="GF202" i="4"/>
  <c r="GF227" i="4"/>
  <c r="DZ227" i="4"/>
  <c r="DZ202" i="4"/>
  <c r="FY202" i="4"/>
  <c r="FY227" i="4"/>
  <c r="FH227" i="4"/>
  <c r="FH202" i="4"/>
  <c r="EZ227" i="4"/>
  <c r="EZ202" i="4"/>
  <c r="GB227" i="4"/>
  <c r="GB202" i="4"/>
  <c r="AE219" i="4"/>
  <c r="AE194" i="4"/>
  <c r="O194" i="4"/>
  <c r="O219" i="4"/>
  <c r="AW219" i="4"/>
  <c r="AW194" i="4"/>
  <c r="BF219" i="4"/>
  <c r="BF194" i="4"/>
  <c r="BH219" i="4"/>
  <c r="BH194" i="4"/>
  <c r="BI219" i="4"/>
  <c r="BI194" i="4"/>
  <c r="BJ194" i="4"/>
  <c r="BJ219" i="4"/>
  <c r="BY234" i="4"/>
  <c r="BY209" i="4"/>
  <c r="V234" i="4"/>
  <c r="V209" i="4"/>
  <c r="AP209" i="4"/>
  <c r="AP234" i="4"/>
  <c r="AW209" i="4"/>
  <c r="AW234" i="4"/>
  <c r="AE234" i="4"/>
  <c r="AE209" i="4"/>
  <c r="AN234" i="4"/>
  <c r="AN209" i="4"/>
  <c r="AQ234" i="4"/>
  <c r="AQ209" i="4"/>
  <c r="AR209" i="4"/>
  <c r="AR234" i="4"/>
  <c r="FU227" i="4"/>
  <c r="FU202" i="4"/>
  <c r="GP227" i="4"/>
  <c r="GP202" i="4"/>
  <c r="ET202" i="4"/>
  <c r="ET227" i="4"/>
  <c r="FQ202" i="4"/>
  <c r="FQ227" i="4"/>
  <c r="BD219" i="4"/>
  <c r="BD194" i="4"/>
  <c r="BY194" i="4"/>
  <c r="BY219" i="4"/>
  <c r="AS209" i="4"/>
  <c r="AS234" i="4"/>
  <c r="CC234" i="4"/>
  <c r="CC209" i="4"/>
  <c r="BG209" i="4"/>
  <c r="BG234" i="4"/>
  <c r="EQ227" i="4"/>
  <c r="EQ202" i="4"/>
  <c r="FZ227" i="4"/>
  <c r="FZ202" i="4"/>
  <c r="GH227" i="4"/>
  <c r="GH202" i="4"/>
  <c r="FW227" i="4"/>
  <c r="FW202" i="4"/>
  <c r="EO227" i="4"/>
  <c r="EO202" i="4"/>
  <c r="AU194" i="4"/>
  <c r="AU219" i="4"/>
  <c r="AG219" i="4"/>
  <c r="AG194" i="4"/>
  <c r="AP219" i="4"/>
  <c r="AP194" i="4"/>
  <c r="AS194" i="4"/>
  <c r="AS219" i="4"/>
  <c r="BE209" i="4"/>
  <c r="BE234" i="4"/>
  <c r="Q234" i="4"/>
  <c r="Q209" i="4"/>
  <c r="CA234" i="4"/>
  <c r="CA209" i="4"/>
  <c r="CJ209" i="4"/>
  <c r="CJ234" i="4"/>
  <c r="L109" i="4"/>
  <c r="K126" i="4"/>
  <c r="N108" i="4"/>
  <c r="GI227" i="4"/>
  <c r="GI202" i="4"/>
  <c r="GL227" i="4"/>
  <c r="GL202" i="4"/>
  <c r="ED227" i="4"/>
  <c r="ED202" i="4"/>
  <c r="DY227" i="4"/>
  <c r="DY202" i="4"/>
  <c r="EP202" i="4"/>
  <c r="EP227" i="4"/>
  <c r="FA202" i="4"/>
  <c r="FA227" i="4"/>
  <c r="FT227" i="4"/>
  <c r="FT202" i="4"/>
  <c r="FE227" i="4"/>
  <c r="FE202" i="4"/>
  <c r="X219" i="4"/>
  <c r="X194" i="4"/>
  <c r="AV219" i="4"/>
  <c r="AV194" i="4"/>
  <c r="BO219" i="4"/>
  <c r="BO194" i="4"/>
  <c r="AY219" i="4"/>
  <c r="AY194" i="4"/>
  <c r="AI219" i="4"/>
  <c r="AI194" i="4"/>
  <c r="P194" i="4"/>
  <c r="P219" i="4"/>
  <c r="BE219" i="4"/>
  <c r="BE194" i="4"/>
  <c r="BN194" i="4"/>
  <c r="BN219" i="4"/>
  <c r="BP219" i="4"/>
  <c r="BP194" i="4"/>
  <c r="BQ219" i="4"/>
  <c r="BQ194" i="4"/>
  <c r="BR194" i="4"/>
  <c r="BR219" i="4"/>
  <c r="BA234" i="4"/>
  <c r="BA209" i="4"/>
  <c r="AL234" i="4"/>
  <c r="AL209" i="4"/>
  <c r="BF234" i="4"/>
  <c r="BF209" i="4"/>
  <c r="BM234" i="4"/>
  <c r="BM209" i="4"/>
  <c r="AM209" i="4"/>
  <c r="AM234" i="4"/>
  <c r="AV209" i="4"/>
  <c r="AV234" i="4"/>
  <c r="AY234" i="4"/>
  <c r="AY209" i="4"/>
  <c r="AZ234" i="4"/>
  <c r="AZ209" i="4"/>
  <c r="B73" i="1" l="1"/>
  <c r="B43" i="1"/>
  <c r="B48" i="1"/>
  <c r="B60" i="1"/>
  <c r="B76" i="1"/>
  <c r="B45" i="1"/>
  <c r="B75" i="1"/>
  <c r="B67" i="1"/>
  <c r="B63" i="1"/>
  <c r="B68" i="1"/>
  <c r="B64" i="1"/>
  <c r="EF203" i="4"/>
  <c r="EF228" i="4"/>
  <c r="DR228" i="4"/>
  <c r="DR203" i="4"/>
  <c r="AR210" i="4"/>
  <c r="AR235" i="4"/>
  <c r="BO210" i="4"/>
  <c r="BO235" i="4"/>
  <c r="BX195" i="4"/>
  <c r="BX196" i="4" s="1"/>
  <c r="BX197" i="4" s="1"/>
  <c r="BX198" i="4" s="1"/>
  <c r="BX199" i="4" s="1"/>
  <c r="BX200" i="4" s="1"/>
  <c r="BX201" i="4" s="1"/>
  <c r="BX202" i="4" s="1"/>
  <c r="BX203" i="4" s="1"/>
  <c r="BX204" i="4" s="1"/>
  <c r="BX205" i="4" s="1"/>
  <c r="BX206" i="4" s="1"/>
  <c r="BX220" i="4"/>
  <c r="O220" i="4"/>
  <c r="O195" i="4"/>
  <c r="O196" i="4" s="1"/>
  <c r="O197" i="4" s="1"/>
  <c r="O198" i="4" s="1"/>
  <c r="O199" i="4" s="1"/>
  <c r="O200" i="4" s="1"/>
  <c r="O201" i="4" s="1"/>
  <c r="O202" i="4" s="1"/>
  <c r="O203" i="4" s="1"/>
  <c r="O204" i="4" s="1"/>
  <c r="O205" i="4" s="1"/>
  <c r="O206" i="4" s="1"/>
  <c r="CJ220" i="4"/>
  <c r="CJ195" i="4"/>
  <c r="CJ196" i="4" s="1"/>
  <c r="CJ197" i="4" s="1"/>
  <c r="CJ198" i="4" s="1"/>
  <c r="CJ199" i="4" s="1"/>
  <c r="CJ200" i="4" s="1"/>
  <c r="CJ201" i="4" s="1"/>
  <c r="CJ202" i="4" s="1"/>
  <c r="CJ203" i="4" s="1"/>
  <c r="CJ204" i="4" s="1"/>
  <c r="CJ205" i="4" s="1"/>
  <c r="CJ206" i="4" s="1"/>
  <c r="FB228" i="4"/>
  <c r="FB203" i="4"/>
  <c r="BM210" i="4"/>
  <c r="BM235" i="4"/>
  <c r="BW235" i="4"/>
  <c r="BW210" i="4"/>
  <c r="N210" i="4"/>
  <c r="N235" i="4"/>
  <c r="CA235" i="4"/>
  <c r="CA210" i="4"/>
  <c r="CH220" i="4"/>
  <c r="CH195" i="4"/>
  <c r="CH196" i="4" s="1"/>
  <c r="CH197" i="4" s="1"/>
  <c r="CH198" i="4" s="1"/>
  <c r="CH199" i="4" s="1"/>
  <c r="CH200" i="4" s="1"/>
  <c r="CH201" i="4" s="1"/>
  <c r="CH202" i="4" s="1"/>
  <c r="CH203" i="4" s="1"/>
  <c r="CH204" i="4" s="1"/>
  <c r="CH205" i="4" s="1"/>
  <c r="CH206" i="4" s="1"/>
  <c r="T195" i="4"/>
  <c r="T196" i="4" s="1"/>
  <c r="T197" i="4" s="1"/>
  <c r="T198" i="4" s="1"/>
  <c r="T199" i="4" s="1"/>
  <c r="T200" i="4" s="1"/>
  <c r="T201" i="4" s="1"/>
  <c r="T202" i="4" s="1"/>
  <c r="T203" i="4" s="1"/>
  <c r="T204" i="4" s="1"/>
  <c r="T205" i="4" s="1"/>
  <c r="T206" i="4" s="1"/>
  <c r="T220" i="4"/>
  <c r="CG195" i="4"/>
  <c r="CG196" i="4" s="1"/>
  <c r="CG197" i="4" s="1"/>
  <c r="CG198" i="4" s="1"/>
  <c r="CG199" i="4" s="1"/>
  <c r="CG200" i="4" s="1"/>
  <c r="CG201" i="4" s="1"/>
  <c r="CG202" i="4" s="1"/>
  <c r="CG203" i="4" s="1"/>
  <c r="CG204" i="4" s="1"/>
  <c r="CG205" i="4" s="1"/>
  <c r="CG206" i="4" s="1"/>
  <c r="CG220" i="4"/>
  <c r="W195" i="4"/>
  <c r="W196" i="4" s="1"/>
  <c r="W197" i="4" s="1"/>
  <c r="W198" i="4" s="1"/>
  <c r="W199" i="4" s="1"/>
  <c r="W200" i="4" s="1"/>
  <c r="W201" i="4" s="1"/>
  <c r="W202" i="4" s="1"/>
  <c r="W203" i="4" s="1"/>
  <c r="W204" i="4" s="1"/>
  <c r="W205" i="4" s="1"/>
  <c r="W206" i="4" s="1"/>
  <c r="W220" i="4"/>
  <c r="B46" i="1"/>
  <c r="EL228" i="4"/>
  <c r="EL203" i="4"/>
  <c r="DV203" i="4"/>
  <c r="DV228" i="4"/>
  <c r="DU203" i="4"/>
  <c r="DU228" i="4"/>
  <c r="FW228" i="4"/>
  <c r="FW203" i="4"/>
  <c r="EZ228" i="4"/>
  <c r="EZ203" i="4"/>
  <c r="FH228" i="4"/>
  <c r="FH203" i="4"/>
  <c r="FP228" i="4"/>
  <c r="FP203" i="4"/>
  <c r="FX203" i="4"/>
  <c r="FX228" i="4"/>
  <c r="DX228" i="4"/>
  <c r="DX203" i="4"/>
  <c r="EK228" i="4"/>
  <c r="EK203" i="4"/>
  <c r="AN235" i="4"/>
  <c r="AN210" i="4"/>
  <c r="P235" i="4"/>
  <c r="P210" i="4"/>
  <c r="BX235" i="4"/>
  <c r="BX210" i="4"/>
  <c r="M235" i="4"/>
  <c r="M210" i="4"/>
  <c r="CC210" i="4"/>
  <c r="CC235" i="4"/>
  <c r="T235" i="4"/>
  <c r="T210" i="4"/>
  <c r="CG235" i="4"/>
  <c r="CG210" i="4"/>
  <c r="R235" i="4"/>
  <c r="R210" i="4"/>
  <c r="CD210" i="4"/>
  <c r="CD235" i="4"/>
  <c r="S210" i="4"/>
  <c r="S235" i="4"/>
  <c r="CE235" i="4"/>
  <c r="CE210" i="4"/>
  <c r="V235" i="4"/>
  <c r="V210" i="4"/>
  <c r="CH210" i="4"/>
  <c r="CH235" i="4"/>
  <c r="W235" i="4"/>
  <c r="W210" i="4"/>
  <c r="CI210" i="4"/>
  <c r="CI235" i="4"/>
  <c r="B49" i="1"/>
  <c r="AA195" i="4"/>
  <c r="AA196" i="4" s="1"/>
  <c r="AA197" i="4" s="1"/>
  <c r="AA198" i="4" s="1"/>
  <c r="AA199" i="4" s="1"/>
  <c r="AA200" i="4" s="1"/>
  <c r="AA201" i="4" s="1"/>
  <c r="AA202" i="4" s="1"/>
  <c r="AA203" i="4" s="1"/>
  <c r="AA204" i="4" s="1"/>
  <c r="AA205" i="4" s="1"/>
  <c r="AA206" i="4" s="1"/>
  <c r="AA220" i="4"/>
  <c r="AI220" i="4"/>
  <c r="AI195" i="4"/>
  <c r="AI196" i="4" s="1"/>
  <c r="AI197" i="4" s="1"/>
  <c r="AI198" i="4" s="1"/>
  <c r="AI199" i="4" s="1"/>
  <c r="AI200" i="4" s="1"/>
  <c r="AI201" i="4" s="1"/>
  <c r="AI202" i="4" s="1"/>
  <c r="AI203" i="4" s="1"/>
  <c r="AI204" i="4" s="1"/>
  <c r="AI205" i="4" s="1"/>
  <c r="AI206" i="4" s="1"/>
  <c r="AB195" i="4"/>
  <c r="AB196" i="4" s="1"/>
  <c r="AB197" i="4" s="1"/>
  <c r="AB198" i="4" s="1"/>
  <c r="AB199" i="4" s="1"/>
  <c r="AB200" i="4" s="1"/>
  <c r="AB201" i="4" s="1"/>
  <c r="AB202" i="4" s="1"/>
  <c r="AB203" i="4" s="1"/>
  <c r="AB204" i="4" s="1"/>
  <c r="AB205" i="4" s="1"/>
  <c r="AB206" i="4" s="1"/>
  <c r="AB220" i="4"/>
  <c r="AC220" i="4"/>
  <c r="AC195" i="4"/>
  <c r="AC196" i="4" s="1"/>
  <c r="AC197" i="4" s="1"/>
  <c r="AC198" i="4" s="1"/>
  <c r="AC199" i="4" s="1"/>
  <c r="AC200" i="4" s="1"/>
  <c r="AC201" i="4" s="1"/>
  <c r="AC202" i="4" s="1"/>
  <c r="AC203" i="4" s="1"/>
  <c r="AC204" i="4" s="1"/>
  <c r="AC205" i="4" s="1"/>
  <c r="AC206" i="4" s="1"/>
  <c r="AE220" i="4"/>
  <c r="AE195" i="4"/>
  <c r="AE196" i="4" s="1"/>
  <c r="AE197" i="4" s="1"/>
  <c r="AE198" i="4" s="1"/>
  <c r="AE199" i="4" s="1"/>
  <c r="AE200" i="4" s="1"/>
  <c r="AE201" i="4" s="1"/>
  <c r="AE202" i="4" s="1"/>
  <c r="AE203" i="4" s="1"/>
  <c r="AE204" i="4" s="1"/>
  <c r="AE205" i="4" s="1"/>
  <c r="AE206" i="4" s="1"/>
  <c r="AN220" i="4"/>
  <c r="AN195" i="4"/>
  <c r="AN196" i="4" s="1"/>
  <c r="AN197" i="4" s="1"/>
  <c r="AN198" i="4" s="1"/>
  <c r="AN199" i="4" s="1"/>
  <c r="AN200" i="4" s="1"/>
  <c r="AN201" i="4" s="1"/>
  <c r="AN202" i="4" s="1"/>
  <c r="AN203" i="4" s="1"/>
  <c r="AN204" i="4" s="1"/>
  <c r="AN205" i="4" s="1"/>
  <c r="AN206" i="4" s="1"/>
  <c r="AW220" i="4"/>
  <c r="AW195" i="4"/>
  <c r="AW196" i="4" s="1"/>
  <c r="AW197" i="4" s="1"/>
  <c r="AW198" i="4" s="1"/>
  <c r="AW199" i="4" s="1"/>
  <c r="AW200" i="4" s="1"/>
  <c r="AW201" i="4" s="1"/>
  <c r="AW202" i="4" s="1"/>
  <c r="AW203" i="4" s="1"/>
  <c r="AW204" i="4" s="1"/>
  <c r="AW205" i="4" s="1"/>
  <c r="AW206" i="4" s="1"/>
  <c r="ES203" i="4"/>
  <c r="ES228" i="4"/>
  <c r="EI228" i="4"/>
  <c r="EI203" i="4"/>
  <c r="GA203" i="4"/>
  <c r="GA228" i="4"/>
  <c r="BT235" i="4"/>
  <c r="BT210" i="4"/>
  <c r="AW235" i="4"/>
  <c r="AW210" i="4"/>
  <c r="BN235" i="4"/>
  <c r="BN210" i="4"/>
  <c r="BR235" i="4"/>
  <c r="BR210" i="4"/>
  <c r="AY220" i="4"/>
  <c r="AY195" i="4"/>
  <c r="AY196" i="4" s="1"/>
  <c r="AY197" i="4" s="1"/>
  <c r="AY198" i="4" s="1"/>
  <c r="AY199" i="4" s="1"/>
  <c r="AY200" i="4" s="1"/>
  <c r="AY201" i="4" s="1"/>
  <c r="AY202" i="4" s="1"/>
  <c r="AY203" i="4" s="1"/>
  <c r="AY204" i="4" s="1"/>
  <c r="AY205" i="4" s="1"/>
  <c r="AY206" i="4" s="1"/>
  <c r="AT195" i="4"/>
  <c r="AT196" i="4" s="1"/>
  <c r="AT197" i="4" s="1"/>
  <c r="AT198" i="4" s="1"/>
  <c r="AT199" i="4" s="1"/>
  <c r="AT200" i="4" s="1"/>
  <c r="AT201" i="4" s="1"/>
  <c r="AT202" i="4" s="1"/>
  <c r="AT203" i="4" s="1"/>
  <c r="AT204" i="4" s="1"/>
  <c r="AT205" i="4" s="1"/>
  <c r="AT206" i="4" s="1"/>
  <c r="AT220" i="4"/>
  <c r="BY195" i="4"/>
  <c r="BY196" i="4" s="1"/>
  <c r="BY197" i="4" s="1"/>
  <c r="BY198" i="4" s="1"/>
  <c r="BY199" i="4" s="1"/>
  <c r="BY200" i="4" s="1"/>
  <c r="BY201" i="4" s="1"/>
  <c r="BY202" i="4" s="1"/>
  <c r="BY203" i="4" s="1"/>
  <c r="BY204" i="4" s="1"/>
  <c r="BY205" i="4" s="1"/>
  <c r="BY206" i="4" s="1"/>
  <c r="BY220" i="4"/>
  <c r="AG195" i="4"/>
  <c r="AG196" i="4" s="1"/>
  <c r="AG197" i="4" s="1"/>
  <c r="AG198" i="4" s="1"/>
  <c r="AG199" i="4" s="1"/>
  <c r="AG200" i="4" s="1"/>
  <c r="AG201" i="4" s="1"/>
  <c r="AG202" i="4" s="1"/>
  <c r="AG203" i="4" s="1"/>
  <c r="AG204" i="4" s="1"/>
  <c r="AG205" i="4" s="1"/>
  <c r="AG206" i="4" s="1"/>
  <c r="AG220" i="4"/>
  <c r="EN203" i="4"/>
  <c r="EN228" i="4"/>
  <c r="BH210" i="4"/>
  <c r="BH235" i="4"/>
  <c r="BQ210" i="4"/>
  <c r="BQ235" i="4"/>
  <c r="BV235" i="4"/>
  <c r="BV210" i="4"/>
  <c r="K235" i="4"/>
  <c r="K210" i="4"/>
  <c r="BZ210" i="4"/>
  <c r="BZ235" i="4"/>
  <c r="O235" i="4"/>
  <c r="O210" i="4"/>
  <c r="BR220" i="4"/>
  <c r="BR195" i="4"/>
  <c r="BR196" i="4" s="1"/>
  <c r="BR197" i="4" s="1"/>
  <c r="BR198" i="4" s="1"/>
  <c r="BR199" i="4" s="1"/>
  <c r="BR200" i="4" s="1"/>
  <c r="BR201" i="4" s="1"/>
  <c r="BR202" i="4" s="1"/>
  <c r="BR203" i="4" s="1"/>
  <c r="BR204" i="4" s="1"/>
  <c r="BR205" i="4" s="1"/>
  <c r="BR206" i="4" s="1"/>
  <c r="BO220" i="4"/>
  <c r="BO195" i="4"/>
  <c r="BO196" i="4" s="1"/>
  <c r="BO197" i="4" s="1"/>
  <c r="BO198" i="4" s="1"/>
  <c r="BO199" i="4" s="1"/>
  <c r="BO200" i="4" s="1"/>
  <c r="BO201" i="4" s="1"/>
  <c r="BO202" i="4" s="1"/>
  <c r="BO203" i="4" s="1"/>
  <c r="BO204" i="4" s="1"/>
  <c r="BO205" i="4" s="1"/>
  <c r="BO206" i="4" s="1"/>
  <c r="CF220" i="4"/>
  <c r="CF195" i="4"/>
  <c r="CF196" i="4" s="1"/>
  <c r="CF197" i="4" s="1"/>
  <c r="CF198" i="4" s="1"/>
  <c r="CF199" i="4" s="1"/>
  <c r="CF200" i="4" s="1"/>
  <c r="CF201" i="4" s="1"/>
  <c r="CF202" i="4" s="1"/>
  <c r="CF203" i="4" s="1"/>
  <c r="CF204" i="4" s="1"/>
  <c r="CF205" i="4" s="1"/>
  <c r="CF206" i="4" s="1"/>
  <c r="U220" i="4"/>
  <c r="U195" i="4"/>
  <c r="U196" i="4" s="1"/>
  <c r="U197" i="4" s="1"/>
  <c r="U198" i="4" s="1"/>
  <c r="U199" i="4" s="1"/>
  <c r="U200" i="4" s="1"/>
  <c r="U201" i="4" s="1"/>
  <c r="U202" i="4" s="1"/>
  <c r="U203" i="4" s="1"/>
  <c r="U204" i="4" s="1"/>
  <c r="U205" i="4" s="1"/>
  <c r="U206" i="4" s="1"/>
  <c r="CI220" i="4"/>
  <c r="CI195" i="4"/>
  <c r="CI196" i="4" s="1"/>
  <c r="CI197" i="4" s="1"/>
  <c r="CI198" i="4" s="1"/>
  <c r="CI199" i="4" s="1"/>
  <c r="CI200" i="4" s="1"/>
  <c r="CI201" i="4" s="1"/>
  <c r="CI202" i="4" s="1"/>
  <c r="CI203" i="4" s="1"/>
  <c r="CI204" i="4" s="1"/>
  <c r="CI205" i="4" s="1"/>
  <c r="CI206" i="4" s="1"/>
  <c r="AF220" i="4"/>
  <c r="AF195" i="4"/>
  <c r="AF196" i="4" s="1"/>
  <c r="AF197" i="4" s="1"/>
  <c r="AF198" i="4" s="1"/>
  <c r="AF199" i="4" s="1"/>
  <c r="AF200" i="4" s="1"/>
  <c r="AF201" i="4" s="1"/>
  <c r="AF202" i="4" s="1"/>
  <c r="AF203" i="4" s="1"/>
  <c r="AF204" i="4" s="1"/>
  <c r="AF205" i="4" s="1"/>
  <c r="AF206" i="4" s="1"/>
  <c r="AO220" i="4"/>
  <c r="AO195" i="4"/>
  <c r="AO196" i="4" s="1"/>
  <c r="AO197" i="4" s="1"/>
  <c r="AO198" i="4" s="1"/>
  <c r="AO199" i="4" s="1"/>
  <c r="AO200" i="4" s="1"/>
  <c r="AO201" i="4" s="1"/>
  <c r="AO202" i="4" s="1"/>
  <c r="AO203" i="4" s="1"/>
  <c r="AO204" i="4" s="1"/>
  <c r="AO205" i="4" s="1"/>
  <c r="AO206" i="4" s="1"/>
  <c r="B57" i="1"/>
  <c r="FV228" i="4"/>
  <c r="FV203" i="4"/>
  <c r="GI203" i="4"/>
  <c r="GI228" i="4"/>
  <c r="ER228" i="4"/>
  <c r="ER203" i="4"/>
  <c r="FG203" i="4"/>
  <c r="FG228" i="4"/>
  <c r="FL228" i="4"/>
  <c r="FL203" i="4"/>
  <c r="GD228" i="4"/>
  <c r="GD203" i="4"/>
  <c r="FT203" i="4"/>
  <c r="FT228" i="4"/>
  <c r="GB228" i="4"/>
  <c r="GB203" i="4"/>
  <c r="GJ203" i="4"/>
  <c r="GJ228" i="4"/>
  <c r="EC228" i="4"/>
  <c r="EC203" i="4"/>
  <c r="FE228" i="4"/>
  <c r="FE203" i="4"/>
  <c r="CB210" i="4"/>
  <c r="CB235" i="4"/>
  <c r="Y210" i="4"/>
  <c r="Y235" i="4"/>
  <c r="AC210" i="4"/>
  <c r="AC235" i="4"/>
  <c r="AJ235" i="4"/>
  <c r="AJ210" i="4"/>
  <c r="Z235" i="4"/>
  <c r="Z210" i="4"/>
  <c r="AA210" i="4"/>
  <c r="AA235" i="4"/>
  <c r="AD210" i="4"/>
  <c r="AD235" i="4"/>
  <c r="AE210" i="4"/>
  <c r="AE235" i="4"/>
  <c r="BZ220" i="4"/>
  <c r="BZ195" i="4"/>
  <c r="BZ196" i="4" s="1"/>
  <c r="BZ197" i="4" s="1"/>
  <c r="BZ198" i="4" s="1"/>
  <c r="BZ199" i="4" s="1"/>
  <c r="BZ200" i="4" s="1"/>
  <c r="BZ201" i="4" s="1"/>
  <c r="BZ202" i="4" s="1"/>
  <c r="BZ203" i="4" s="1"/>
  <c r="BZ204" i="4" s="1"/>
  <c r="BZ205" i="4" s="1"/>
  <c r="BZ206" i="4" s="1"/>
  <c r="K220" i="4"/>
  <c r="K195" i="4"/>
  <c r="K196" i="4" s="1"/>
  <c r="K197" i="4" s="1"/>
  <c r="K198" i="4" s="1"/>
  <c r="K199" i="4" s="1"/>
  <c r="K200" i="4" s="1"/>
  <c r="K201" i="4" s="1"/>
  <c r="K202" i="4" s="1"/>
  <c r="K203" i="4" s="1"/>
  <c r="K204" i="4" s="1"/>
  <c r="K205" i="4" s="1"/>
  <c r="K206" i="4" s="1"/>
  <c r="AJ195" i="4"/>
  <c r="AJ196" i="4" s="1"/>
  <c r="AJ197" i="4" s="1"/>
  <c r="AJ198" i="4" s="1"/>
  <c r="AJ199" i="4" s="1"/>
  <c r="AJ200" i="4" s="1"/>
  <c r="AJ201" i="4" s="1"/>
  <c r="AJ202" i="4" s="1"/>
  <c r="AJ203" i="4" s="1"/>
  <c r="AJ204" i="4" s="1"/>
  <c r="AJ205" i="4" s="1"/>
  <c r="AJ206" i="4" s="1"/>
  <c r="AJ220" i="4"/>
  <c r="AK195" i="4"/>
  <c r="AK196" i="4" s="1"/>
  <c r="AK197" i="4" s="1"/>
  <c r="AK198" i="4" s="1"/>
  <c r="AK199" i="4" s="1"/>
  <c r="AK200" i="4" s="1"/>
  <c r="AK201" i="4" s="1"/>
  <c r="AK202" i="4" s="1"/>
  <c r="AK203" i="4" s="1"/>
  <c r="AK204" i="4" s="1"/>
  <c r="AK205" i="4" s="1"/>
  <c r="AK206" i="4" s="1"/>
  <c r="AK220" i="4"/>
  <c r="AM195" i="4"/>
  <c r="AM196" i="4" s="1"/>
  <c r="AM197" i="4" s="1"/>
  <c r="AM198" i="4" s="1"/>
  <c r="AM199" i="4" s="1"/>
  <c r="AM200" i="4" s="1"/>
  <c r="AM201" i="4" s="1"/>
  <c r="AM202" i="4" s="1"/>
  <c r="AM203" i="4" s="1"/>
  <c r="AM204" i="4" s="1"/>
  <c r="AM205" i="4" s="1"/>
  <c r="AM206" i="4" s="1"/>
  <c r="AM220" i="4"/>
  <c r="AV220" i="4"/>
  <c r="AV195" i="4"/>
  <c r="AV196" i="4" s="1"/>
  <c r="AV197" i="4" s="1"/>
  <c r="AV198" i="4" s="1"/>
  <c r="AV199" i="4" s="1"/>
  <c r="AV200" i="4" s="1"/>
  <c r="AV201" i="4" s="1"/>
  <c r="AV202" i="4" s="1"/>
  <c r="AV203" i="4" s="1"/>
  <c r="AV204" i="4" s="1"/>
  <c r="AV205" i="4" s="1"/>
  <c r="AV206" i="4" s="1"/>
  <c r="BE220" i="4"/>
  <c r="BE195" i="4"/>
  <c r="BE196" i="4" s="1"/>
  <c r="BE197" i="4" s="1"/>
  <c r="BE198" i="4" s="1"/>
  <c r="BE199" i="4" s="1"/>
  <c r="BE200" i="4" s="1"/>
  <c r="BE201" i="4" s="1"/>
  <c r="BE202" i="4" s="1"/>
  <c r="BE203" i="4" s="1"/>
  <c r="BE204" i="4" s="1"/>
  <c r="BE205" i="4" s="1"/>
  <c r="BE206" i="4" s="1"/>
  <c r="BF220" i="4"/>
  <c r="BF195" i="4"/>
  <c r="BF196" i="4" s="1"/>
  <c r="BF197" i="4" s="1"/>
  <c r="BF198" i="4" s="1"/>
  <c r="BF199" i="4" s="1"/>
  <c r="BF200" i="4" s="1"/>
  <c r="BF201" i="4" s="1"/>
  <c r="BF202" i="4" s="1"/>
  <c r="BF203" i="4" s="1"/>
  <c r="BF204" i="4" s="1"/>
  <c r="BF205" i="4" s="1"/>
  <c r="BF206" i="4" s="1"/>
  <c r="AH195" i="4"/>
  <c r="AH196" i="4" s="1"/>
  <c r="AH197" i="4" s="1"/>
  <c r="AH198" i="4" s="1"/>
  <c r="AH199" i="4" s="1"/>
  <c r="AH200" i="4" s="1"/>
  <c r="AH201" i="4" s="1"/>
  <c r="AH202" i="4" s="1"/>
  <c r="AH203" i="4" s="1"/>
  <c r="AH204" i="4" s="1"/>
  <c r="AH205" i="4" s="1"/>
  <c r="AH206" i="4" s="1"/>
  <c r="AH220" i="4"/>
  <c r="R220" i="4"/>
  <c r="R195" i="4"/>
  <c r="R196" i="4" s="1"/>
  <c r="R197" i="4" s="1"/>
  <c r="R198" i="4" s="1"/>
  <c r="R199" i="4" s="1"/>
  <c r="R200" i="4" s="1"/>
  <c r="R201" i="4" s="1"/>
  <c r="R202" i="4" s="1"/>
  <c r="R203" i="4" s="1"/>
  <c r="R204" i="4" s="1"/>
  <c r="R205" i="4" s="1"/>
  <c r="R206" i="4" s="1"/>
  <c r="AR220" i="4"/>
  <c r="AR195" i="4"/>
  <c r="AR196" i="4" s="1"/>
  <c r="AR197" i="4" s="1"/>
  <c r="AR198" i="4" s="1"/>
  <c r="AR199" i="4" s="1"/>
  <c r="AR200" i="4" s="1"/>
  <c r="AR201" i="4" s="1"/>
  <c r="AR202" i="4" s="1"/>
  <c r="AR203" i="4" s="1"/>
  <c r="AR204" i="4" s="1"/>
  <c r="AR205" i="4" s="1"/>
  <c r="AR206" i="4" s="1"/>
  <c r="AS220" i="4"/>
  <c r="AS195" i="4"/>
  <c r="AS196" i="4" s="1"/>
  <c r="AS197" i="4" s="1"/>
  <c r="AS198" i="4" s="1"/>
  <c r="AS199" i="4" s="1"/>
  <c r="AS200" i="4" s="1"/>
  <c r="AS201" i="4" s="1"/>
  <c r="AS202" i="4" s="1"/>
  <c r="AS203" i="4" s="1"/>
  <c r="AS204" i="4" s="1"/>
  <c r="AS205" i="4" s="1"/>
  <c r="AS206" i="4" s="1"/>
  <c r="AU195" i="4"/>
  <c r="AU196" i="4" s="1"/>
  <c r="AU197" i="4" s="1"/>
  <c r="AU198" i="4" s="1"/>
  <c r="AU199" i="4" s="1"/>
  <c r="AU200" i="4" s="1"/>
  <c r="AU201" i="4" s="1"/>
  <c r="AU202" i="4" s="1"/>
  <c r="AU203" i="4" s="1"/>
  <c r="AU204" i="4" s="1"/>
  <c r="AU205" i="4" s="1"/>
  <c r="AU206" i="4" s="1"/>
  <c r="AU220" i="4"/>
  <c r="BD220" i="4"/>
  <c r="BD195" i="4"/>
  <c r="BD196" i="4" s="1"/>
  <c r="BD197" i="4" s="1"/>
  <c r="BD198" i="4" s="1"/>
  <c r="BD199" i="4" s="1"/>
  <c r="BD200" i="4" s="1"/>
  <c r="BD201" i="4" s="1"/>
  <c r="BD202" i="4" s="1"/>
  <c r="BD203" i="4" s="1"/>
  <c r="BD204" i="4" s="1"/>
  <c r="BD205" i="4" s="1"/>
  <c r="BD206" i="4" s="1"/>
  <c r="BM220" i="4"/>
  <c r="BM195" i="4"/>
  <c r="BM196" i="4" s="1"/>
  <c r="BM197" i="4" s="1"/>
  <c r="BM198" i="4" s="1"/>
  <c r="BM199" i="4" s="1"/>
  <c r="BM200" i="4" s="1"/>
  <c r="BM201" i="4" s="1"/>
  <c r="BM202" i="4" s="1"/>
  <c r="BM203" i="4" s="1"/>
  <c r="BM204" i="4" s="1"/>
  <c r="BM205" i="4" s="1"/>
  <c r="BM206" i="4" s="1"/>
  <c r="FC228" i="4"/>
  <c r="FC203" i="4"/>
  <c r="FS228" i="4"/>
  <c r="FS203" i="4"/>
  <c r="BA235" i="4"/>
  <c r="BA210" i="4"/>
  <c r="CE195" i="4"/>
  <c r="CE196" i="4" s="1"/>
  <c r="CE197" i="4" s="1"/>
  <c r="CE198" i="4" s="1"/>
  <c r="CE199" i="4" s="1"/>
  <c r="CE200" i="4" s="1"/>
  <c r="CE201" i="4" s="1"/>
  <c r="CE202" i="4" s="1"/>
  <c r="CE203" i="4" s="1"/>
  <c r="CE204" i="4" s="1"/>
  <c r="CE205" i="4" s="1"/>
  <c r="CE206" i="4" s="1"/>
  <c r="CE220" i="4"/>
  <c r="FJ203" i="4"/>
  <c r="FJ228" i="4"/>
  <c r="L52" i="1"/>
  <c r="EQ228" i="4"/>
  <c r="EQ203" i="4"/>
  <c r="GO228" i="4"/>
  <c r="GO203" i="4"/>
  <c r="AO235" i="4"/>
  <c r="AO210" i="4"/>
  <c r="AS235" i="4"/>
  <c r="AS210" i="4"/>
  <c r="AZ235" i="4"/>
  <c r="AZ210" i="4"/>
  <c r="AH235" i="4"/>
  <c r="AH210" i="4"/>
  <c r="AI235" i="4"/>
  <c r="AI210" i="4"/>
  <c r="AL210" i="4"/>
  <c r="AL235" i="4"/>
  <c r="AM210" i="4"/>
  <c r="AM235" i="4"/>
  <c r="EU203" i="4"/>
  <c r="EU228" i="4"/>
  <c r="FI228" i="4"/>
  <c r="FI203" i="4"/>
  <c r="EM203" i="4"/>
  <c r="EM228" i="4"/>
  <c r="B65" i="1"/>
  <c r="B58" i="1"/>
  <c r="AV210" i="4"/>
  <c r="AV235" i="4"/>
  <c r="BD235" i="4"/>
  <c r="BD210" i="4"/>
  <c r="X235" i="4"/>
  <c r="X210" i="4"/>
  <c r="BE235" i="4"/>
  <c r="BE210" i="4"/>
  <c r="BI235" i="4"/>
  <c r="BI210" i="4"/>
  <c r="BP235" i="4"/>
  <c r="BP210" i="4"/>
  <c r="AP235" i="4"/>
  <c r="AP210" i="4"/>
  <c r="AQ210" i="4"/>
  <c r="AQ235" i="4"/>
  <c r="AT235" i="4"/>
  <c r="AT210" i="4"/>
  <c r="AU235" i="4"/>
  <c r="AU210" i="4"/>
  <c r="B74" i="1"/>
  <c r="GL161" i="4"/>
  <c r="GD161" i="4"/>
  <c r="FV161" i="4"/>
  <c r="FN161" i="4"/>
  <c r="FF161" i="4"/>
  <c r="EX161" i="4"/>
  <c r="EP161" i="4"/>
  <c r="EH161" i="4"/>
  <c r="DZ161" i="4"/>
  <c r="DR161" i="4"/>
  <c r="DJ161" i="4"/>
  <c r="DB161" i="4"/>
  <c r="CT161" i="4"/>
  <c r="CL161" i="4"/>
  <c r="CD161" i="4"/>
  <c r="BV161" i="4"/>
  <c r="BN161" i="4"/>
  <c r="BF161" i="4"/>
  <c r="AX161" i="4"/>
  <c r="AP161" i="4"/>
  <c r="AH161" i="4"/>
  <c r="Z161" i="4"/>
  <c r="R161" i="4"/>
  <c r="GK161" i="4"/>
  <c r="GC161" i="4"/>
  <c r="FU161" i="4"/>
  <c r="FM161" i="4"/>
  <c r="FE161" i="4"/>
  <c r="EW161" i="4"/>
  <c r="EO161" i="4"/>
  <c r="EG161" i="4"/>
  <c r="DY161" i="4"/>
  <c r="DQ161" i="4"/>
  <c r="DI161" i="4"/>
  <c r="DA161" i="4"/>
  <c r="CS161" i="4"/>
  <c r="CK161" i="4"/>
  <c r="CC161" i="4"/>
  <c r="BU161" i="4"/>
  <c r="BM161" i="4"/>
  <c r="BE161" i="4"/>
  <c r="AW161" i="4"/>
  <c r="AO161" i="4"/>
  <c r="AG161" i="4"/>
  <c r="Y161" i="4"/>
  <c r="Q161" i="4"/>
  <c r="GP161" i="4"/>
  <c r="GH161" i="4"/>
  <c r="FZ161" i="4"/>
  <c r="FR161" i="4"/>
  <c r="FJ161" i="4"/>
  <c r="FB161" i="4"/>
  <c r="ET161" i="4"/>
  <c r="EL161" i="4"/>
  <c r="ED161" i="4"/>
  <c r="DV161" i="4"/>
  <c r="DN161" i="4"/>
  <c r="DF161" i="4"/>
  <c r="CX161" i="4"/>
  <c r="CP161" i="4"/>
  <c r="CH161" i="4"/>
  <c r="BZ161" i="4"/>
  <c r="BR161" i="4"/>
  <c r="BJ161" i="4"/>
  <c r="BB161" i="4"/>
  <c r="AT161" i="4"/>
  <c r="AL161" i="4"/>
  <c r="AD161" i="4"/>
  <c r="V161" i="4"/>
  <c r="N161" i="4"/>
  <c r="GO161" i="4"/>
  <c r="GG161" i="4"/>
  <c r="FY161" i="4"/>
  <c r="FQ161" i="4"/>
  <c r="FI161" i="4"/>
  <c r="FA161" i="4"/>
  <c r="ES161" i="4"/>
  <c r="EK161" i="4"/>
  <c r="EC161" i="4"/>
  <c r="DU161" i="4"/>
  <c r="DM161" i="4"/>
  <c r="DE161" i="4"/>
  <c r="CW161" i="4"/>
  <c r="CO161" i="4"/>
  <c r="CG161" i="4"/>
  <c r="BY161" i="4"/>
  <c r="BQ161" i="4"/>
  <c r="BI161" i="4"/>
  <c r="BA161" i="4"/>
  <c r="AS161" i="4"/>
  <c r="AK161" i="4"/>
  <c r="AC161" i="4"/>
  <c r="U161" i="4"/>
  <c r="M161" i="4"/>
  <c r="GB161" i="4"/>
  <c r="FL161" i="4"/>
  <c r="EV161" i="4"/>
  <c r="EF161" i="4"/>
  <c r="DP161" i="4"/>
  <c r="CZ161" i="4"/>
  <c r="CJ161" i="4"/>
  <c r="BT161" i="4"/>
  <c r="BD161" i="4"/>
  <c r="AN161" i="4"/>
  <c r="X161" i="4"/>
  <c r="GA161" i="4"/>
  <c r="FK161" i="4"/>
  <c r="EU161" i="4"/>
  <c r="EE161" i="4"/>
  <c r="DO161" i="4"/>
  <c r="CY161" i="4"/>
  <c r="CI161" i="4"/>
  <c r="BS161" i="4"/>
  <c r="BC161" i="4"/>
  <c r="AM161" i="4"/>
  <c r="W161" i="4"/>
  <c r="GN161" i="4"/>
  <c r="FX161" i="4"/>
  <c r="FH161" i="4"/>
  <c r="ER161" i="4"/>
  <c r="EB161" i="4"/>
  <c r="DL161" i="4"/>
  <c r="CV161" i="4"/>
  <c r="CF161" i="4"/>
  <c r="BP161" i="4"/>
  <c r="AZ161" i="4"/>
  <c r="AJ161" i="4"/>
  <c r="T161" i="4"/>
  <c r="GJ161" i="4"/>
  <c r="FT161" i="4"/>
  <c r="FD161" i="4"/>
  <c r="EN161" i="4"/>
  <c r="DX161" i="4"/>
  <c r="DH161" i="4"/>
  <c r="CR161" i="4"/>
  <c r="CB161" i="4"/>
  <c r="BL161" i="4"/>
  <c r="AV161" i="4"/>
  <c r="AF161" i="4"/>
  <c r="P161" i="4"/>
  <c r="GI161" i="4"/>
  <c r="FS161" i="4"/>
  <c r="FC161" i="4"/>
  <c r="EM161" i="4"/>
  <c r="DW161" i="4"/>
  <c r="DG161" i="4"/>
  <c r="CQ161" i="4"/>
  <c r="CA161" i="4"/>
  <c r="BK161" i="4"/>
  <c r="AU161" i="4"/>
  <c r="AE161" i="4"/>
  <c r="O161" i="4"/>
  <c r="GF161" i="4"/>
  <c r="FP161" i="4"/>
  <c r="EZ161" i="4"/>
  <c r="EJ161" i="4"/>
  <c r="DT161" i="4"/>
  <c r="DD161" i="4"/>
  <c r="CN161" i="4"/>
  <c r="BX161" i="4"/>
  <c r="BH161" i="4"/>
  <c r="AR161" i="4"/>
  <c r="AB161" i="4"/>
  <c r="L161" i="4"/>
  <c r="FG161" i="4"/>
  <c r="CU161" i="4"/>
  <c r="AI161" i="4"/>
  <c r="EY161" i="4"/>
  <c r="CM161" i="4"/>
  <c r="AA161" i="4"/>
  <c r="EQ161" i="4"/>
  <c r="CE161" i="4"/>
  <c r="S161" i="4"/>
  <c r="EI161" i="4"/>
  <c r="BW161" i="4"/>
  <c r="K161" i="4"/>
  <c r="GE161" i="4"/>
  <c r="DS161" i="4"/>
  <c r="BG161" i="4"/>
  <c r="FO161" i="4"/>
  <c r="DC161" i="4"/>
  <c r="AQ161" i="4"/>
  <c r="GM161" i="4"/>
  <c r="FW161" i="4"/>
  <c r="EA161" i="4"/>
  <c r="DK161" i="4"/>
  <c r="BO161" i="4"/>
  <c r="AY161" i="4"/>
  <c r="AX220" i="4"/>
  <c r="AX195" i="4"/>
  <c r="AX196" i="4" s="1"/>
  <c r="AX197" i="4" s="1"/>
  <c r="AX198" i="4" s="1"/>
  <c r="AX199" i="4" s="1"/>
  <c r="AX200" i="4" s="1"/>
  <c r="AX201" i="4" s="1"/>
  <c r="AX202" i="4" s="1"/>
  <c r="AX203" i="4" s="1"/>
  <c r="AX204" i="4" s="1"/>
  <c r="AX205" i="4" s="1"/>
  <c r="AX206" i="4" s="1"/>
  <c r="BB195" i="4"/>
  <c r="BB196" i="4" s="1"/>
  <c r="BB197" i="4" s="1"/>
  <c r="BB198" i="4" s="1"/>
  <c r="BB199" i="4" s="1"/>
  <c r="BB200" i="4" s="1"/>
  <c r="BB201" i="4" s="1"/>
  <c r="BB202" i="4" s="1"/>
  <c r="BB203" i="4" s="1"/>
  <c r="BB204" i="4" s="1"/>
  <c r="BB205" i="4" s="1"/>
  <c r="BB206" i="4" s="1"/>
  <c r="BB220" i="4"/>
  <c r="AL220" i="4"/>
  <c r="AL195" i="4"/>
  <c r="AL196" i="4" s="1"/>
  <c r="AL197" i="4" s="1"/>
  <c r="AL198" i="4" s="1"/>
  <c r="AL199" i="4" s="1"/>
  <c r="AL200" i="4" s="1"/>
  <c r="AL201" i="4" s="1"/>
  <c r="AL202" i="4" s="1"/>
  <c r="AL203" i="4" s="1"/>
  <c r="AL204" i="4" s="1"/>
  <c r="AL205" i="4" s="1"/>
  <c r="AL206" i="4" s="1"/>
  <c r="S220" i="4"/>
  <c r="S195" i="4"/>
  <c r="S196" i="4" s="1"/>
  <c r="S197" i="4" s="1"/>
  <c r="S198" i="4" s="1"/>
  <c r="S199" i="4" s="1"/>
  <c r="S200" i="4" s="1"/>
  <c r="S201" i="4" s="1"/>
  <c r="S202" i="4" s="1"/>
  <c r="S203" i="4" s="1"/>
  <c r="S204" i="4" s="1"/>
  <c r="S205" i="4" s="1"/>
  <c r="S206" i="4" s="1"/>
  <c r="AZ220" i="4"/>
  <c r="AZ195" i="4"/>
  <c r="AZ196" i="4" s="1"/>
  <c r="AZ197" i="4" s="1"/>
  <c r="AZ198" i="4" s="1"/>
  <c r="AZ199" i="4" s="1"/>
  <c r="AZ200" i="4" s="1"/>
  <c r="AZ201" i="4" s="1"/>
  <c r="AZ202" i="4" s="1"/>
  <c r="AZ203" i="4" s="1"/>
  <c r="AZ204" i="4" s="1"/>
  <c r="AZ205" i="4" s="1"/>
  <c r="AZ206" i="4" s="1"/>
  <c r="BA220" i="4"/>
  <c r="BA195" i="4"/>
  <c r="BA196" i="4" s="1"/>
  <c r="BA197" i="4" s="1"/>
  <c r="BA198" i="4" s="1"/>
  <c r="BA199" i="4" s="1"/>
  <c r="BA200" i="4" s="1"/>
  <c r="BA201" i="4" s="1"/>
  <c r="BA202" i="4" s="1"/>
  <c r="BA203" i="4" s="1"/>
  <c r="BA204" i="4" s="1"/>
  <c r="BA205" i="4" s="1"/>
  <c r="BA206" i="4" s="1"/>
  <c r="BC195" i="4"/>
  <c r="BC196" i="4" s="1"/>
  <c r="BC197" i="4" s="1"/>
  <c r="BC198" i="4" s="1"/>
  <c r="BC199" i="4" s="1"/>
  <c r="BC200" i="4" s="1"/>
  <c r="BC201" i="4" s="1"/>
  <c r="BC202" i="4" s="1"/>
  <c r="BC203" i="4" s="1"/>
  <c r="BC204" i="4" s="1"/>
  <c r="BC205" i="4" s="1"/>
  <c r="BC206" i="4" s="1"/>
  <c r="BC220" i="4"/>
  <c r="BL220" i="4"/>
  <c r="BL195" i="4"/>
  <c r="BL196" i="4" s="1"/>
  <c r="BL197" i="4" s="1"/>
  <c r="BL198" i="4" s="1"/>
  <c r="BL199" i="4" s="1"/>
  <c r="BL200" i="4" s="1"/>
  <c r="BL201" i="4" s="1"/>
  <c r="BL202" i="4" s="1"/>
  <c r="BL203" i="4" s="1"/>
  <c r="BL204" i="4" s="1"/>
  <c r="BL205" i="4" s="1"/>
  <c r="BL206" i="4" s="1"/>
  <c r="BU195" i="4"/>
  <c r="BU196" i="4" s="1"/>
  <c r="BU197" i="4" s="1"/>
  <c r="BU198" i="4" s="1"/>
  <c r="BU199" i="4" s="1"/>
  <c r="BU200" i="4" s="1"/>
  <c r="BU201" i="4" s="1"/>
  <c r="BU202" i="4" s="1"/>
  <c r="BU203" i="4" s="1"/>
  <c r="BU204" i="4" s="1"/>
  <c r="BU205" i="4" s="1"/>
  <c r="BU206" i="4" s="1"/>
  <c r="BU220" i="4"/>
  <c r="GM228" i="4"/>
  <c r="GM203" i="4"/>
  <c r="EO228" i="4"/>
  <c r="EO203" i="4"/>
  <c r="EP228" i="4"/>
  <c r="EP203" i="4"/>
  <c r="EV228" i="4"/>
  <c r="EV203" i="4"/>
  <c r="AF210" i="4"/>
  <c r="AF235" i="4"/>
  <c r="BS235" i="4"/>
  <c r="BS210" i="4"/>
  <c r="L220" i="4"/>
  <c r="L195" i="4"/>
  <c r="L196" i="4" s="1"/>
  <c r="L197" i="4" s="1"/>
  <c r="L198" i="4" s="1"/>
  <c r="L199" i="4" s="1"/>
  <c r="L200" i="4" s="1"/>
  <c r="L201" i="4" s="1"/>
  <c r="L202" i="4" s="1"/>
  <c r="L203" i="4" s="1"/>
  <c r="L204" i="4" s="1"/>
  <c r="L205" i="4" s="1"/>
  <c r="L206" i="4" s="1"/>
  <c r="X220" i="4"/>
  <c r="X195" i="4"/>
  <c r="X196" i="4" s="1"/>
  <c r="X197" i="4" s="1"/>
  <c r="X198" i="4" s="1"/>
  <c r="X199" i="4" s="1"/>
  <c r="X200" i="4" s="1"/>
  <c r="X201" i="4" s="1"/>
  <c r="X202" i="4" s="1"/>
  <c r="X203" i="4" s="1"/>
  <c r="X204" i="4" s="1"/>
  <c r="X205" i="4" s="1"/>
  <c r="X206" i="4" s="1"/>
  <c r="DS203" i="4"/>
  <c r="DS228" i="4"/>
  <c r="FN228" i="4"/>
  <c r="FN203" i="4"/>
  <c r="GH228" i="4"/>
  <c r="GH203" i="4"/>
  <c r="EW228" i="4"/>
  <c r="EW203" i="4"/>
  <c r="B44" i="1"/>
  <c r="B52" i="1"/>
  <c r="B47" i="1"/>
  <c r="B70" i="1"/>
  <c r="DW228" i="4"/>
  <c r="DW203" i="4"/>
  <c r="DT228" i="4"/>
  <c r="DT203" i="4"/>
  <c r="FA228" i="4"/>
  <c r="FA203" i="4"/>
  <c r="ET228" i="4"/>
  <c r="ET203" i="4"/>
  <c r="FO228" i="4"/>
  <c r="FO203" i="4"/>
  <c r="DY228" i="4"/>
  <c r="DY203" i="4"/>
  <c r="FY228" i="4"/>
  <c r="FY203" i="4"/>
  <c r="EG203" i="4"/>
  <c r="EG228" i="4"/>
  <c r="L110" i="4"/>
  <c r="K127" i="4"/>
  <c r="FD228" i="4"/>
  <c r="FD203" i="4"/>
  <c r="GG228" i="4"/>
  <c r="GG203" i="4"/>
  <c r="FM228" i="4"/>
  <c r="FM203" i="4"/>
  <c r="FU203" i="4"/>
  <c r="FU228" i="4"/>
  <c r="EA203" i="4"/>
  <c r="EA228" i="4"/>
  <c r="GC228" i="4"/>
  <c r="GC203" i="4"/>
  <c r="EX228" i="4"/>
  <c r="EX203" i="4"/>
  <c r="GK228" i="4"/>
  <c r="GK203" i="4"/>
  <c r="FR203" i="4"/>
  <c r="FR228" i="4"/>
  <c r="GP228" i="4"/>
  <c r="GP203" i="4"/>
  <c r="EE203" i="4"/>
  <c r="EE228" i="4"/>
  <c r="FF228" i="4"/>
  <c r="FF203" i="4"/>
  <c r="B50" i="1"/>
  <c r="B56" i="1"/>
  <c r="BL235" i="4"/>
  <c r="BL210" i="4"/>
  <c r="CJ235" i="4"/>
  <c r="CJ210" i="4"/>
  <c r="BU210" i="4"/>
  <c r="BU235" i="4"/>
  <c r="L235" i="4"/>
  <c r="L210" i="4"/>
  <c r="BY210" i="4"/>
  <c r="BY235" i="4"/>
  <c r="Q235" i="4"/>
  <c r="Q210" i="4"/>
  <c r="CF235" i="4"/>
  <c r="CF210" i="4"/>
  <c r="U235" i="4"/>
  <c r="U210" i="4"/>
  <c r="AX235" i="4"/>
  <c r="AX210" i="4"/>
  <c r="AY235" i="4"/>
  <c r="AY210" i="4"/>
  <c r="BB210" i="4"/>
  <c r="BB235" i="4"/>
  <c r="BC235" i="4"/>
  <c r="BC210" i="4"/>
  <c r="B62" i="1"/>
  <c r="D134" i="4"/>
  <c r="D119" i="4"/>
  <c r="B61" i="1"/>
  <c r="N195" i="4"/>
  <c r="N196" i="4" s="1"/>
  <c r="N197" i="4" s="1"/>
  <c r="N198" i="4" s="1"/>
  <c r="N199" i="4" s="1"/>
  <c r="N200" i="4" s="1"/>
  <c r="N201" i="4" s="1"/>
  <c r="N202" i="4" s="1"/>
  <c r="N203" i="4" s="1"/>
  <c r="N204" i="4" s="1"/>
  <c r="N205" i="4" s="1"/>
  <c r="N206" i="4" s="1"/>
  <c r="N220" i="4"/>
  <c r="AD220" i="4"/>
  <c r="AD195" i="4"/>
  <c r="AD196" i="4" s="1"/>
  <c r="AD197" i="4" s="1"/>
  <c r="AD198" i="4" s="1"/>
  <c r="AD199" i="4" s="1"/>
  <c r="AD200" i="4" s="1"/>
  <c r="AD201" i="4" s="1"/>
  <c r="AD202" i="4" s="1"/>
  <c r="AD203" i="4" s="1"/>
  <c r="AD204" i="4" s="1"/>
  <c r="AD205" i="4" s="1"/>
  <c r="AD206" i="4" s="1"/>
  <c r="BW220" i="4"/>
  <c r="BW195" i="4"/>
  <c r="BW196" i="4" s="1"/>
  <c r="BW197" i="4" s="1"/>
  <c r="BW198" i="4" s="1"/>
  <c r="BW199" i="4" s="1"/>
  <c r="BW200" i="4" s="1"/>
  <c r="BW201" i="4" s="1"/>
  <c r="BW202" i="4" s="1"/>
  <c r="BW203" i="4" s="1"/>
  <c r="BW204" i="4" s="1"/>
  <c r="BW205" i="4" s="1"/>
  <c r="BW206" i="4" s="1"/>
  <c r="BG195" i="4"/>
  <c r="BG196" i="4" s="1"/>
  <c r="BG197" i="4" s="1"/>
  <c r="BG198" i="4" s="1"/>
  <c r="BG199" i="4" s="1"/>
  <c r="BG200" i="4" s="1"/>
  <c r="BG201" i="4" s="1"/>
  <c r="BG202" i="4" s="1"/>
  <c r="BG203" i="4" s="1"/>
  <c r="BG204" i="4" s="1"/>
  <c r="BG205" i="4" s="1"/>
  <c r="BG206" i="4" s="1"/>
  <c r="BG220" i="4"/>
  <c r="AP220" i="4"/>
  <c r="AP195" i="4"/>
  <c r="AP196" i="4" s="1"/>
  <c r="AP197" i="4" s="1"/>
  <c r="AP198" i="4" s="1"/>
  <c r="AP199" i="4" s="1"/>
  <c r="AP200" i="4" s="1"/>
  <c r="AP201" i="4" s="1"/>
  <c r="AP202" i="4" s="1"/>
  <c r="AP203" i="4" s="1"/>
  <c r="AP204" i="4" s="1"/>
  <c r="AP205" i="4" s="1"/>
  <c r="AP206" i="4" s="1"/>
  <c r="V195" i="4"/>
  <c r="V196" i="4" s="1"/>
  <c r="V197" i="4" s="1"/>
  <c r="V198" i="4" s="1"/>
  <c r="V199" i="4" s="1"/>
  <c r="V200" i="4" s="1"/>
  <c r="V201" i="4" s="1"/>
  <c r="V202" i="4" s="1"/>
  <c r="V203" i="4" s="1"/>
  <c r="V204" i="4" s="1"/>
  <c r="V205" i="4" s="1"/>
  <c r="V206" i="4" s="1"/>
  <c r="V220" i="4"/>
  <c r="BH220" i="4"/>
  <c r="BH195" i="4"/>
  <c r="BH196" i="4" s="1"/>
  <c r="BH197" i="4" s="1"/>
  <c r="BH198" i="4" s="1"/>
  <c r="BH199" i="4" s="1"/>
  <c r="BH200" i="4" s="1"/>
  <c r="BH201" i="4" s="1"/>
  <c r="BH202" i="4" s="1"/>
  <c r="BH203" i="4" s="1"/>
  <c r="BH204" i="4" s="1"/>
  <c r="BH205" i="4" s="1"/>
  <c r="BH206" i="4" s="1"/>
  <c r="BI220" i="4"/>
  <c r="BI195" i="4"/>
  <c r="BI196" i="4" s="1"/>
  <c r="BI197" i="4" s="1"/>
  <c r="BI198" i="4" s="1"/>
  <c r="BI199" i="4" s="1"/>
  <c r="BI200" i="4" s="1"/>
  <c r="BI201" i="4" s="1"/>
  <c r="BI202" i="4" s="1"/>
  <c r="BI203" i="4" s="1"/>
  <c r="BI204" i="4" s="1"/>
  <c r="BI205" i="4" s="1"/>
  <c r="BI206" i="4" s="1"/>
  <c r="BK195" i="4"/>
  <c r="BK196" i="4" s="1"/>
  <c r="BK197" i="4" s="1"/>
  <c r="BK198" i="4" s="1"/>
  <c r="BK199" i="4" s="1"/>
  <c r="BK200" i="4" s="1"/>
  <c r="BK201" i="4" s="1"/>
  <c r="BK202" i="4" s="1"/>
  <c r="BK203" i="4" s="1"/>
  <c r="BK204" i="4" s="1"/>
  <c r="BK205" i="4" s="1"/>
  <c r="BK206" i="4" s="1"/>
  <c r="BK220" i="4"/>
  <c r="BT195" i="4"/>
  <c r="BT196" i="4" s="1"/>
  <c r="BT197" i="4" s="1"/>
  <c r="BT198" i="4" s="1"/>
  <c r="BT199" i="4" s="1"/>
  <c r="BT200" i="4" s="1"/>
  <c r="BT201" i="4" s="1"/>
  <c r="BT202" i="4" s="1"/>
  <c r="BT203" i="4" s="1"/>
  <c r="BT204" i="4" s="1"/>
  <c r="BT205" i="4" s="1"/>
  <c r="BT206" i="4" s="1"/>
  <c r="BT220" i="4"/>
  <c r="Q195" i="4"/>
  <c r="Q196" i="4" s="1"/>
  <c r="Q197" i="4" s="1"/>
  <c r="Q198" i="4" s="1"/>
  <c r="Q199" i="4" s="1"/>
  <c r="Q200" i="4" s="1"/>
  <c r="Q201" i="4" s="1"/>
  <c r="Q202" i="4" s="1"/>
  <c r="Q203" i="4" s="1"/>
  <c r="Q204" i="4" s="1"/>
  <c r="Q205" i="4" s="1"/>
  <c r="Q206" i="4" s="1"/>
  <c r="Q220" i="4"/>
  <c r="CC220" i="4"/>
  <c r="CC195" i="4"/>
  <c r="CC196" i="4" s="1"/>
  <c r="CC197" i="4" s="1"/>
  <c r="CC198" i="4" s="1"/>
  <c r="CC199" i="4" s="1"/>
  <c r="CC200" i="4" s="1"/>
  <c r="CC201" i="4" s="1"/>
  <c r="CC202" i="4" s="1"/>
  <c r="CC203" i="4" s="1"/>
  <c r="CC204" i="4" s="1"/>
  <c r="CC205" i="4" s="1"/>
  <c r="CC206" i="4" s="1"/>
  <c r="B59" i="1"/>
  <c r="FK228" i="4"/>
  <c r="FK203" i="4"/>
  <c r="EB228" i="4"/>
  <c r="EB203" i="4"/>
  <c r="BN220" i="4"/>
  <c r="BN195" i="4"/>
  <c r="BN196" i="4" s="1"/>
  <c r="BN197" i="4" s="1"/>
  <c r="BN198" i="4" s="1"/>
  <c r="BN199" i="4" s="1"/>
  <c r="BN200" i="4" s="1"/>
  <c r="BN201" i="4" s="1"/>
  <c r="BN202" i="4" s="1"/>
  <c r="BN203" i="4" s="1"/>
  <c r="BN204" i="4" s="1"/>
  <c r="BN205" i="4" s="1"/>
  <c r="BN206" i="4" s="1"/>
  <c r="M220" i="4"/>
  <c r="M195" i="4"/>
  <c r="M196" i="4" s="1"/>
  <c r="M197" i="4" s="1"/>
  <c r="M198" i="4" s="1"/>
  <c r="M199" i="4" s="1"/>
  <c r="M200" i="4" s="1"/>
  <c r="M201" i="4" s="1"/>
  <c r="M202" i="4" s="1"/>
  <c r="M203" i="4" s="1"/>
  <c r="M204" i="4" s="1"/>
  <c r="M205" i="4" s="1"/>
  <c r="M206" i="4" s="1"/>
  <c r="CA220" i="4"/>
  <c r="CA195" i="4"/>
  <c r="CA196" i="4" s="1"/>
  <c r="CA197" i="4" s="1"/>
  <c r="CA198" i="4" s="1"/>
  <c r="CA199" i="4" s="1"/>
  <c r="CA200" i="4" s="1"/>
  <c r="CA201" i="4" s="1"/>
  <c r="CA202" i="4" s="1"/>
  <c r="CA203" i="4" s="1"/>
  <c r="CA204" i="4" s="1"/>
  <c r="CA205" i="4" s="1"/>
  <c r="CA206" i="4" s="1"/>
  <c r="GN203" i="4"/>
  <c r="GN228" i="4"/>
  <c r="GN154" i="4"/>
  <c r="EB154" i="4"/>
  <c r="BP154" i="4"/>
  <c r="GM154" i="4"/>
  <c r="EA154" i="4"/>
  <c r="BO154" i="4"/>
  <c r="GL154" i="4"/>
  <c r="DZ154" i="4"/>
  <c r="BN154" i="4"/>
  <c r="GB154" i="4"/>
  <c r="DP154" i="4"/>
  <c r="BD154" i="4"/>
  <c r="FS154" i="4"/>
  <c r="DG154" i="4"/>
  <c r="AU154" i="4"/>
  <c r="DM154" i="4"/>
  <c r="ED154" i="4"/>
  <c r="EW154" i="4"/>
  <c r="FQ154" i="4"/>
  <c r="GG154" i="4"/>
  <c r="Q154" i="4"/>
  <c r="AG154" i="4"/>
  <c r="AO154" i="4"/>
  <c r="N154" i="4"/>
  <c r="GF154" i="4"/>
  <c r="DT154" i="4"/>
  <c r="BH154" i="4"/>
  <c r="GE154" i="4"/>
  <c r="DS154" i="4"/>
  <c r="BG154" i="4"/>
  <c r="GD154" i="4"/>
  <c r="DR154" i="4"/>
  <c r="BF154" i="4"/>
  <c r="FT154" i="4"/>
  <c r="DH154" i="4"/>
  <c r="AV154" i="4"/>
  <c r="FK154" i="4"/>
  <c r="CY154" i="4"/>
  <c r="AM154" i="4"/>
  <c r="CP154" i="4"/>
  <c r="DI154" i="4"/>
  <c r="EC154" i="4"/>
  <c r="ET154" i="4"/>
  <c r="FJ154" i="4"/>
  <c r="FZ154" i="4"/>
  <c r="M154" i="4"/>
  <c r="DQ154" i="4"/>
  <c r="FI154" i="4"/>
  <c r="FP154" i="4"/>
  <c r="DD154" i="4"/>
  <c r="AR154" i="4"/>
  <c r="FO154" i="4"/>
  <c r="DC154" i="4"/>
  <c r="AQ154" i="4"/>
  <c r="FN154" i="4"/>
  <c r="DB154" i="4"/>
  <c r="AP154" i="4"/>
  <c r="FD154" i="4"/>
  <c r="CR154" i="4"/>
  <c r="AF154" i="4"/>
  <c r="EU154" i="4"/>
  <c r="CI154" i="4"/>
  <c r="W154" i="4"/>
  <c r="BA154" i="4"/>
  <c r="BR154" i="4"/>
  <c r="CK154" i="4"/>
  <c r="DE154" i="4"/>
  <c r="DU154" i="4"/>
  <c r="EK154" i="4"/>
  <c r="BJ154" i="4"/>
  <c r="GH154" i="4"/>
  <c r="CG154" i="4"/>
  <c r="FH154" i="4"/>
  <c r="CV154" i="4"/>
  <c r="AJ154" i="4"/>
  <c r="FG154" i="4"/>
  <c r="CU154" i="4"/>
  <c r="AI154" i="4"/>
  <c r="FF154" i="4"/>
  <c r="CT154" i="4"/>
  <c r="AH154" i="4"/>
  <c r="EV154" i="4"/>
  <c r="CJ154" i="4"/>
  <c r="X154" i="4"/>
  <c r="EM154" i="4"/>
  <c r="CA154" i="4"/>
  <c r="O154" i="4"/>
  <c r="AD154" i="4"/>
  <c r="AW154" i="4"/>
  <c r="BQ154" i="4"/>
  <c r="CH154" i="4"/>
  <c r="CX154" i="4"/>
  <c r="DN154" i="4"/>
  <c r="EL154" i="4"/>
  <c r="DA154" i="4"/>
  <c r="EZ154" i="4"/>
  <c r="CN154" i="4"/>
  <c r="AB154" i="4"/>
  <c r="EY154" i="4"/>
  <c r="CM154" i="4"/>
  <c r="AA154" i="4"/>
  <c r="EX154" i="4"/>
  <c r="CL154" i="4"/>
  <c r="Z154" i="4"/>
  <c r="EN154" i="4"/>
  <c r="CB154" i="4"/>
  <c r="P154" i="4"/>
  <c r="EE154" i="4"/>
  <c r="BS154" i="4"/>
  <c r="FY154" i="4"/>
  <c r="GP154" i="4"/>
  <c r="AC154" i="4"/>
  <c r="AT154" i="4"/>
  <c r="BM154" i="4"/>
  <c r="CC154" i="4"/>
  <c r="CS154" i="4"/>
  <c r="BE154" i="4"/>
  <c r="U154" i="4"/>
  <c r="ER154" i="4"/>
  <c r="CF154" i="4"/>
  <c r="T154" i="4"/>
  <c r="EQ154" i="4"/>
  <c r="CE154" i="4"/>
  <c r="S154" i="4"/>
  <c r="EP154" i="4"/>
  <c r="CD154" i="4"/>
  <c r="R154" i="4"/>
  <c r="EF154" i="4"/>
  <c r="BT154" i="4"/>
  <c r="GI154" i="4"/>
  <c r="DW154" i="4"/>
  <c r="BK154" i="4"/>
  <c r="FB154" i="4"/>
  <c r="FU154" i="4"/>
  <c r="GO154" i="4"/>
  <c r="Y154" i="4"/>
  <c r="AS154" i="4"/>
  <c r="BI154" i="4"/>
  <c r="BY154" i="4"/>
  <c r="BZ154" i="4"/>
  <c r="GC154" i="4"/>
  <c r="EJ154" i="4"/>
  <c r="BW154" i="4"/>
  <c r="GJ154" i="4"/>
  <c r="DO154" i="4"/>
  <c r="FR154" i="4"/>
  <c r="BB154" i="4"/>
  <c r="DL154" i="4"/>
  <c r="AY154" i="4"/>
  <c r="FL154" i="4"/>
  <c r="CQ154" i="4"/>
  <c r="DF154" i="4"/>
  <c r="ES154" i="4"/>
  <c r="BX154" i="4"/>
  <c r="K154" i="4"/>
  <c r="DX154" i="4"/>
  <c r="BC154" i="4"/>
  <c r="GK154" i="4"/>
  <c r="DV154" i="4"/>
  <c r="AZ154" i="4"/>
  <c r="FV154" i="4"/>
  <c r="CZ154" i="4"/>
  <c r="AE154" i="4"/>
  <c r="DY154" i="4"/>
  <c r="AK154" i="4"/>
  <c r="L154" i="4"/>
  <c r="EH154" i="4"/>
  <c r="BL154" i="4"/>
  <c r="EG154" i="4"/>
  <c r="V154" i="4"/>
  <c r="CW154" i="4"/>
  <c r="FX154" i="4"/>
  <c r="FC154" i="4"/>
  <c r="FW154" i="4"/>
  <c r="DJ154" i="4"/>
  <c r="AN154" i="4"/>
  <c r="BU154" i="4"/>
  <c r="EO154" i="4"/>
  <c r="FM154" i="4"/>
  <c r="AX154" i="4"/>
  <c r="FE154" i="4"/>
  <c r="EI154" i="4"/>
  <c r="BV154" i="4"/>
  <c r="GA154" i="4"/>
  <c r="FA154" i="4"/>
  <c r="AL154" i="4"/>
  <c r="DK154" i="4"/>
  <c r="CO154" i="4"/>
  <c r="DZ203" i="4"/>
  <c r="DZ228" i="4"/>
  <c r="DQ228" i="4"/>
  <c r="DQ203" i="4"/>
  <c r="FQ203" i="4"/>
  <c r="FQ228" i="4"/>
  <c r="GL203" i="4"/>
  <c r="GL228" i="4"/>
  <c r="B71" i="1"/>
  <c r="GF228" i="4"/>
  <c r="GF203" i="4"/>
  <c r="GE203" i="4"/>
  <c r="GE228" i="4"/>
  <c r="ED228" i="4"/>
  <c r="ED203" i="4"/>
  <c r="FZ203" i="4"/>
  <c r="FZ228" i="4"/>
  <c r="EY203" i="4"/>
  <c r="EY228" i="4"/>
  <c r="EH228" i="4"/>
  <c r="EH203" i="4"/>
  <c r="EJ203" i="4"/>
  <c r="EJ228" i="4"/>
  <c r="B51" i="1"/>
  <c r="B53" i="1"/>
  <c r="AB210" i="4"/>
  <c r="AB235" i="4"/>
  <c r="AG210" i="4"/>
  <c r="AG235" i="4"/>
  <c r="AK210" i="4"/>
  <c r="AK235" i="4"/>
  <c r="BF235" i="4"/>
  <c r="BF210" i="4"/>
  <c r="BG210" i="4"/>
  <c r="BG235" i="4"/>
  <c r="BJ210" i="4"/>
  <c r="BJ235" i="4"/>
  <c r="BK235" i="4"/>
  <c r="BK210" i="4"/>
  <c r="B55" i="1"/>
  <c r="GN146" i="4"/>
  <c r="GF146" i="4"/>
  <c r="FX146" i="4"/>
  <c r="FP146" i="4"/>
  <c r="FH146" i="4"/>
  <c r="EZ146" i="4"/>
  <c r="ER146" i="4"/>
  <c r="EJ146" i="4"/>
  <c r="EB146" i="4"/>
  <c r="DT146" i="4"/>
  <c r="DL146" i="4"/>
  <c r="DD146" i="4"/>
  <c r="CV146" i="4"/>
  <c r="CN146" i="4"/>
  <c r="CF146" i="4"/>
  <c r="BX146" i="4"/>
  <c r="BP146" i="4"/>
  <c r="BH146" i="4"/>
  <c r="AZ146" i="4"/>
  <c r="AR146" i="4"/>
  <c r="AJ146" i="4"/>
  <c r="AB146" i="4"/>
  <c r="T146" i="4"/>
  <c r="L146" i="4"/>
  <c r="GM146" i="4"/>
  <c r="GE146" i="4"/>
  <c r="FW146" i="4"/>
  <c r="FO146" i="4"/>
  <c r="FG146" i="4"/>
  <c r="EY146" i="4"/>
  <c r="EQ146" i="4"/>
  <c r="EI146" i="4"/>
  <c r="EA146" i="4"/>
  <c r="DS146" i="4"/>
  <c r="DK146" i="4"/>
  <c r="DC146" i="4"/>
  <c r="CU146" i="4"/>
  <c r="CM146" i="4"/>
  <c r="CE146" i="4"/>
  <c r="BW146" i="4"/>
  <c r="BO146" i="4"/>
  <c r="BG146" i="4"/>
  <c r="AY146" i="4"/>
  <c r="AQ146" i="4"/>
  <c r="AI146" i="4"/>
  <c r="AA146" i="4"/>
  <c r="S146" i="4"/>
  <c r="K146" i="4"/>
  <c r="GL146" i="4"/>
  <c r="GD146" i="4"/>
  <c r="FV146" i="4"/>
  <c r="FN146" i="4"/>
  <c r="FF146" i="4"/>
  <c r="EX146" i="4"/>
  <c r="EP146" i="4"/>
  <c r="EH146" i="4"/>
  <c r="DZ146" i="4"/>
  <c r="DR146" i="4"/>
  <c r="DJ146" i="4"/>
  <c r="DB146" i="4"/>
  <c r="CT146" i="4"/>
  <c r="CL146" i="4"/>
  <c r="CD146" i="4"/>
  <c r="BV146" i="4"/>
  <c r="BN146" i="4"/>
  <c r="BF146" i="4"/>
  <c r="AX146" i="4"/>
  <c r="AP146" i="4"/>
  <c r="AH146" i="4"/>
  <c r="Z146" i="4"/>
  <c r="R146" i="4"/>
  <c r="GJ146" i="4"/>
  <c r="GB146" i="4"/>
  <c r="FT146" i="4"/>
  <c r="FL146" i="4"/>
  <c r="FD146" i="4"/>
  <c r="EV146" i="4"/>
  <c r="EN146" i="4"/>
  <c r="EF146" i="4"/>
  <c r="DX146" i="4"/>
  <c r="DP146" i="4"/>
  <c r="DH146" i="4"/>
  <c r="CZ146" i="4"/>
  <c r="CR146" i="4"/>
  <c r="CJ146" i="4"/>
  <c r="CB146" i="4"/>
  <c r="BT146" i="4"/>
  <c r="BL146" i="4"/>
  <c r="BD146" i="4"/>
  <c r="AV146" i="4"/>
  <c r="AN146" i="4"/>
  <c r="AF146" i="4"/>
  <c r="X146" i="4"/>
  <c r="P146" i="4"/>
  <c r="GI146" i="4"/>
  <c r="GA146" i="4"/>
  <c r="FS146" i="4"/>
  <c r="FK146" i="4"/>
  <c r="FC146" i="4"/>
  <c r="EU146" i="4"/>
  <c r="EM146" i="4"/>
  <c r="EE146" i="4"/>
  <c r="DW146" i="4"/>
  <c r="DO146" i="4"/>
  <c r="DG146" i="4"/>
  <c r="CY146" i="4"/>
  <c r="CQ146" i="4"/>
  <c r="CI146" i="4"/>
  <c r="CA146" i="4"/>
  <c r="BS146" i="4"/>
  <c r="BK146" i="4"/>
  <c r="BC146" i="4"/>
  <c r="AU146" i="4"/>
  <c r="AM146" i="4"/>
  <c r="AE146" i="4"/>
  <c r="W146" i="4"/>
  <c r="O146" i="4"/>
  <c r="GP146" i="4"/>
  <c r="FU146" i="4"/>
  <c r="FA146" i="4"/>
  <c r="ED146" i="4"/>
  <c r="DI146" i="4"/>
  <c r="CO146" i="4"/>
  <c r="BR146" i="4"/>
  <c r="AW146" i="4"/>
  <c r="AC146" i="4"/>
  <c r="GO146" i="4"/>
  <c r="FR146" i="4"/>
  <c r="EW146" i="4"/>
  <c r="EC146" i="4"/>
  <c r="DF146" i="4"/>
  <c r="CK146" i="4"/>
  <c r="BQ146" i="4"/>
  <c r="AT146" i="4"/>
  <c r="Y146" i="4"/>
  <c r="GK146" i="4"/>
  <c r="FQ146" i="4"/>
  <c r="ET146" i="4"/>
  <c r="DY146" i="4"/>
  <c r="DE146" i="4"/>
  <c r="CH146" i="4"/>
  <c r="BM146" i="4"/>
  <c r="AS146" i="4"/>
  <c r="V146" i="4"/>
  <c r="GH146" i="4"/>
  <c r="FM146" i="4"/>
  <c r="ES146" i="4"/>
  <c r="DV146" i="4"/>
  <c r="DA146" i="4"/>
  <c r="CG146" i="4"/>
  <c r="BJ146" i="4"/>
  <c r="AO146" i="4"/>
  <c r="U146" i="4"/>
  <c r="GC146" i="4"/>
  <c r="FI146" i="4"/>
  <c r="EL146" i="4"/>
  <c r="DQ146" i="4"/>
  <c r="CW146" i="4"/>
  <c r="BZ146" i="4"/>
  <c r="BE146" i="4"/>
  <c r="AK146" i="4"/>
  <c r="N146" i="4"/>
  <c r="EO146" i="4"/>
  <c r="CP146" i="4"/>
  <c r="AG146" i="4"/>
  <c r="EK146" i="4"/>
  <c r="CC146" i="4"/>
  <c r="AD146" i="4"/>
  <c r="GG146" i="4"/>
  <c r="EG146" i="4"/>
  <c r="BY146" i="4"/>
  <c r="Q146" i="4"/>
  <c r="CS146" i="4"/>
  <c r="AL146" i="4"/>
  <c r="FZ146" i="4"/>
  <c r="DU146" i="4"/>
  <c r="BU146" i="4"/>
  <c r="M146" i="4"/>
  <c r="FY146" i="4"/>
  <c r="DN146" i="4"/>
  <c r="BI146" i="4"/>
  <c r="FJ146" i="4"/>
  <c r="DM146" i="4"/>
  <c r="BB146" i="4"/>
  <c r="FB146" i="4"/>
  <c r="FE146" i="4"/>
  <c r="CX146" i="4"/>
  <c r="BA146" i="4"/>
  <c r="BV195" i="4"/>
  <c r="BV196" i="4" s="1"/>
  <c r="BV197" i="4" s="1"/>
  <c r="BV198" i="4" s="1"/>
  <c r="BV199" i="4" s="1"/>
  <c r="BV200" i="4" s="1"/>
  <c r="BV201" i="4" s="1"/>
  <c r="BV202" i="4" s="1"/>
  <c r="BV203" i="4" s="1"/>
  <c r="BV204" i="4" s="1"/>
  <c r="BV205" i="4" s="1"/>
  <c r="BV206" i="4" s="1"/>
  <c r="BV220" i="4"/>
  <c r="CD195" i="4"/>
  <c r="CD196" i="4" s="1"/>
  <c r="CD197" i="4" s="1"/>
  <c r="CD198" i="4" s="1"/>
  <c r="CD199" i="4" s="1"/>
  <c r="CD200" i="4" s="1"/>
  <c r="CD201" i="4" s="1"/>
  <c r="CD202" i="4" s="1"/>
  <c r="CD203" i="4" s="1"/>
  <c r="CD204" i="4" s="1"/>
  <c r="CD205" i="4" s="1"/>
  <c r="CD206" i="4" s="1"/>
  <c r="CD220" i="4"/>
  <c r="BJ220" i="4"/>
  <c r="BJ195" i="4"/>
  <c r="BJ196" i="4" s="1"/>
  <c r="BJ197" i="4" s="1"/>
  <c r="BJ198" i="4" s="1"/>
  <c r="BJ199" i="4" s="1"/>
  <c r="BJ200" i="4" s="1"/>
  <c r="BJ201" i="4" s="1"/>
  <c r="BJ202" i="4" s="1"/>
  <c r="BJ203" i="4" s="1"/>
  <c r="BJ204" i="4" s="1"/>
  <c r="BJ205" i="4" s="1"/>
  <c r="BJ206" i="4" s="1"/>
  <c r="AQ220" i="4"/>
  <c r="AQ195" i="4"/>
  <c r="AQ196" i="4" s="1"/>
  <c r="AQ197" i="4" s="1"/>
  <c r="AQ198" i="4" s="1"/>
  <c r="AQ199" i="4" s="1"/>
  <c r="AQ200" i="4" s="1"/>
  <c r="AQ201" i="4" s="1"/>
  <c r="AQ202" i="4" s="1"/>
  <c r="AQ203" i="4" s="1"/>
  <c r="AQ204" i="4" s="1"/>
  <c r="AQ205" i="4" s="1"/>
  <c r="AQ206" i="4" s="1"/>
  <c r="Z195" i="4"/>
  <c r="Z196" i="4" s="1"/>
  <c r="Z197" i="4" s="1"/>
  <c r="Z198" i="4" s="1"/>
  <c r="Z199" i="4" s="1"/>
  <c r="Z200" i="4" s="1"/>
  <c r="Z201" i="4" s="1"/>
  <c r="Z202" i="4" s="1"/>
  <c r="Z203" i="4" s="1"/>
  <c r="Z204" i="4" s="1"/>
  <c r="Z205" i="4" s="1"/>
  <c r="Z206" i="4" s="1"/>
  <c r="Z220" i="4"/>
  <c r="BP220" i="4"/>
  <c r="BP195" i="4"/>
  <c r="BP196" i="4" s="1"/>
  <c r="BP197" i="4" s="1"/>
  <c r="BP198" i="4" s="1"/>
  <c r="BP199" i="4" s="1"/>
  <c r="BP200" i="4" s="1"/>
  <c r="BP201" i="4" s="1"/>
  <c r="BP202" i="4" s="1"/>
  <c r="BP203" i="4" s="1"/>
  <c r="BP204" i="4" s="1"/>
  <c r="BP205" i="4" s="1"/>
  <c r="BP206" i="4" s="1"/>
  <c r="BQ220" i="4"/>
  <c r="BQ195" i="4"/>
  <c r="BQ196" i="4" s="1"/>
  <c r="BQ197" i="4" s="1"/>
  <c r="BQ198" i="4" s="1"/>
  <c r="BQ199" i="4" s="1"/>
  <c r="BQ200" i="4" s="1"/>
  <c r="BQ201" i="4" s="1"/>
  <c r="BQ202" i="4" s="1"/>
  <c r="BQ203" i="4" s="1"/>
  <c r="BQ204" i="4" s="1"/>
  <c r="BQ205" i="4" s="1"/>
  <c r="BQ206" i="4" s="1"/>
  <c r="BS220" i="4"/>
  <c r="BS195" i="4"/>
  <c r="BS196" i="4" s="1"/>
  <c r="BS197" i="4" s="1"/>
  <c r="BS198" i="4" s="1"/>
  <c r="BS199" i="4" s="1"/>
  <c r="BS200" i="4" s="1"/>
  <c r="BS201" i="4" s="1"/>
  <c r="BS202" i="4" s="1"/>
  <c r="BS203" i="4" s="1"/>
  <c r="BS204" i="4" s="1"/>
  <c r="BS205" i="4" s="1"/>
  <c r="BS206" i="4" s="1"/>
  <c r="P195" i="4"/>
  <c r="P196" i="4" s="1"/>
  <c r="P197" i="4" s="1"/>
  <c r="P198" i="4" s="1"/>
  <c r="P199" i="4" s="1"/>
  <c r="P200" i="4" s="1"/>
  <c r="P201" i="4" s="1"/>
  <c r="P202" i="4" s="1"/>
  <c r="P203" i="4" s="1"/>
  <c r="P204" i="4" s="1"/>
  <c r="P205" i="4" s="1"/>
  <c r="P206" i="4" s="1"/>
  <c r="P220" i="4"/>
  <c r="CB220" i="4"/>
  <c r="CB195" i="4"/>
  <c r="CB196" i="4" s="1"/>
  <c r="CB197" i="4" s="1"/>
  <c r="CB198" i="4" s="1"/>
  <c r="CB199" i="4" s="1"/>
  <c r="CB200" i="4" s="1"/>
  <c r="CB201" i="4" s="1"/>
  <c r="CB202" i="4" s="1"/>
  <c r="CB203" i="4" s="1"/>
  <c r="CB204" i="4" s="1"/>
  <c r="CB205" i="4" s="1"/>
  <c r="CB206" i="4" s="1"/>
  <c r="Y220" i="4"/>
  <c r="Y195" i="4"/>
  <c r="Y196" i="4" s="1"/>
  <c r="Y197" i="4" s="1"/>
  <c r="Y198" i="4" s="1"/>
  <c r="Y199" i="4" s="1"/>
  <c r="Y200" i="4" s="1"/>
  <c r="Y201" i="4" s="1"/>
  <c r="Y202" i="4" s="1"/>
  <c r="Y203" i="4" s="1"/>
  <c r="Y204" i="4" s="1"/>
  <c r="Y205" i="4" s="1"/>
  <c r="Y206" i="4" s="1"/>
  <c r="EN229" i="4" l="1"/>
  <c r="EN204" i="4"/>
  <c r="EN205" i="4" s="1"/>
  <c r="GN229" i="4"/>
  <c r="GN204" i="4"/>
  <c r="GN205" i="4" s="1"/>
  <c r="BX236" i="4"/>
  <c r="BX211" i="4"/>
  <c r="BX212" i="4" s="1"/>
  <c r="BX213" i="4" s="1"/>
  <c r="BX214" i="4" s="1"/>
  <c r="BJ236" i="4"/>
  <c r="BJ211" i="4"/>
  <c r="BJ212" i="4" s="1"/>
  <c r="BJ213" i="4" s="1"/>
  <c r="BJ214" i="4" s="1"/>
  <c r="GJ229" i="4"/>
  <c r="GJ204" i="4"/>
  <c r="GJ205" i="4" s="1"/>
  <c r="EF204" i="4"/>
  <c r="EF205" i="4" s="1"/>
  <c r="EF229" i="4"/>
  <c r="EZ229" i="4"/>
  <c r="EZ204" i="4"/>
  <c r="EZ205" i="4" s="1"/>
  <c r="FI229" i="4"/>
  <c r="FI204" i="4"/>
  <c r="FI205" i="4" s="1"/>
  <c r="DR229" i="4"/>
  <c r="DR204" i="4"/>
  <c r="DR205" i="4" s="1"/>
  <c r="AI211" i="4"/>
  <c r="AI212" i="4" s="1"/>
  <c r="AI213" i="4" s="1"/>
  <c r="AI214" i="4" s="1"/>
  <c r="AI236" i="4"/>
  <c r="AE211" i="4"/>
  <c r="AE212" i="4" s="1"/>
  <c r="AE213" i="4" s="1"/>
  <c r="AE214" i="4" s="1"/>
  <c r="AE236" i="4"/>
  <c r="BD236" i="4"/>
  <c r="BD211" i="4"/>
  <c r="BD212" i="4" s="1"/>
  <c r="BD213" i="4" s="1"/>
  <c r="BD214" i="4" s="1"/>
  <c r="BQ236" i="4"/>
  <c r="BQ211" i="4"/>
  <c r="BQ212" i="4" s="1"/>
  <c r="BQ213" i="4" s="1"/>
  <c r="BQ214" i="4" s="1"/>
  <c r="BU236" i="4"/>
  <c r="BU211" i="4"/>
  <c r="BU212" i="4" s="1"/>
  <c r="BU213" i="4" s="1"/>
  <c r="BU214" i="4" s="1"/>
  <c r="R211" i="4"/>
  <c r="R212" i="4" s="1"/>
  <c r="R213" i="4" s="1"/>
  <c r="R214" i="4" s="1"/>
  <c r="R236" i="4"/>
  <c r="EH204" i="4"/>
  <c r="EH205" i="4" s="1"/>
  <c r="EH229" i="4"/>
  <c r="DV204" i="4"/>
  <c r="DV205" i="4" s="1"/>
  <c r="DV229" i="4"/>
  <c r="GO204" i="4"/>
  <c r="GO205" i="4" s="1"/>
  <c r="GO229" i="4"/>
  <c r="ER204" i="4"/>
  <c r="ER205" i="4" s="1"/>
  <c r="ER229" i="4"/>
  <c r="GP229" i="4"/>
  <c r="GP204" i="4"/>
  <c r="GP205" i="4" s="1"/>
  <c r="FF204" i="4"/>
  <c r="FF205" i="4" s="1"/>
  <c r="FF229" i="4"/>
  <c r="GH229" i="4"/>
  <c r="GH204" i="4"/>
  <c r="GH205" i="4" s="1"/>
  <c r="FN229" i="4"/>
  <c r="FN204" i="4"/>
  <c r="FN205" i="4" s="1"/>
  <c r="DQ229" i="4"/>
  <c r="DQ204" i="4"/>
  <c r="DQ205" i="4" s="1"/>
  <c r="GD229" i="4"/>
  <c r="GD204" i="4"/>
  <c r="GD205" i="4" s="1"/>
  <c r="GL229" i="4"/>
  <c r="GL204" i="4"/>
  <c r="GL205" i="4" s="1"/>
  <c r="AQ211" i="4"/>
  <c r="AQ212" i="4" s="1"/>
  <c r="AQ213" i="4" s="1"/>
  <c r="AQ214" i="4" s="1"/>
  <c r="AQ236" i="4"/>
  <c r="AU236" i="4"/>
  <c r="AU211" i="4"/>
  <c r="AU212" i="4" s="1"/>
  <c r="AU213" i="4" s="1"/>
  <c r="AU214" i="4" s="1"/>
  <c r="AZ236" i="4"/>
  <c r="AZ211" i="4"/>
  <c r="AZ212" i="4" s="1"/>
  <c r="AZ213" i="4" s="1"/>
  <c r="AZ214" i="4" s="1"/>
  <c r="BT236" i="4"/>
  <c r="BT211" i="4"/>
  <c r="BT212" i="4" s="1"/>
  <c r="BT213" i="4" s="1"/>
  <c r="BT214" i="4" s="1"/>
  <c r="M211" i="4"/>
  <c r="M212" i="4" s="1"/>
  <c r="M213" i="4" s="1"/>
  <c r="M214" i="4" s="1"/>
  <c r="M236" i="4"/>
  <c r="BY236" i="4"/>
  <c r="BY211" i="4"/>
  <c r="BY212" i="4" s="1"/>
  <c r="BY213" i="4" s="1"/>
  <c r="BY214" i="4" s="1"/>
  <c r="N211" i="4"/>
  <c r="N212" i="4" s="1"/>
  <c r="N213" i="4" s="1"/>
  <c r="N214" i="4" s="1"/>
  <c r="N236" i="4"/>
  <c r="BZ211" i="4"/>
  <c r="BZ212" i="4" s="1"/>
  <c r="BZ213" i="4" s="1"/>
  <c r="BZ214" i="4" s="1"/>
  <c r="BZ236" i="4"/>
  <c r="Q236" i="4"/>
  <c r="Q211" i="4"/>
  <c r="Q212" i="4" s="1"/>
  <c r="Q213" i="4" s="1"/>
  <c r="Q214" i="4" s="1"/>
  <c r="CC236" i="4"/>
  <c r="CC211" i="4"/>
  <c r="CC212" i="4" s="1"/>
  <c r="CC213" i="4" s="1"/>
  <c r="CC214" i="4" s="1"/>
  <c r="Z236" i="4"/>
  <c r="Z211" i="4"/>
  <c r="Z212" i="4" s="1"/>
  <c r="Z213" i="4" s="1"/>
  <c r="Z214" i="4" s="1"/>
  <c r="FA229" i="4"/>
  <c r="FA204" i="4"/>
  <c r="FA205" i="4" s="1"/>
  <c r="ES229" i="4"/>
  <c r="ES204" i="4"/>
  <c r="ES205" i="4" s="1"/>
  <c r="FH204" i="4"/>
  <c r="FH205" i="4" s="1"/>
  <c r="FH229" i="4"/>
  <c r="GO162" i="4"/>
  <c r="GG162" i="4"/>
  <c r="FY162" i="4"/>
  <c r="FQ162" i="4"/>
  <c r="FI162" i="4"/>
  <c r="FA162" i="4"/>
  <c r="ES162" i="4"/>
  <c r="EK162" i="4"/>
  <c r="EC162" i="4"/>
  <c r="DU162" i="4"/>
  <c r="DM162" i="4"/>
  <c r="DE162" i="4"/>
  <c r="CW162" i="4"/>
  <c r="CO162" i="4"/>
  <c r="CG162" i="4"/>
  <c r="BY162" i="4"/>
  <c r="BQ162" i="4"/>
  <c r="BI162" i="4"/>
  <c r="BA162" i="4"/>
  <c r="AS162" i="4"/>
  <c r="AK162" i="4"/>
  <c r="AC162" i="4"/>
  <c r="U162" i="4"/>
  <c r="M162" i="4"/>
  <c r="GN162" i="4"/>
  <c r="GF162" i="4"/>
  <c r="FX162" i="4"/>
  <c r="FP162" i="4"/>
  <c r="FH162" i="4"/>
  <c r="EZ162" i="4"/>
  <c r="ER162" i="4"/>
  <c r="EJ162" i="4"/>
  <c r="EB162" i="4"/>
  <c r="DT162" i="4"/>
  <c r="DL162" i="4"/>
  <c r="DD162" i="4"/>
  <c r="CV162" i="4"/>
  <c r="CN162" i="4"/>
  <c r="CF162" i="4"/>
  <c r="BX162" i="4"/>
  <c r="BP162" i="4"/>
  <c r="BH162" i="4"/>
  <c r="AZ162" i="4"/>
  <c r="AR162" i="4"/>
  <c r="AJ162" i="4"/>
  <c r="AB162" i="4"/>
  <c r="T162" i="4"/>
  <c r="L162" i="4"/>
  <c r="GK162" i="4"/>
  <c r="GC162" i="4"/>
  <c r="FU162" i="4"/>
  <c r="FM162" i="4"/>
  <c r="FE162" i="4"/>
  <c r="EW162" i="4"/>
  <c r="EO162" i="4"/>
  <c r="EG162" i="4"/>
  <c r="DY162" i="4"/>
  <c r="DQ162" i="4"/>
  <c r="DI162" i="4"/>
  <c r="DA162" i="4"/>
  <c r="CS162" i="4"/>
  <c r="CK162" i="4"/>
  <c r="CC162" i="4"/>
  <c r="BU162" i="4"/>
  <c r="BM162" i="4"/>
  <c r="BE162" i="4"/>
  <c r="AW162" i="4"/>
  <c r="AO162" i="4"/>
  <c r="AG162" i="4"/>
  <c r="Y162" i="4"/>
  <c r="Q162" i="4"/>
  <c r="GJ162" i="4"/>
  <c r="GB162" i="4"/>
  <c r="FT162" i="4"/>
  <c r="FL162" i="4"/>
  <c r="FD162" i="4"/>
  <c r="EV162" i="4"/>
  <c r="EN162" i="4"/>
  <c r="EF162" i="4"/>
  <c r="DX162" i="4"/>
  <c r="DP162" i="4"/>
  <c r="DH162" i="4"/>
  <c r="CZ162" i="4"/>
  <c r="CR162" i="4"/>
  <c r="CJ162" i="4"/>
  <c r="CB162" i="4"/>
  <c r="BT162" i="4"/>
  <c r="BL162" i="4"/>
  <c r="BD162" i="4"/>
  <c r="AV162" i="4"/>
  <c r="AN162" i="4"/>
  <c r="AF162" i="4"/>
  <c r="X162" i="4"/>
  <c r="P162" i="4"/>
  <c r="GE162" i="4"/>
  <c r="FO162" i="4"/>
  <c r="EY162" i="4"/>
  <c r="EI162" i="4"/>
  <c r="DS162" i="4"/>
  <c r="DC162" i="4"/>
  <c r="CM162" i="4"/>
  <c r="BW162" i="4"/>
  <c r="BG162" i="4"/>
  <c r="AQ162" i="4"/>
  <c r="AA162" i="4"/>
  <c r="K162" i="4"/>
  <c r="GD162" i="4"/>
  <c r="FN162" i="4"/>
  <c r="EX162" i="4"/>
  <c r="EH162" i="4"/>
  <c r="DR162" i="4"/>
  <c r="DB162" i="4"/>
  <c r="CL162" i="4"/>
  <c r="BV162" i="4"/>
  <c r="BF162" i="4"/>
  <c r="AP162" i="4"/>
  <c r="Z162" i="4"/>
  <c r="GA162" i="4"/>
  <c r="FK162" i="4"/>
  <c r="EU162" i="4"/>
  <c r="EE162" i="4"/>
  <c r="DO162" i="4"/>
  <c r="CY162" i="4"/>
  <c r="CI162" i="4"/>
  <c r="BS162" i="4"/>
  <c r="BC162" i="4"/>
  <c r="AM162" i="4"/>
  <c r="W162" i="4"/>
  <c r="GM162" i="4"/>
  <c r="FW162" i="4"/>
  <c r="FG162" i="4"/>
  <c r="EQ162" i="4"/>
  <c r="EA162" i="4"/>
  <c r="DK162" i="4"/>
  <c r="CU162" i="4"/>
  <c r="CE162" i="4"/>
  <c r="BO162" i="4"/>
  <c r="AY162" i="4"/>
  <c r="AI162" i="4"/>
  <c r="S162" i="4"/>
  <c r="GL162" i="4"/>
  <c r="FV162" i="4"/>
  <c r="FF162" i="4"/>
  <c r="EP162" i="4"/>
  <c r="DZ162" i="4"/>
  <c r="DJ162" i="4"/>
  <c r="CT162" i="4"/>
  <c r="CD162" i="4"/>
  <c r="BN162" i="4"/>
  <c r="AX162" i="4"/>
  <c r="AH162" i="4"/>
  <c r="R162" i="4"/>
  <c r="GI162" i="4"/>
  <c r="FS162" i="4"/>
  <c r="FC162" i="4"/>
  <c r="EM162" i="4"/>
  <c r="DW162" i="4"/>
  <c r="DG162" i="4"/>
  <c r="CQ162" i="4"/>
  <c r="CA162" i="4"/>
  <c r="BK162" i="4"/>
  <c r="AU162" i="4"/>
  <c r="AE162" i="4"/>
  <c r="O162" i="4"/>
  <c r="FJ162" i="4"/>
  <c r="CX162" i="4"/>
  <c r="AL162" i="4"/>
  <c r="FB162" i="4"/>
  <c r="CP162" i="4"/>
  <c r="AD162" i="4"/>
  <c r="ET162" i="4"/>
  <c r="CH162" i="4"/>
  <c r="V162" i="4"/>
  <c r="EL162" i="4"/>
  <c r="BZ162" i="4"/>
  <c r="N162" i="4"/>
  <c r="GH162" i="4"/>
  <c r="DV162" i="4"/>
  <c r="BJ162" i="4"/>
  <c r="FR162" i="4"/>
  <c r="DF162" i="4"/>
  <c r="AT162" i="4"/>
  <c r="BB162" i="4"/>
  <c r="GP162" i="4"/>
  <c r="FZ162" i="4"/>
  <c r="ED162" i="4"/>
  <c r="BR162" i="4"/>
  <c r="DN162" i="4"/>
  <c r="AN236" i="4"/>
  <c r="AN211" i="4"/>
  <c r="AN212" i="4" s="1"/>
  <c r="AN213" i="4" s="1"/>
  <c r="AN214" i="4" s="1"/>
  <c r="GA204" i="4"/>
  <c r="GA205" i="4" s="1"/>
  <c r="GA229" i="4"/>
  <c r="DZ229" i="4"/>
  <c r="DZ204" i="4"/>
  <c r="DZ205" i="4" s="1"/>
  <c r="BW236" i="4"/>
  <c r="BW211" i="4"/>
  <c r="BW212" i="4" s="1"/>
  <c r="BW213" i="4" s="1"/>
  <c r="BW214" i="4" s="1"/>
  <c r="AJ236" i="4"/>
  <c r="AJ211" i="4"/>
  <c r="AJ212" i="4" s="1"/>
  <c r="AJ213" i="4" s="1"/>
  <c r="AJ214" i="4" s="1"/>
  <c r="BR236" i="4"/>
  <c r="BR211" i="4"/>
  <c r="BR212" i="4" s="1"/>
  <c r="BR213" i="4" s="1"/>
  <c r="BR214" i="4" s="1"/>
  <c r="CD236" i="4"/>
  <c r="CD211" i="4"/>
  <c r="CD212" i="4" s="1"/>
  <c r="CD213" i="4" s="1"/>
  <c r="CD214" i="4" s="1"/>
  <c r="EI229" i="4"/>
  <c r="EI204" i="4"/>
  <c r="EI205" i="4" s="1"/>
  <c r="FW229" i="4"/>
  <c r="FW204" i="4"/>
  <c r="FW205" i="4" s="1"/>
  <c r="GK204" i="4"/>
  <c r="GK205" i="4" s="1"/>
  <c r="GK229" i="4"/>
  <c r="FL229" i="4"/>
  <c r="FL204" i="4"/>
  <c r="FL205" i="4" s="1"/>
  <c r="EJ229" i="4"/>
  <c r="EJ204" i="4"/>
  <c r="EJ205" i="4" s="1"/>
  <c r="FU229" i="4"/>
  <c r="FU204" i="4"/>
  <c r="FU205" i="4" s="1"/>
  <c r="FY204" i="4"/>
  <c r="FY205" i="4" s="1"/>
  <c r="FY229" i="4"/>
  <c r="EX204" i="4"/>
  <c r="EX205" i="4" s="1"/>
  <c r="EX229" i="4"/>
  <c r="EL204" i="4"/>
  <c r="EL205" i="4" s="1"/>
  <c r="EL229" i="4"/>
  <c r="S236" i="4"/>
  <c r="S211" i="4"/>
  <c r="S212" i="4" s="1"/>
  <c r="S213" i="4" s="1"/>
  <c r="S214" i="4" s="1"/>
  <c r="BK236" i="4"/>
  <c r="BK211" i="4"/>
  <c r="BK212" i="4" s="1"/>
  <c r="BK213" i="4" s="1"/>
  <c r="BK214" i="4" s="1"/>
  <c r="BP211" i="4"/>
  <c r="BP212" i="4" s="1"/>
  <c r="BP213" i="4" s="1"/>
  <c r="BP214" i="4" s="1"/>
  <c r="BP236" i="4"/>
  <c r="CJ236" i="4"/>
  <c r="CJ211" i="4"/>
  <c r="CJ212" i="4" s="1"/>
  <c r="CJ213" i="4" s="1"/>
  <c r="CJ214" i="4" s="1"/>
  <c r="U236" i="4"/>
  <c r="U211" i="4"/>
  <c r="U212" i="4" s="1"/>
  <c r="U213" i="4" s="1"/>
  <c r="U214" i="4" s="1"/>
  <c r="CG236" i="4"/>
  <c r="CG211" i="4"/>
  <c r="CG212" i="4" s="1"/>
  <c r="CG213" i="4" s="1"/>
  <c r="CG214" i="4" s="1"/>
  <c r="V236" i="4"/>
  <c r="V211" i="4"/>
  <c r="V212" i="4" s="1"/>
  <c r="V213" i="4" s="1"/>
  <c r="V214" i="4" s="1"/>
  <c r="CH236" i="4"/>
  <c r="CH211" i="4"/>
  <c r="CH212" i="4" s="1"/>
  <c r="CH213" i="4" s="1"/>
  <c r="CH214" i="4" s="1"/>
  <c r="Y236" i="4"/>
  <c r="Y211" i="4"/>
  <c r="Y212" i="4" s="1"/>
  <c r="Y213" i="4" s="1"/>
  <c r="Y214" i="4" s="1"/>
  <c r="AH211" i="4"/>
  <c r="AH212" i="4" s="1"/>
  <c r="AH213" i="4" s="1"/>
  <c r="AH214" i="4" s="1"/>
  <c r="AH236" i="4"/>
  <c r="O211" i="4"/>
  <c r="O212" i="4" s="1"/>
  <c r="O213" i="4" s="1"/>
  <c r="O214" i="4" s="1"/>
  <c r="O236" i="4"/>
  <c r="CI236" i="4"/>
  <c r="CI211" i="4"/>
  <c r="CI212" i="4" s="1"/>
  <c r="CI213" i="4" s="1"/>
  <c r="CI214" i="4" s="1"/>
  <c r="FC229" i="4"/>
  <c r="FC204" i="4"/>
  <c r="FC205" i="4" s="1"/>
  <c r="EP229" i="4"/>
  <c r="EP204" i="4"/>
  <c r="EP205" i="4" s="1"/>
  <c r="FK229" i="4"/>
  <c r="FK204" i="4"/>
  <c r="FK205" i="4" s="1"/>
  <c r="CE236" i="4"/>
  <c r="CE211" i="4"/>
  <c r="CE212" i="4" s="1"/>
  <c r="CE213" i="4" s="1"/>
  <c r="CE214" i="4" s="1"/>
  <c r="CA211" i="4"/>
  <c r="CA212" i="4" s="1"/>
  <c r="CA213" i="4" s="1"/>
  <c r="CA214" i="4" s="1"/>
  <c r="CA236" i="4"/>
  <c r="CF236" i="4"/>
  <c r="CF211" i="4"/>
  <c r="CF212" i="4" s="1"/>
  <c r="CF213" i="4" s="1"/>
  <c r="CF214" i="4" s="1"/>
  <c r="AD236" i="4"/>
  <c r="AD211" i="4"/>
  <c r="AD212" i="4" s="1"/>
  <c r="AD213" i="4" s="1"/>
  <c r="AD214" i="4" s="1"/>
  <c r="AG236" i="4"/>
  <c r="AG211" i="4"/>
  <c r="AG212" i="4" s="1"/>
  <c r="AG213" i="4" s="1"/>
  <c r="AG214" i="4" s="1"/>
  <c r="FX229" i="4"/>
  <c r="FX204" i="4"/>
  <c r="FX205" i="4" s="1"/>
  <c r="DY229" i="4"/>
  <c r="DY204" i="4"/>
  <c r="DY205" i="4" s="1"/>
  <c r="DX204" i="4"/>
  <c r="DX205" i="4" s="1"/>
  <c r="DX229" i="4"/>
  <c r="EE229" i="4"/>
  <c r="EE204" i="4"/>
  <c r="EE205" i="4" s="1"/>
  <c r="FG204" i="4"/>
  <c r="FG205" i="4" s="1"/>
  <c r="FG229" i="4"/>
  <c r="DU204" i="4"/>
  <c r="DU205" i="4" s="1"/>
  <c r="DU229" i="4"/>
  <c r="FO204" i="4"/>
  <c r="FO205" i="4" s="1"/>
  <c r="FO229" i="4"/>
  <c r="FJ204" i="4"/>
  <c r="FJ205" i="4" s="1"/>
  <c r="FJ229" i="4"/>
  <c r="GE204" i="4"/>
  <c r="GE205" i="4" s="1"/>
  <c r="GE229" i="4"/>
  <c r="GG229" i="4"/>
  <c r="GG204" i="4"/>
  <c r="GG205" i="4" s="1"/>
  <c r="GM229" i="4"/>
  <c r="GM204" i="4"/>
  <c r="GM205" i="4" s="1"/>
  <c r="L111" i="4"/>
  <c r="K128" i="4"/>
  <c r="N110" i="4"/>
  <c r="BO211" i="4"/>
  <c r="BO212" i="4" s="1"/>
  <c r="BO213" i="4" s="1"/>
  <c r="BO214" i="4" s="1"/>
  <c r="BO236" i="4"/>
  <c r="BG236" i="4"/>
  <c r="BG211" i="4"/>
  <c r="BG212" i="4" s="1"/>
  <c r="BG213" i="4" s="1"/>
  <c r="BG214" i="4" s="1"/>
  <c r="AB236" i="4"/>
  <c r="AB211" i="4"/>
  <c r="AB212" i="4" s="1"/>
  <c r="AB213" i="4" s="1"/>
  <c r="AB214" i="4" s="1"/>
  <c r="AF236" i="4"/>
  <c r="AF211" i="4"/>
  <c r="AF212" i="4" s="1"/>
  <c r="AF213" i="4" s="1"/>
  <c r="AF214" i="4" s="1"/>
  <c r="AM236" i="4"/>
  <c r="AM211" i="4"/>
  <c r="AM212" i="4" s="1"/>
  <c r="AM213" i="4" s="1"/>
  <c r="AM214" i="4" s="1"/>
  <c r="AK211" i="4"/>
  <c r="AK212" i="4" s="1"/>
  <c r="AK213" i="4" s="1"/>
  <c r="AK214" i="4" s="1"/>
  <c r="AK236" i="4"/>
  <c r="AL236" i="4"/>
  <c r="AL211" i="4"/>
  <c r="AL212" i="4" s="1"/>
  <c r="AL213" i="4" s="1"/>
  <c r="AL214" i="4" s="1"/>
  <c r="AO236" i="4"/>
  <c r="AO211" i="4"/>
  <c r="AO212" i="4" s="1"/>
  <c r="AO213" i="4" s="1"/>
  <c r="AO214" i="4" s="1"/>
  <c r="AX236" i="4"/>
  <c r="AX211" i="4"/>
  <c r="AX212" i="4" s="1"/>
  <c r="AX213" i="4" s="1"/>
  <c r="AX214" i="4" s="1"/>
  <c r="FV229" i="4"/>
  <c r="FV204" i="4"/>
  <c r="FV205" i="4" s="1"/>
  <c r="FP229" i="4"/>
  <c r="FP204" i="4"/>
  <c r="FP205" i="4" s="1"/>
  <c r="ED229" i="4"/>
  <c r="ED204" i="4"/>
  <c r="ED205" i="4" s="1"/>
  <c r="T211" i="4"/>
  <c r="T212" i="4" s="1"/>
  <c r="T213" i="4" s="1"/>
  <c r="T214" i="4" s="1"/>
  <c r="T236" i="4"/>
  <c r="BI236" i="4"/>
  <c r="BI211" i="4"/>
  <c r="BI212" i="4" s="1"/>
  <c r="BI213" i="4" s="1"/>
  <c r="BI214" i="4" s="1"/>
  <c r="BM236" i="4"/>
  <c r="BM211" i="4"/>
  <c r="BM212" i="4" s="1"/>
  <c r="BM213" i="4" s="1"/>
  <c r="BM214" i="4" s="1"/>
  <c r="GC204" i="4"/>
  <c r="GC205" i="4" s="1"/>
  <c r="GC229" i="4"/>
  <c r="EK229" i="4"/>
  <c r="EK204" i="4"/>
  <c r="EK205" i="4" s="1"/>
  <c r="FZ204" i="4"/>
  <c r="FZ205" i="4" s="1"/>
  <c r="FZ229" i="4"/>
  <c r="EA229" i="4"/>
  <c r="EA204" i="4"/>
  <c r="EA205" i="4" s="1"/>
  <c r="AY236" i="4"/>
  <c r="AY211" i="4"/>
  <c r="AY212" i="4" s="1"/>
  <c r="AY213" i="4" s="1"/>
  <c r="AY214" i="4" s="1"/>
  <c r="L236" i="4"/>
  <c r="L211" i="4"/>
  <c r="L212" i="4" s="1"/>
  <c r="L213" i="4" s="1"/>
  <c r="L214" i="4" s="1"/>
  <c r="P236" i="4"/>
  <c r="P211" i="4"/>
  <c r="P212" i="4" s="1"/>
  <c r="P213" i="4" s="1"/>
  <c r="P214" i="4" s="1"/>
  <c r="W236" i="4"/>
  <c r="W211" i="4"/>
  <c r="W212" i="4" s="1"/>
  <c r="W213" i="4" s="1"/>
  <c r="W214" i="4" s="1"/>
  <c r="AC236" i="4"/>
  <c r="AC211" i="4"/>
  <c r="AC212" i="4" s="1"/>
  <c r="AC213" i="4" s="1"/>
  <c r="AC214" i="4" s="1"/>
  <c r="FM204" i="4"/>
  <c r="FM205" i="4" s="1"/>
  <c r="FM229" i="4"/>
  <c r="DW229" i="4"/>
  <c r="DW204" i="4"/>
  <c r="DW205" i="4" s="1"/>
  <c r="EY204" i="4"/>
  <c r="EY205" i="4" s="1"/>
  <c r="EY229" i="4"/>
  <c r="ET229" i="4"/>
  <c r="ET204" i="4"/>
  <c r="ET205" i="4" s="1"/>
  <c r="FQ229" i="4"/>
  <c r="FQ204" i="4"/>
  <c r="FQ205" i="4" s="1"/>
  <c r="AA236" i="4"/>
  <c r="AA211" i="4"/>
  <c r="AA212" i="4" s="1"/>
  <c r="AA213" i="4" s="1"/>
  <c r="AA214" i="4" s="1"/>
  <c r="AR236" i="4"/>
  <c r="AR211" i="4"/>
  <c r="AR212" i="4" s="1"/>
  <c r="AR213" i="4" s="1"/>
  <c r="AR214" i="4" s="1"/>
  <c r="AV211" i="4"/>
  <c r="AV212" i="4" s="1"/>
  <c r="AV213" i="4" s="1"/>
  <c r="AV214" i="4" s="1"/>
  <c r="AV236" i="4"/>
  <c r="BC211" i="4"/>
  <c r="BC212" i="4" s="1"/>
  <c r="BC213" i="4" s="1"/>
  <c r="BC214" i="4" s="1"/>
  <c r="BC236" i="4"/>
  <c r="AS211" i="4"/>
  <c r="AS212" i="4" s="1"/>
  <c r="AS213" i="4" s="1"/>
  <c r="AS214" i="4" s="1"/>
  <c r="AS236" i="4"/>
  <c r="AT236" i="4"/>
  <c r="AT211" i="4"/>
  <c r="AT212" i="4" s="1"/>
  <c r="AT213" i="4" s="1"/>
  <c r="AT214" i="4" s="1"/>
  <c r="AW236" i="4"/>
  <c r="AW211" i="4"/>
  <c r="AW212" i="4" s="1"/>
  <c r="AW213" i="4" s="1"/>
  <c r="AW214" i="4" s="1"/>
  <c r="BF236" i="4"/>
  <c r="BF211" i="4"/>
  <c r="BF212" i="4" s="1"/>
  <c r="BF213" i="4" s="1"/>
  <c r="BF214" i="4" s="1"/>
  <c r="EG204" i="4"/>
  <c r="EG205" i="4" s="1"/>
  <c r="EG229" i="4"/>
  <c r="GF229" i="4"/>
  <c r="GF204" i="4"/>
  <c r="GF205" i="4" s="1"/>
  <c r="K236" i="4"/>
  <c r="K211" i="4"/>
  <c r="K212" i="4" s="1"/>
  <c r="K213" i="4" s="1"/>
  <c r="K214" i="4" s="1"/>
  <c r="CB236" i="4"/>
  <c r="CB211" i="4"/>
  <c r="CB212" i="4" s="1"/>
  <c r="CB213" i="4" s="1"/>
  <c r="CB214" i="4" s="1"/>
  <c r="BV236" i="4"/>
  <c r="BV211" i="4"/>
  <c r="BV212" i="4" s="1"/>
  <c r="BV213" i="4" s="1"/>
  <c r="BV214" i="4" s="1"/>
  <c r="FE229" i="4"/>
  <c r="FE204" i="4"/>
  <c r="FE205" i="4" s="1"/>
  <c r="FB229" i="4"/>
  <c r="FB204" i="4"/>
  <c r="FB205" i="4" s="1"/>
  <c r="EM229" i="4"/>
  <c r="EM204" i="4"/>
  <c r="EM205" i="4" s="1"/>
  <c r="EU229" i="4"/>
  <c r="EU204" i="4"/>
  <c r="EU205" i="4" s="1"/>
  <c r="DS229" i="4"/>
  <c r="DS204" i="4"/>
  <c r="DS205" i="4" s="1"/>
  <c r="FS204" i="4"/>
  <c r="FS205" i="4" s="1"/>
  <c r="FS229" i="4"/>
  <c r="FT155" i="4"/>
  <c r="FL155" i="4"/>
  <c r="FX155" i="4"/>
  <c r="GK155" i="4"/>
  <c r="GB155" i="4"/>
  <c r="FP155" i="4"/>
  <c r="FO155" i="4"/>
  <c r="CQ155" i="4"/>
  <c r="AE155" i="4"/>
  <c r="EH155" i="4"/>
  <c r="BR155" i="4"/>
  <c r="GH155" i="4"/>
  <c r="DE155" i="4"/>
  <c r="AS155" i="4"/>
  <c r="FJ155" i="4"/>
  <c r="CM155" i="4"/>
  <c r="AA155" i="4"/>
  <c r="EM155" i="4"/>
  <c r="BV155" i="4"/>
  <c r="FR155" i="4"/>
  <c r="FQ155" i="4"/>
  <c r="FK155" i="4"/>
  <c r="FG155" i="4"/>
  <c r="FA155" i="4"/>
  <c r="EU155" i="4"/>
  <c r="AR155" i="4"/>
  <c r="GG155" i="4"/>
  <c r="ET155" i="4"/>
  <c r="DN155" i="4"/>
  <c r="FM155" i="4"/>
  <c r="EO155" i="4"/>
  <c r="DR155" i="4"/>
  <c r="DP155" i="4"/>
  <c r="DH155" i="4"/>
  <c r="AN155" i="4"/>
  <c r="GJ155" i="4"/>
  <c r="ES155" i="4"/>
  <c r="BA155" i="4"/>
  <c r="R155" i="4"/>
  <c r="FV155" i="4"/>
  <c r="FD155" i="4"/>
  <c r="FH155" i="4"/>
  <c r="FE155" i="4"/>
  <c r="CI155" i="4"/>
  <c r="W155" i="4"/>
  <c r="DW155" i="4"/>
  <c r="BJ155" i="4"/>
  <c r="FW155" i="4"/>
  <c r="CW155" i="4"/>
  <c r="AK155" i="4"/>
  <c r="EY155" i="4"/>
  <c r="CE155" i="4"/>
  <c r="S155" i="4"/>
  <c r="EC155" i="4"/>
  <c r="BN155" i="4"/>
  <c r="EP155" i="4"/>
  <c r="EL155" i="4"/>
  <c r="EK155" i="4"/>
  <c r="EE155" i="4"/>
  <c r="DZ155" i="4"/>
  <c r="DQ155" i="4"/>
  <c r="DU155" i="4"/>
  <c r="CJ155" i="4"/>
  <c r="EV155" i="4"/>
  <c r="CA155" i="4"/>
  <c r="BB155" i="4"/>
  <c r="AC155" i="4"/>
  <c r="BW155" i="4"/>
  <c r="BF155" i="4"/>
  <c r="DI155" i="4"/>
  <c r="CV155" i="4"/>
  <c r="GA155" i="4"/>
  <c r="FZ155" i="4"/>
  <c r="DM155" i="4"/>
  <c r="EX155" i="4"/>
  <c r="EA155" i="4"/>
  <c r="EZ155" i="4"/>
  <c r="O155" i="4"/>
  <c r="CO155" i="4"/>
  <c r="K155" i="4"/>
  <c r="DL155" i="4"/>
  <c r="DA155" i="4"/>
  <c r="CY155" i="4"/>
  <c r="CU155" i="4"/>
  <c r="GM155" i="4"/>
  <c r="EN155" i="4"/>
  <c r="ER155" i="4"/>
  <c r="EI155" i="4"/>
  <c r="BS155" i="4"/>
  <c r="GI155" i="4"/>
  <c r="DF155" i="4"/>
  <c r="AT155" i="4"/>
  <c r="FB155" i="4"/>
  <c r="CG155" i="4"/>
  <c r="U155" i="4"/>
  <c r="ED155" i="4"/>
  <c r="BO155" i="4"/>
  <c r="GO155" i="4"/>
  <c r="DJ155" i="4"/>
  <c r="AX155" i="4"/>
  <c r="CS155" i="4"/>
  <c r="CR155" i="4"/>
  <c r="CN155" i="4"/>
  <c r="CK155" i="4"/>
  <c r="CF155" i="4"/>
  <c r="CB155" i="4"/>
  <c r="BH155" i="4"/>
  <c r="CC155" i="4"/>
  <c r="EF155" i="4"/>
  <c r="EJ155" i="4"/>
  <c r="DY155" i="4"/>
  <c r="BK155" i="4"/>
  <c r="FY155" i="4"/>
  <c r="CX155" i="4"/>
  <c r="AL155" i="4"/>
  <c r="EQ155" i="4"/>
  <c r="BY155" i="4"/>
  <c r="M155" i="4"/>
  <c r="DS155" i="4"/>
  <c r="BG155" i="4"/>
  <c r="GD155" i="4"/>
  <c r="DB155" i="4"/>
  <c r="AP155" i="4"/>
  <c r="BX155" i="4"/>
  <c r="BU155" i="4"/>
  <c r="BT155" i="4"/>
  <c r="BP155" i="4"/>
  <c r="BL155" i="4"/>
  <c r="BE155" i="4"/>
  <c r="DD155" i="4"/>
  <c r="EW155" i="4"/>
  <c r="N155" i="4"/>
  <c r="CD155" i="4"/>
  <c r="Q155" i="4"/>
  <c r="DX155" i="4"/>
  <c r="EB155" i="4"/>
  <c r="DO155" i="4"/>
  <c r="BC155" i="4"/>
  <c r="FN155" i="4"/>
  <c r="CP155" i="4"/>
  <c r="AD155" i="4"/>
  <c r="EG155" i="4"/>
  <c r="BQ155" i="4"/>
  <c r="GP155" i="4"/>
  <c r="DK155" i="4"/>
  <c r="AY155" i="4"/>
  <c r="FS155" i="4"/>
  <c r="CT155" i="4"/>
  <c r="AH155" i="4"/>
  <c r="BD155" i="4"/>
  <c r="AZ155" i="4"/>
  <c r="AW155" i="4"/>
  <c r="AV155" i="4"/>
  <c r="AO155" i="4"/>
  <c r="AJ155" i="4"/>
  <c r="X155" i="4"/>
  <c r="FF155" i="4"/>
  <c r="GF155" i="4"/>
  <c r="BZ155" i="4"/>
  <c r="AI155" i="4"/>
  <c r="L155" i="4"/>
  <c r="GC155" i="4"/>
  <c r="GN155" i="4"/>
  <c r="DT155" i="4"/>
  <c r="DG155" i="4"/>
  <c r="AU155" i="4"/>
  <c r="FC155" i="4"/>
  <c r="CH155" i="4"/>
  <c r="V155" i="4"/>
  <c r="DV155" i="4"/>
  <c r="BI155" i="4"/>
  <c r="GE155" i="4"/>
  <c r="DC155" i="4"/>
  <c r="AQ155" i="4"/>
  <c r="FI155" i="4"/>
  <c r="CL155" i="4"/>
  <c r="Z155" i="4"/>
  <c r="AG155" i="4"/>
  <c r="AF155" i="4"/>
  <c r="AB155" i="4"/>
  <c r="Y155" i="4"/>
  <c r="T155" i="4"/>
  <c r="P155" i="4"/>
  <c r="CZ155" i="4"/>
  <c r="BM155" i="4"/>
  <c r="AM155" i="4"/>
  <c r="FU155" i="4"/>
  <c r="GL155" i="4"/>
  <c r="AP211" i="4"/>
  <c r="AP212" i="4" s="1"/>
  <c r="AP213" i="4" s="1"/>
  <c r="AP214" i="4" s="1"/>
  <c r="AP236" i="4"/>
  <c r="EO204" i="4"/>
  <c r="EO205" i="4" s="1"/>
  <c r="EO229" i="4"/>
  <c r="FR229" i="4"/>
  <c r="FR204" i="4"/>
  <c r="FR205" i="4" s="1"/>
  <c r="GI229" i="4"/>
  <c r="GI204" i="4"/>
  <c r="GI205" i="4" s="1"/>
  <c r="EQ204" i="4"/>
  <c r="EQ205" i="4" s="1"/>
  <c r="EQ229" i="4"/>
  <c r="EV229" i="4"/>
  <c r="EV204" i="4"/>
  <c r="EV205" i="4" s="1"/>
  <c r="FD229" i="4"/>
  <c r="FD204" i="4"/>
  <c r="FD205" i="4" s="1"/>
  <c r="EC204" i="4"/>
  <c r="EC205" i="4" s="1"/>
  <c r="EC229" i="4"/>
  <c r="FT204" i="4"/>
  <c r="FT205" i="4" s="1"/>
  <c r="FT229" i="4"/>
  <c r="DT229" i="4"/>
  <c r="DT204" i="4"/>
  <c r="DT205" i="4" s="1"/>
  <c r="EW229" i="4"/>
  <c r="EW204" i="4"/>
  <c r="EW205" i="4" s="1"/>
  <c r="GB229" i="4"/>
  <c r="GB204" i="4"/>
  <c r="GB205" i="4" s="1"/>
  <c r="EB229" i="4"/>
  <c r="EB204" i="4"/>
  <c r="EB205" i="4" s="1"/>
  <c r="GI147" i="4"/>
  <c r="GA147" i="4"/>
  <c r="FS147" i="4"/>
  <c r="FK147" i="4"/>
  <c r="FC147" i="4"/>
  <c r="EU147" i="4"/>
  <c r="EM147" i="4"/>
  <c r="EE147" i="4"/>
  <c r="DW147" i="4"/>
  <c r="DO147" i="4"/>
  <c r="DG147" i="4"/>
  <c r="CY147" i="4"/>
  <c r="CQ147" i="4"/>
  <c r="CI147" i="4"/>
  <c r="CA147" i="4"/>
  <c r="BS147" i="4"/>
  <c r="BK147" i="4"/>
  <c r="BC147" i="4"/>
  <c r="AU147" i="4"/>
  <c r="AM147" i="4"/>
  <c r="AE147" i="4"/>
  <c r="W147" i="4"/>
  <c r="O147" i="4"/>
  <c r="GP147" i="4"/>
  <c r="GH147" i="4"/>
  <c r="FZ147" i="4"/>
  <c r="FR147" i="4"/>
  <c r="FJ147" i="4"/>
  <c r="FB147" i="4"/>
  <c r="ET147" i="4"/>
  <c r="EL147" i="4"/>
  <c r="ED147" i="4"/>
  <c r="DV147" i="4"/>
  <c r="DN147" i="4"/>
  <c r="DF147" i="4"/>
  <c r="CX147" i="4"/>
  <c r="CP147" i="4"/>
  <c r="CH147" i="4"/>
  <c r="BZ147" i="4"/>
  <c r="BR147" i="4"/>
  <c r="BJ147" i="4"/>
  <c r="BB147" i="4"/>
  <c r="AT147" i="4"/>
  <c r="AL147" i="4"/>
  <c r="AD147" i="4"/>
  <c r="V147" i="4"/>
  <c r="N147" i="4"/>
  <c r="GO147" i="4"/>
  <c r="GG147" i="4"/>
  <c r="FY147" i="4"/>
  <c r="FQ147" i="4"/>
  <c r="FI147" i="4"/>
  <c r="FA147" i="4"/>
  <c r="ES147" i="4"/>
  <c r="EK147" i="4"/>
  <c r="EC147" i="4"/>
  <c r="DU147" i="4"/>
  <c r="DM147" i="4"/>
  <c r="DE147" i="4"/>
  <c r="CW147" i="4"/>
  <c r="CO147" i="4"/>
  <c r="CG147" i="4"/>
  <c r="BY147" i="4"/>
  <c r="BQ147" i="4"/>
  <c r="BI147" i="4"/>
  <c r="BA147" i="4"/>
  <c r="AS147" i="4"/>
  <c r="AK147" i="4"/>
  <c r="AC147" i="4"/>
  <c r="U147" i="4"/>
  <c r="M147" i="4"/>
  <c r="GM147" i="4"/>
  <c r="GE147" i="4"/>
  <c r="FW147" i="4"/>
  <c r="FO147" i="4"/>
  <c r="FG147" i="4"/>
  <c r="EY147" i="4"/>
  <c r="EQ147" i="4"/>
  <c r="EI147" i="4"/>
  <c r="EA147" i="4"/>
  <c r="DS147" i="4"/>
  <c r="DK147" i="4"/>
  <c r="DC147" i="4"/>
  <c r="CU147" i="4"/>
  <c r="CM147" i="4"/>
  <c r="CE147" i="4"/>
  <c r="BW147" i="4"/>
  <c r="BO147" i="4"/>
  <c r="BG147" i="4"/>
  <c r="AY147" i="4"/>
  <c r="AQ147" i="4"/>
  <c r="AI147" i="4"/>
  <c r="AA147" i="4"/>
  <c r="S147" i="4"/>
  <c r="K147" i="4"/>
  <c r="GL147" i="4"/>
  <c r="GD147" i="4"/>
  <c r="FV147" i="4"/>
  <c r="FN147" i="4"/>
  <c r="FF147" i="4"/>
  <c r="EX147" i="4"/>
  <c r="EP147" i="4"/>
  <c r="EH147" i="4"/>
  <c r="DZ147" i="4"/>
  <c r="DR147" i="4"/>
  <c r="DJ147" i="4"/>
  <c r="DB147" i="4"/>
  <c r="CT147" i="4"/>
  <c r="CL147" i="4"/>
  <c r="CD147" i="4"/>
  <c r="BV147" i="4"/>
  <c r="BN147" i="4"/>
  <c r="BF147" i="4"/>
  <c r="AX147" i="4"/>
  <c r="AP147" i="4"/>
  <c r="AH147" i="4"/>
  <c r="Z147" i="4"/>
  <c r="R147" i="4"/>
  <c r="FX147" i="4"/>
  <c r="FD147" i="4"/>
  <c r="EG147" i="4"/>
  <c r="DL147" i="4"/>
  <c r="CR147" i="4"/>
  <c r="BU147" i="4"/>
  <c r="AZ147" i="4"/>
  <c r="AF147" i="4"/>
  <c r="FU147" i="4"/>
  <c r="EZ147" i="4"/>
  <c r="EF147" i="4"/>
  <c r="DI147" i="4"/>
  <c r="CN147" i="4"/>
  <c r="BT147" i="4"/>
  <c r="AW147" i="4"/>
  <c r="AB147" i="4"/>
  <c r="GN147" i="4"/>
  <c r="FT147" i="4"/>
  <c r="EW147" i="4"/>
  <c r="EB147" i="4"/>
  <c r="DH147" i="4"/>
  <c r="CK147" i="4"/>
  <c r="BP147" i="4"/>
  <c r="AV147" i="4"/>
  <c r="Y147" i="4"/>
  <c r="GK147" i="4"/>
  <c r="FP147" i="4"/>
  <c r="EV147" i="4"/>
  <c r="DY147" i="4"/>
  <c r="DD147" i="4"/>
  <c r="CJ147" i="4"/>
  <c r="BM147" i="4"/>
  <c r="AR147" i="4"/>
  <c r="X147" i="4"/>
  <c r="GF147" i="4"/>
  <c r="FL147" i="4"/>
  <c r="EO147" i="4"/>
  <c r="DT147" i="4"/>
  <c r="CZ147" i="4"/>
  <c r="CC147" i="4"/>
  <c r="BH147" i="4"/>
  <c r="AN147" i="4"/>
  <c r="Q147" i="4"/>
  <c r="GC147" i="4"/>
  <c r="DX147" i="4"/>
  <c r="BX147" i="4"/>
  <c r="P147" i="4"/>
  <c r="GB147" i="4"/>
  <c r="DQ147" i="4"/>
  <c r="BL147" i="4"/>
  <c r="L147" i="4"/>
  <c r="GJ147" i="4"/>
  <c r="CB147" i="4"/>
  <c r="T147" i="4"/>
  <c r="FM147" i="4"/>
  <c r="DP147" i="4"/>
  <c r="BE147" i="4"/>
  <c r="FH147" i="4"/>
  <c r="DA147" i="4"/>
  <c r="BD147" i="4"/>
  <c r="FE147" i="4"/>
  <c r="CV147" i="4"/>
  <c r="AO147" i="4"/>
  <c r="ER147" i="4"/>
  <c r="CS147" i="4"/>
  <c r="AJ147" i="4"/>
  <c r="EJ147" i="4"/>
  <c r="EN147" i="4"/>
  <c r="CF147" i="4"/>
  <c r="AG147" i="4"/>
  <c r="BH236" i="4"/>
  <c r="BH211" i="4"/>
  <c r="BH212" i="4" s="1"/>
  <c r="BH213" i="4" s="1"/>
  <c r="BH214" i="4" s="1"/>
  <c r="BL236" i="4"/>
  <c r="BL211" i="4"/>
  <c r="BL212" i="4" s="1"/>
  <c r="BL213" i="4" s="1"/>
  <c r="BL214" i="4" s="1"/>
  <c r="BS211" i="4"/>
  <c r="BS212" i="4" s="1"/>
  <c r="BS213" i="4" s="1"/>
  <c r="BS214" i="4" s="1"/>
  <c r="BS236" i="4"/>
  <c r="X236" i="4"/>
  <c r="X211" i="4"/>
  <c r="X212" i="4" s="1"/>
  <c r="X213" i="4" s="1"/>
  <c r="X214" i="4" s="1"/>
  <c r="BA236" i="4"/>
  <c r="BA211" i="4"/>
  <c r="BA212" i="4" s="1"/>
  <c r="BA213" i="4" s="1"/>
  <c r="BA214" i="4" s="1"/>
  <c r="BB236" i="4"/>
  <c r="BB211" i="4"/>
  <c r="BB212" i="4" s="1"/>
  <c r="BB213" i="4" s="1"/>
  <c r="BB214" i="4" s="1"/>
  <c r="BE236" i="4"/>
  <c r="BE211" i="4"/>
  <c r="BE212" i="4" s="1"/>
  <c r="BE213" i="4" s="1"/>
  <c r="BE214" i="4" s="1"/>
  <c r="BN236" i="4"/>
  <c r="BN211" i="4"/>
  <c r="BN212" i="4" s="1"/>
  <c r="BN213" i="4" s="1"/>
  <c r="BN214" i="4" s="1"/>
  <c r="K136" i="4" l="1"/>
  <c r="N111" i="4"/>
  <c r="L60" i="1" s="1"/>
  <c r="FO156" i="4"/>
  <c r="DC156" i="4"/>
  <c r="AQ156" i="4"/>
  <c r="FN156" i="4"/>
  <c r="EM156" i="4"/>
  <c r="CA156" i="4"/>
  <c r="O156" i="4"/>
  <c r="DF156" i="4"/>
  <c r="Y156" i="4"/>
  <c r="DP156" i="4"/>
  <c r="AH156" i="4"/>
  <c r="DY156" i="4"/>
  <c r="AR156" i="4"/>
  <c r="ER156" i="4"/>
  <c r="BJ156" i="4"/>
  <c r="FA156" i="4"/>
  <c r="BT156" i="4"/>
  <c r="DX156" i="4"/>
  <c r="CR156" i="4"/>
  <c r="AK156" i="4"/>
  <c r="EH156" i="4"/>
  <c r="CX156" i="4"/>
  <c r="BF156" i="4"/>
  <c r="CB156" i="4"/>
  <c r="EY156" i="4"/>
  <c r="AA156" i="4"/>
  <c r="DW156" i="4"/>
  <c r="FU156" i="4"/>
  <c r="GG156" i="4"/>
  <c r="M156" i="4"/>
  <c r="V156" i="4"/>
  <c r="AO156" i="4"/>
  <c r="AX156" i="4"/>
  <c r="AL156" i="4"/>
  <c r="CC156" i="4"/>
  <c r="U156" i="4"/>
  <c r="CE156" i="4"/>
  <c r="GA156" i="4"/>
  <c r="BC156" i="4"/>
  <c r="BZ156" i="4"/>
  <c r="CJ156" i="4"/>
  <c r="CS156" i="4"/>
  <c r="DL156" i="4"/>
  <c r="DU156" i="4"/>
  <c r="AP156" i="4"/>
  <c r="DM156" i="4"/>
  <c r="Q156" i="4"/>
  <c r="FW156" i="4"/>
  <c r="CI156" i="4"/>
  <c r="DQ156" i="4"/>
  <c r="EJ156" i="4"/>
  <c r="FB156" i="4"/>
  <c r="EZ156" i="4"/>
  <c r="BL156" i="4"/>
  <c r="GP156" i="4"/>
  <c r="FG156" i="4"/>
  <c r="CU156" i="4"/>
  <c r="AI156" i="4"/>
  <c r="FF156" i="4"/>
  <c r="EE156" i="4"/>
  <c r="BS156" i="4"/>
  <c r="GH156" i="4"/>
  <c r="CV156" i="4"/>
  <c r="N156" i="4"/>
  <c r="DE156" i="4"/>
  <c r="X156" i="4"/>
  <c r="DN156" i="4"/>
  <c r="AG156" i="4"/>
  <c r="EG156" i="4"/>
  <c r="AZ156" i="4"/>
  <c r="EP156" i="4"/>
  <c r="BI156" i="4"/>
  <c r="CW156" i="4"/>
  <c r="BQ156" i="4"/>
  <c r="FX156" i="4"/>
  <c r="DH156" i="4"/>
  <c r="BV156" i="4"/>
  <c r="ED156" i="4"/>
  <c r="CM156" i="4"/>
  <c r="GI156" i="4"/>
  <c r="BK156" i="4"/>
  <c r="CK156" i="4"/>
  <c r="CT156" i="4"/>
  <c r="DD156" i="4"/>
  <c r="DV156" i="4"/>
  <c r="EF156" i="4"/>
  <c r="BR156" i="4"/>
  <c r="EO156" i="4"/>
  <c r="AV156" i="4"/>
  <c r="EQ156" i="4"/>
  <c r="S156" i="4"/>
  <c r="DO156" i="4"/>
  <c r="FI156" i="4"/>
  <c r="FT156" i="4"/>
  <c r="GF156" i="4"/>
  <c r="L156" i="4"/>
  <c r="AD156" i="4"/>
  <c r="AN156" i="4"/>
  <c r="FY156" i="4"/>
  <c r="BA156" i="4"/>
  <c r="DI156" i="4"/>
  <c r="FV156" i="4"/>
  <c r="W156" i="4"/>
  <c r="DZ156" i="4"/>
  <c r="BB156" i="4"/>
  <c r="FM156" i="4"/>
  <c r="DT156" i="4"/>
  <c r="EC156" i="4"/>
  <c r="EI156" i="4"/>
  <c r="BW156" i="4"/>
  <c r="K156" i="4"/>
  <c r="FS156" i="4"/>
  <c r="DG156" i="4"/>
  <c r="AU156" i="4"/>
  <c r="EW156" i="4"/>
  <c r="BP156" i="4"/>
  <c r="FH156" i="4"/>
  <c r="BY156" i="4"/>
  <c r="FR156" i="4"/>
  <c r="CH156" i="4"/>
  <c r="GO156" i="4"/>
  <c r="DA156" i="4"/>
  <c r="T156" i="4"/>
  <c r="DJ156" i="4"/>
  <c r="AC156" i="4"/>
  <c r="P156" i="4"/>
  <c r="ES156" i="4"/>
  <c r="CL156" i="4"/>
  <c r="Z156" i="4"/>
  <c r="FJ156" i="4"/>
  <c r="DB156" i="4"/>
  <c r="DS156" i="4"/>
  <c r="GD156" i="4"/>
  <c r="CQ156" i="4"/>
  <c r="AT156" i="4"/>
  <c r="BD156" i="4"/>
  <c r="BM156" i="4"/>
  <c r="CF156" i="4"/>
  <c r="GJ156" i="4"/>
  <c r="CN156" i="4"/>
  <c r="FD156" i="4"/>
  <c r="EU156" i="4"/>
  <c r="AS156" i="4"/>
  <c r="CD156" i="4"/>
  <c r="AB156" i="4"/>
  <c r="GM156" i="4"/>
  <c r="EA156" i="4"/>
  <c r="BO156" i="4"/>
  <c r="GL156" i="4"/>
  <c r="FK156" i="4"/>
  <c r="CY156" i="4"/>
  <c r="AM156" i="4"/>
  <c r="EL156" i="4"/>
  <c r="BE156" i="4"/>
  <c r="EV156" i="4"/>
  <c r="BN156" i="4"/>
  <c r="FE156" i="4"/>
  <c r="BX156" i="4"/>
  <c r="GB156" i="4"/>
  <c r="CP156" i="4"/>
  <c r="GN156" i="4"/>
  <c r="CZ156" i="4"/>
  <c r="R156" i="4"/>
  <c r="GC156" i="4"/>
  <c r="DR156" i="4"/>
  <c r="BH156" i="4"/>
  <c r="GK156" i="4"/>
  <c r="AW156" i="4"/>
  <c r="CG156" i="4"/>
  <c r="GE156" i="4"/>
  <c r="BG156" i="4"/>
  <c r="FC156" i="4"/>
  <c r="AE156" i="4"/>
  <c r="EK156" i="4"/>
  <c r="ET156" i="4"/>
  <c r="FP156" i="4"/>
  <c r="CO156" i="4"/>
  <c r="EX156" i="4"/>
  <c r="AF156" i="4"/>
  <c r="FQ156" i="4"/>
  <c r="AY156" i="4"/>
  <c r="AJ156" i="4"/>
  <c r="BU156" i="4"/>
  <c r="FL156" i="4"/>
  <c r="EB156" i="4"/>
  <c r="FZ156" i="4"/>
  <c r="EN156" i="4"/>
  <c r="DK156" i="4"/>
  <c r="L73" i="1" l="1"/>
  <c r="L53" i="1"/>
  <c r="L57" i="1"/>
  <c r="L58" i="1"/>
  <c r="GO231" i="4"/>
  <c r="GO206" i="4"/>
  <c r="EY206" i="4"/>
  <c r="EY231" i="4"/>
  <c r="FO231" i="4"/>
  <c r="FO206" i="4"/>
  <c r="FP231" i="4"/>
  <c r="FP206" i="4"/>
  <c r="FS231" i="4"/>
  <c r="FS206" i="4"/>
  <c r="GI231" i="4"/>
  <c r="GI206" i="4"/>
  <c r="FW231" i="4"/>
  <c r="FW206" i="4"/>
  <c r="ET231" i="4"/>
  <c r="ET206" i="4"/>
  <c r="GB231" i="4"/>
  <c r="GB206" i="4"/>
  <c r="ES231" i="4"/>
  <c r="ES206" i="4"/>
  <c r="GF231" i="4"/>
  <c r="GF206" i="4"/>
  <c r="EP231" i="4"/>
  <c r="EP206" i="4"/>
  <c r="GP231" i="4"/>
  <c r="GP206" i="4"/>
  <c r="ET164" i="4"/>
  <c r="CH164" i="4"/>
  <c r="FN164" i="4"/>
  <c r="CS164" i="4"/>
  <c r="AA164" i="4"/>
  <c r="EU164" i="4"/>
  <c r="BY164" i="4"/>
  <c r="GK164" i="4"/>
  <c r="DP164" i="4"/>
  <c r="AU164" i="4"/>
  <c r="FH164" i="4"/>
  <c r="CM164" i="4"/>
  <c r="V164" i="4"/>
  <c r="CG164" i="4"/>
  <c r="EI164" i="4"/>
  <c r="GI164" i="4"/>
  <c r="AS164" i="4"/>
  <c r="CQ164" i="4"/>
  <c r="DZ164" i="4"/>
  <c r="FG164" i="4"/>
  <c r="U164" i="4"/>
  <c r="CT164" i="4"/>
  <c r="AZ164" i="4"/>
  <c r="EQ164" i="4"/>
  <c r="AV164" i="4"/>
  <c r="DC164" i="4"/>
  <c r="FJ164" i="4"/>
  <c r="CX164" i="4"/>
  <c r="DK164" i="4"/>
  <c r="CR164" i="4"/>
  <c r="BM164" i="4"/>
  <c r="FT164" i="4"/>
  <c r="X164" i="4"/>
  <c r="DY164" i="4"/>
  <c r="FA164" i="4"/>
  <c r="FY164" i="4"/>
  <c r="EL164" i="4"/>
  <c r="BZ164" i="4"/>
  <c r="FE164" i="4"/>
  <c r="CJ164" i="4"/>
  <c r="S164" i="4"/>
  <c r="EK164" i="4"/>
  <c r="BP164" i="4"/>
  <c r="GB164" i="4"/>
  <c r="DG164" i="4"/>
  <c r="AM164" i="4"/>
  <c r="EY164" i="4"/>
  <c r="CD164" i="4"/>
  <c r="N164" i="4"/>
  <c r="BO164" i="4"/>
  <c r="DQ164" i="4"/>
  <c r="FP164" i="4"/>
  <c r="AC164" i="4"/>
  <c r="BX164" i="4"/>
  <c r="DH164" i="4"/>
  <c r="EO164" i="4"/>
  <c r="GG164" i="4"/>
  <c r="AB164" i="4"/>
  <c r="EW164" i="4"/>
  <c r="GO164" i="4"/>
  <c r="AH164" i="4"/>
  <c r="AT164" i="4"/>
  <c r="ES164" i="4"/>
  <c r="EN164" i="4"/>
  <c r="FM164" i="4"/>
  <c r="GA164" i="4"/>
  <c r="AF164" i="4"/>
  <c r="BA164" i="4"/>
  <c r="DB164" i="4"/>
  <c r="FQ164" i="4"/>
  <c r="BK164" i="4"/>
  <c r="DU164" i="4"/>
  <c r="GP164" i="4"/>
  <c r="ED164" i="4"/>
  <c r="BR164" i="4"/>
  <c r="EV164" i="4"/>
  <c r="CA164" i="4"/>
  <c r="K164" i="4"/>
  <c r="EB164" i="4"/>
  <c r="BG164" i="4"/>
  <c r="FS164" i="4"/>
  <c r="CW164" i="4"/>
  <c r="AE164" i="4"/>
  <c r="EP164" i="4"/>
  <c r="BU164" i="4"/>
  <c r="GM164" i="4"/>
  <c r="AW164" i="4"/>
  <c r="CY164" i="4"/>
  <c r="EX164" i="4"/>
  <c r="M164" i="4"/>
  <c r="BF164" i="4"/>
  <c r="CO164" i="4"/>
  <c r="DW164" i="4"/>
  <c r="DL164" i="4"/>
  <c r="FF164" i="4"/>
  <c r="EE164" i="4"/>
  <c r="FR164" i="4"/>
  <c r="DT164" i="4"/>
  <c r="FV164" i="4"/>
  <c r="BV164" i="4"/>
  <c r="EJ164" i="4"/>
  <c r="GC164" i="4"/>
  <c r="GF164" i="4"/>
  <c r="Z164" i="4"/>
  <c r="AL164" i="4"/>
  <c r="CC164" i="4"/>
  <c r="AJ164" i="4"/>
  <c r="FB164" i="4"/>
  <c r="FW164" i="4"/>
  <c r="FD164" i="4"/>
  <c r="BD164" i="4"/>
  <c r="AD164" i="4"/>
  <c r="DI164" i="4"/>
  <c r="AK164" i="4"/>
  <c r="GH164" i="4"/>
  <c r="DV164" i="4"/>
  <c r="BJ164" i="4"/>
  <c r="EM164" i="4"/>
  <c r="BQ164" i="4"/>
  <c r="GN164" i="4"/>
  <c r="DS164" i="4"/>
  <c r="AX164" i="4"/>
  <c r="FI164" i="4"/>
  <c r="CN164" i="4"/>
  <c r="W164" i="4"/>
  <c r="EG164" i="4"/>
  <c r="BL164" i="4"/>
  <c r="FU164" i="4"/>
  <c r="AG164" i="4"/>
  <c r="CF164" i="4"/>
  <c r="EF164" i="4"/>
  <c r="GD164" i="4"/>
  <c r="AO164" i="4"/>
  <c r="BW164" i="4"/>
  <c r="DD164" i="4"/>
  <c r="AR164" i="4"/>
  <c r="CK164" i="4"/>
  <c r="CB164" i="4"/>
  <c r="DF164" i="4"/>
  <c r="AY164" i="4"/>
  <c r="DA164" i="4"/>
  <c r="DO164" i="4"/>
  <c r="GL164" i="4"/>
  <c r="AN164" i="4"/>
  <c r="L164" i="4"/>
  <c r="AQ164" i="4"/>
  <c r="EH164" i="4"/>
  <c r="DR164" i="4"/>
  <c r="FK164" i="4"/>
  <c r="CP164" i="4"/>
  <c r="AI164" i="4"/>
  <c r="R164" i="4"/>
  <c r="CV164" i="4"/>
  <c r="P164" i="4"/>
  <c r="ER164" i="4"/>
  <c r="FZ164" i="4"/>
  <c r="DN164" i="4"/>
  <c r="BB164" i="4"/>
  <c r="EC164" i="4"/>
  <c r="BH164" i="4"/>
  <c r="GE164" i="4"/>
  <c r="DJ164" i="4"/>
  <c r="AP164" i="4"/>
  <c r="EZ164" i="4"/>
  <c r="CE164" i="4"/>
  <c r="O164" i="4"/>
  <c r="DX164" i="4"/>
  <c r="BC164" i="4"/>
  <c r="FC164" i="4"/>
  <c r="Q164" i="4"/>
  <c r="BN164" i="4"/>
  <c r="DM164" i="4"/>
  <c r="FL164" i="4"/>
  <c r="Y164" i="4"/>
  <c r="BE164" i="4"/>
  <c r="CL164" i="4"/>
  <c r="FX164" i="4"/>
  <c r="T164" i="4"/>
  <c r="BI164" i="4"/>
  <c r="GJ164" i="4"/>
  <c r="CU164" i="4"/>
  <c r="BT164" i="4"/>
  <c r="DE164" i="4"/>
  <c r="EA164" i="4"/>
  <c r="BS164" i="4"/>
  <c r="CI164" i="4"/>
  <c r="CZ164" i="4"/>
  <c r="FO164" i="4"/>
  <c r="FL231" i="4"/>
  <c r="FL206" i="4"/>
  <c r="DZ231" i="4"/>
  <c r="DZ206" i="4"/>
  <c r="EO206" i="4"/>
  <c r="EO231" i="4"/>
  <c r="FG206" i="4"/>
  <c r="FG231" i="4"/>
  <c r="FA231" i="4"/>
  <c r="FA206" i="4"/>
  <c r="L55" i="1"/>
  <c r="L70" i="1"/>
  <c r="L61" i="1"/>
  <c r="L66" i="1"/>
  <c r="L76" i="1"/>
  <c r="L54" i="1"/>
  <c r="L74" i="1"/>
  <c r="L71" i="1"/>
  <c r="L59" i="1"/>
  <c r="L65" i="1"/>
  <c r="L62" i="1"/>
  <c r="L75" i="1"/>
  <c r="L50" i="1"/>
  <c r="L68" i="1"/>
  <c r="L72" i="1"/>
  <c r="GK231" i="4"/>
  <c r="GK206" i="4"/>
  <c r="FR231" i="4"/>
  <c r="FR206" i="4"/>
  <c r="EK231" i="4"/>
  <c r="EK206" i="4"/>
  <c r="FK231" i="4"/>
  <c r="FK206" i="4"/>
  <c r="EU206" i="4"/>
  <c r="EU231" i="4"/>
  <c r="FV231" i="4"/>
  <c r="FV206" i="4"/>
  <c r="FT231" i="4"/>
  <c r="FT206" i="4"/>
  <c r="EF231" i="4"/>
  <c r="EF206" i="4"/>
  <c r="ED206" i="4"/>
  <c r="ED231" i="4"/>
  <c r="GH231" i="4"/>
  <c r="GH206" i="4"/>
  <c r="GA231" i="4"/>
  <c r="GA206" i="4"/>
  <c r="ER206" i="4"/>
  <c r="ER231" i="4"/>
  <c r="L63" i="1"/>
  <c r="L43" i="1"/>
  <c r="EB206" i="4"/>
  <c r="EB231" i="4"/>
  <c r="EL231" i="4"/>
  <c r="EL206" i="4"/>
  <c r="DR206" i="4"/>
  <c r="DR231" i="4"/>
  <c r="GL231" i="4"/>
  <c r="GL206" i="4"/>
  <c r="GD206" i="4"/>
  <c r="GD231" i="4"/>
  <c r="FH231" i="4"/>
  <c r="FH206" i="4"/>
  <c r="DV206" i="4"/>
  <c r="DV231" i="4"/>
  <c r="EG206" i="4"/>
  <c r="EG231" i="4"/>
  <c r="EZ231" i="4"/>
  <c r="EZ206" i="4"/>
  <c r="EH231" i="4"/>
  <c r="EH206" i="4"/>
  <c r="FQ231" i="4"/>
  <c r="FQ206" i="4"/>
  <c r="GC206" i="4"/>
  <c r="GC231" i="4"/>
  <c r="DS206" i="4"/>
  <c r="DS231" i="4"/>
  <c r="FB206" i="4"/>
  <c r="FB231" i="4"/>
  <c r="DU231" i="4"/>
  <c r="DU206" i="4"/>
  <c r="DY231" i="4"/>
  <c r="DY206" i="4"/>
  <c r="L56" i="1"/>
  <c r="EN206" i="4"/>
  <c r="EN231" i="4"/>
  <c r="EV231" i="4"/>
  <c r="EV206" i="4"/>
  <c r="EA231" i="4"/>
  <c r="EA206" i="4"/>
  <c r="GJ231" i="4"/>
  <c r="GJ206" i="4"/>
  <c r="EW231" i="4"/>
  <c r="EW206" i="4"/>
  <c r="DT206" i="4"/>
  <c r="DT231" i="4"/>
  <c r="FY206" i="4"/>
  <c r="FY231" i="4"/>
  <c r="FX231" i="4"/>
  <c r="FX206" i="4"/>
  <c r="FF231" i="4"/>
  <c r="FF206" i="4"/>
  <c r="EJ231" i="4"/>
  <c r="EJ206" i="4"/>
  <c r="DW206" i="4"/>
  <c r="DW231" i="4"/>
  <c r="L64" i="1"/>
  <c r="L67" i="1"/>
  <c r="GN206" i="4"/>
  <c r="GN231" i="4"/>
  <c r="FE206" i="4"/>
  <c r="FE231" i="4"/>
  <c r="FD231" i="4"/>
  <c r="FD206" i="4"/>
  <c r="EI231" i="4"/>
  <c r="EI206" i="4"/>
  <c r="FI231" i="4"/>
  <c r="FI206" i="4"/>
  <c r="GG206" i="4"/>
  <c r="GG231" i="4"/>
  <c r="EM231" i="4"/>
  <c r="EM206" i="4"/>
  <c r="FC231" i="4"/>
  <c r="FC206" i="4"/>
  <c r="EC206" i="4"/>
  <c r="EC231" i="4"/>
  <c r="EE231" i="4"/>
  <c r="EE206" i="4"/>
  <c r="FU231" i="4"/>
  <c r="FU206" i="4"/>
  <c r="FN231" i="4"/>
  <c r="FN206" i="4"/>
  <c r="L46" i="1"/>
  <c r="FZ206" i="4"/>
  <c r="FZ231" i="4"/>
  <c r="EX231" i="4"/>
  <c r="EX206" i="4"/>
  <c r="GE231" i="4"/>
  <c r="GE206" i="4"/>
  <c r="GM231" i="4"/>
  <c r="GM206" i="4"/>
  <c r="FJ231" i="4"/>
  <c r="FJ206" i="4"/>
  <c r="FM206" i="4"/>
  <c r="FM231" i="4"/>
  <c r="EQ206" i="4"/>
  <c r="EQ231" i="4"/>
  <c r="DQ231" i="4"/>
  <c r="DQ206" i="4"/>
  <c r="DX206" i="4"/>
  <c r="DX231" i="4"/>
  <c r="L45" i="1"/>
  <c r="L69" i="1"/>
  <c r="EM239" i="4" l="1"/>
  <c r="EM214" i="4"/>
  <c r="EU239" i="4"/>
  <c r="EU214" i="4"/>
  <c r="FO214" i="4"/>
  <c r="FO239" i="4"/>
  <c r="GJ214" i="4"/>
  <c r="GJ239" i="4"/>
  <c r="EZ239" i="4"/>
  <c r="EZ214" i="4"/>
  <c r="FZ214" i="4"/>
  <c r="FZ239" i="4"/>
  <c r="DR239" i="4"/>
  <c r="DR214" i="4"/>
  <c r="GD239" i="4"/>
  <c r="GD214" i="4"/>
  <c r="DV214" i="4"/>
  <c r="DV239" i="4"/>
  <c r="FB239" i="4"/>
  <c r="FB214" i="4"/>
  <c r="EP214" i="4"/>
  <c r="EP239" i="4"/>
  <c r="EV239" i="4"/>
  <c r="EV214" i="4"/>
  <c r="GO239" i="4"/>
  <c r="GO214" i="4"/>
  <c r="FP239" i="4"/>
  <c r="FP214" i="4"/>
  <c r="GB239" i="4"/>
  <c r="GB214" i="4"/>
  <c r="FY239" i="4"/>
  <c r="FY214" i="4"/>
  <c r="FG239" i="4"/>
  <c r="FG214" i="4"/>
  <c r="EG214" i="4"/>
  <c r="EG239" i="4"/>
  <c r="ER239" i="4"/>
  <c r="ER214" i="4"/>
  <c r="EH239" i="4"/>
  <c r="EH214" i="4"/>
  <c r="EF239" i="4"/>
  <c r="EF214" i="4"/>
  <c r="FI239" i="4"/>
  <c r="FI214" i="4"/>
  <c r="GH214" i="4"/>
  <c r="GH239" i="4"/>
  <c r="FV214" i="4"/>
  <c r="FV239" i="4"/>
  <c r="EW239" i="4"/>
  <c r="EW214" i="4"/>
  <c r="DQ239" i="4"/>
  <c r="DQ214" i="4"/>
  <c r="FA239" i="4"/>
  <c r="FA214" i="4"/>
  <c r="FJ214" i="4"/>
  <c r="FJ239" i="4"/>
  <c r="DZ239" i="4"/>
  <c r="DZ214" i="4"/>
  <c r="FH214" i="4"/>
  <c r="FH239" i="4"/>
  <c r="FN239" i="4"/>
  <c r="FN214" i="4"/>
  <c r="DW214" i="4"/>
  <c r="DW239" i="4"/>
  <c r="DT239" i="4"/>
  <c r="DT214" i="4"/>
  <c r="ED239" i="4"/>
  <c r="ED214" i="4"/>
  <c r="GA239" i="4"/>
  <c r="GA214" i="4"/>
  <c r="EK239" i="4"/>
  <c r="EK214" i="4"/>
  <c r="DY239" i="4"/>
  <c r="DY214" i="4"/>
  <c r="GC239" i="4"/>
  <c r="GC214" i="4"/>
  <c r="FQ239" i="4"/>
  <c r="FQ214" i="4"/>
  <c r="FL214" i="4"/>
  <c r="FL239" i="4"/>
  <c r="FX239" i="4"/>
  <c r="FX214" i="4"/>
  <c r="FC239" i="4"/>
  <c r="FC214" i="4"/>
  <c r="GE214" i="4"/>
  <c r="GE239" i="4"/>
  <c r="DS239" i="4"/>
  <c r="DS214" i="4"/>
  <c r="FR239" i="4"/>
  <c r="FR214" i="4"/>
  <c r="EX214" i="4"/>
  <c r="EX239" i="4"/>
  <c r="FS214" i="4"/>
  <c r="FS239" i="4"/>
  <c r="GP239" i="4"/>
  <c r="GP214" i="4"/>
  <c r="FM239" i="4"/>
  <c r="FM214" i="4"/>
  <c r="GG239" i="4"/>
  <c r="GG214" i="4"/>
  <c r="ET239" i="4"/>
  <c r="ET214" i="4"/>
  <c r="FD214" i="4"/>
  <c r="FD239" i="4"/>
  <c r="FK214" i="4"/>
  <c r="FK239" i="4"/>
  <c r="FW214" i="4"/>
  <c r="FW239" i="4"/>
  <c r="EA214" i="4"/>
  <c r="EA239" i="4"/>
  <c r="FU239" i="4"/>
  <c r="FU214" i="4"/>
  <c r="GN239" i="4"/>
  <c r="GN214" i="4"/>
  <c r="EE239" i="4"/>
  <c r="EE214" i="4"/>
  <c r="DU239" i="4"/>
  <c r="DU214" i="4"/>
  <c r="EN239" i="4"/>
  <c r="EN214" i="4"/>
  <c r="EO214" i="4"/>
  <c r="EO239" i="4"/>
  <c r="FT239" i="4"/>
  <c r="FT214" i="4"/>
  <c r="EQ239" i="4"/>
  <c r="EQ214" i="4"/>
  <c r="GI239" i="4"/>
  <c r="GI214" i="4"/>
  <c r="GK214" i="4"/>
  <c r="GK239" i="4"/>
  <c r="GM239" i="4"/>
  <c r="GM214" i="4"/>
  <c r="EJ239" i="4"/>
  <c r="EJ214" i="4"/>
  <c r="EL239" i="4"/>
  <c r="EL214" i="4"/>
  <c r="DX214" i="4"/>
  <c r="DX239" i="4"/>
  <c r="EC239" i="4"/>
  <c r="EC214" i="4"/>
  <c r="GL239" i="4"/>
  <c r="GL214" i="4"/>
  <c r="GF239" i="4"/>
  <c r="GF214" i="4"/>
  <c r="FF239" i="4"/>
  <c r="FF214" i="4"/>
  <c r="EB214" i="4"/>
  <c r="EB239" i="4"/>
  <c r="ES214" i="4"/>
  <c r="ES239" i="4"/>
  <c r="EY214" i="4"/>
  <c r="EY239" i="4"/>
  <c r="FE239" i="4"/>
  <c r="FE214" i="4"/>
  <c r="EI239" i="4"/>
  <c r="EI214" i="4"/>
</calcChain>
</file>

<file path=xl/sharedStrings.xml><?xml version="1.0" encoding="utf-8"?>
<sst xmlns="http://schemas.openxmlformats.org/spreadsheetml/2006/main" count="646" uniqueCount="304">
  <si>
    <t>Momentuum Blue - Executive Summary</t>
  </si>
  <si>
    <t>One-page view of Recruitment, Training and Deployment. Every number is a formula; nothing is typed here.</t>
  </si>
  <si>
    <t>As of:</t>
  </si>
  <si>
    <t>RECRUITMENT: Offers accepted (cuml)</t>
  </si>
  <si>
    <t>RECRUITMENT: Slots needed next week</t>
  </si>
  <si>
    <t>TRAINING: Overall average, latest week</t>
  </si>
  <si>
    <t>DEPLOYMENT: FDEs at clients / total</t>
  </si>
  <si>
    <t>DEPLOYMENT: Monthly revenue (USD)</t>
  </si>
  <si>
    <t>DEPLOYMENT: On bench</t>
  </si>
  <si>
    <t>RECRUITMENT  -  FDE hiring by role (Cohort 1 + Cohort 2)</t>
  </si>
  <si>
    <t>Stage</t>
  </si>
  <si>
    <t>Associate FDE</t>
  </si>
  <si>
    <t>FDE</t>
  </si>
  <si>
    <t>Senior FDE</t>
  </si>
  <si>
    <t>Total</t>
  </si>
  <si>
    <t>Candidates in pipeline vs offers accepted, by role</t>
  </si>
  <si>
    <t>In pipeline now (waiting in any round)</t>
  </si>
  <si>
    <t>L1 cleared (cuml)</t>
  </si>
  <si>
    <t>Berribot assessment cleared (cuml)</t>
  </si>
  <si>
    <t>L2 cleared (cuml)</t>
  </si>
  <si>
    <t>L3 cleared (cuml)</t>
  </si>
  <si>
    <t>In CTO round</t>
  </si>
  <si>
    <t>Offers accepted (cuml)</t>
  </si>
  <si>
    <t>Joined till date (cuml)</t>
  </si>
  <si>
    <t>Slots needed next week</t>
  </si>
  <si>
    <t>TRAINING  -  Academy weekly scores</t>
  </si>
  <si>
    <t>Hands-on assignments average</t>
  </si>
  <si>
    <t>Proctored assessment average</t>
  </si>
  <si>
    <t>Active students</t>
  </si>
  <si>
    <t>Overall weekly average, Weeks 1-12</t>
  </si>
  <si>
    <t>DEPLOYMENT  -  where FDEs are based, when they are available and where they work</t>
  </si>
  <si>
    <t>Notes</t>
  </si>
  <si>
    <t>Recruitment: each number is the same role column on the Recruitement Dashboard with Cohort 1 and Cohort 2 added together, for the week set in that dashboard's yellow week-ending cell. A '–' means HR has not reported that number. 'In pipeline now' adds every pending count (screening, L1, Berribot, L2, L3, CTO, offer extended).</t>
  </si>
  <si>
    <t>Training: latest reported week from the Dashboard - Training sheet (data typed on Input - Trainers). The line shows the overall weekly average for weeks 1-12 and fills in as each week is entered.</t>
  </si>
  <si>
    <t>Deployment: cards read the Deployment Dashboard. The flow chart is drawn from the Calc sheet (rows 74 onwards: location x availability x client), so it redraws whenever Master-Input changes. Box and ribbon heights are to scale across all three columns. (It is two transparent charts stacked exactly on top of each other, because ribbons cross and one chart cannot draw crossing ribbons.)</t>
  </si>
  <si>
    <t>This page has no input cells. Update HR-Input, Input - Trainers or Master-Input and everything here follows.</t>
  </si>
  <si>
    <t>Data checks (all should be 0)</t>
  </si>
  <si>
    <t>Count</t>
  </si>
  <si>
    <t>Check</t>
  </si>
  <si>
    <t>FDEs in the location split differ from total headcount on the Deployment Dashboard</t>
  </si>
  <si>
    <t>FDEs in the availability &gt; deployment split differ from total headcount</t>
  </si>
  <si>
    <t>In-pipeline total by role differs from the two cohort cards on the Recruitement Dashboard</t>
  </si>
  <si>
    <t>FDE Hiring Pipeline Dashboard - by Cohort and Role</t>
  </si>
  <si>
    <t>Counts come straight from the HR-Input sheet (weekly). A '–' means that number has not been reported.</t>
  </si>
  <si>
    <t>Week ending:</t>
  </si>
  <si>
    <t>Yellow cell: defaults to the latest week; type an earlier week-ending date to view history.</t>
  </si>
  <si>
    <t>Cohort 1 recruitment</t>
  </si>
  <si>
    <t>In pipeline now</t>
  </si>
  <si>
    <t>Joined (cuml)</t>
  </si>
  <si>
    <t>Rejected (cuml)</t>
  </si>
  <si>
    <t>Recruitment flow, in order (this is what the chart shows)</t>
  </si>
  <si>
    <t>Screening pending</t>
  </si>
  <si>
    <t>Screening cleared (cuml)</t>
  </si>
  <si>
    <t>CTO round cleared (cuml)</t>
  </si>
  <si>
    <t>Offer extended (pending)</t>
  </si>
  <si>
    <t>Other counts</t>
  </si>
  <si>
    <t>Applications (cuml)</t>
  </si>
  <si>
    <t>L1 pending</t>
  </si>
  <si>
    <t>Berribot assessment applied (pending)</t>
  </si>
  <si>
    <t>L2 pending</t>
  </si>
  <si>
    <t>L3 pending</t>
  </si>
  <si>
    <t>CTO round pending</t>
  </si>
  <si>
    <t>On hold</t>
  </si>
  <si>
    <t>Cohort 2 recruitment</t>
  </si>
  <si>
    <t>Notes and assumptions</t>
  </si>
  <si>
    <t>How to use: HR-Input = one row per Cohort / Role per week (add new weeks below the last row; fill only what is known - blank means 'not reported' and shows as a dash). Candidate detail input = names from L3/CTO onwards. Blue = typed input; black = formula.</t>
  </si>
  <si>
    <t>'Pending' = people waiting for or sitting in that round. '(cuml)' = running total since the cohort started. Each chart follows the real flow: Screening, L1, Berribot assessment, L2, L3, CTO, offer, joined. Cleared counts for Screening/L1/Berribot/L2/L3/CTO were not in the email, so they show as dashes until TA reports them.</t>
  </si>
  <si>
    <t>Berribot assessment is the round between L1 and L2. 'Applied' = candidates scheduled or sent for Berribot and awaiting a result (a current count, like the other 'pending' columns); 'cleared' is the running total of those who passed.</t>
  </si>
  <si>
    <t>The 25-Sep status email names Cohort 2 only for the Associate FDEs. The FDE and Senior FDE numbers from the same email are entered under Cohort 1 (as set in HR-Input). Please keep this consistent in Candidate detail input.</t>
  </si>
  <si>
    <t>Role mapping used: Associate FDE = 'Associate FDEs for cohort 2'; FDE = 'FDE/Senior FDE (External)' (3 final selects are FDE); Senior FDE = 'Senior FDEs (Internal)'. A Source column (Internal/External) is kept on HR-Input in case Senior FDE is also hired externally.</t>
  </si>
  <si>
    <t>Report week ending 25-09-2026 is assumed (no date visible in the email; inferred from 'scheduled for 9/26'). External '2 interviews scheduled next week' is counted in L2 pending. Diversity counts stay in the HR-Input notes only.</t>
  </si>
  <si>
    <t>People who join move into the Master-Input sheet of the Deployment Dashboard. To add a Cohort 3, copy a cohort section on this sheet and change the cohort name in its formulas.</t>
  </si>
  <si>
    <t>Data checks</t>
  </si>
  <si>
    <t>Cohort / role combinations with no HR-Input row for the week shown (not reported yet)</t>
  </si>
  <si>
    <t>HR-Input rows with a week but no Cohort or Role</t>
  </si>
  <si>
    <t>Cohorts where Candidate detail input lists more 'Offer accepted' names than the HR-Input count</t>
  </si>
  <si>
    <t>Week_ending</t>
  </si>
  <si>
    <t>Cohort</t>
  </si>
  <si>
    <t>Role</t>
  </si>
  <si>
    <t>Source</t>
  </si>
  <si>
    <t>Applications_total (cuml)</t>
  </si>
  <si>
    <t>Screening_pending</t>
  </si>
  <si>
    <t>Screening_cleared (cuml)</t>
  </si>
  <si>
    <t>L1_pending</t>
  </si>
  <si>
    <t>L1_cleared (cuml)</t>
  </si>
  <si>
    <t>Berribot_applied</t>
  </si>
  <si>
    <t>Berribot_cleared (cuml)</t>
  </si>
  <si>
    <t>L2_pending</t>
  </si>
  <si>
    <t>L2_cleared (cuml)</t>
  </si>
  <si>
    <t>L3_pending</t>
  </si>
  <si>
    <t>L3_cleared (cuml)</t>
  </si>
  <si>
    <t>CTO_pending</t>
  </si>
  <si>
    <t>CTO_cleared (cuml)</t>
  </si>
  <si>
    <t>Offer_extended (pending)</t>
  </si>
  <si>
    <t>Offer_accepted (cuml)</t>
  </si>
  <si>
    <t>On_hold</t>
  </si>
  <si>
    <t>Slots_needed_next_week</t>
  </si>
  <si>
    <t>Cohort 2</t>
  </si>
  <si>
    <t>14 offers accepted (incl. 2 UK). L2 to be scheduled 59 (5 diversity). L3 to be scheduled 5 (1 diversity) - need min 50 slots next week. CTO final round scheduled 4 (2 on 9/26, 2 on 9/28). 20 additional diversity candidates scheduled for Berribot for the weekend.</t>
  </si>
  <si>
    <t>Cohort 1</t>
  </si>
  <si>
    <t>External</t>
  </si>
  <si>
    <t>Email heading is 'FDE/Senior FDE (External)'; entered here as FDE (3 final selects are FDE) - confirm split. L2_pending 15 = 13 in TA screening for L2 scheduling (need min 10 more slots) + 2 interviews scheduled next week. CTO_pending 2 = Lalita Gajbe (9/26) + Sunil Kumar (L3 select, one more short discussion before CTO). 3 offers accepted (Suyosha, Shri, Shreya). 4 on hold after Rubric 2. 11 interview rejects.</t>
  </si>
  <si>
    <t>Internal</t>
  </si>
  <si>
    <t>16 applications: 6 self-assessment assigned, not heard back; 1 L2 to be scheduled; rejected 9 = 7 not shortlisted post self-assessment + 2 L2 interview rejects (Yash Thakkar, Prasann G).</t>
  </si>
  <si>
    <t>Suyosha Acharya</t>
  </si>
  <si>
    <t>Shri Aiswarya Gorle</t>
  </si>
  <si>
    <t>Shreya Jamsandekar</t>
  </si>
  <si>
    <t>Academy Training - Weekly Scores Dashboard</t>
  </si>
  <si>
    <t>All numbers come from the Input - Trainers sheet and update as weeks are filled in. A '–' means not reported yet.</t>
  </si>
  <si>
    <t>Latest week reported</t>
  </si>
  <si>
    <t>Overall week average</t>
  </si>
  <si>
    <t>Hands-on assignments</t>
  </si>
  <si>
    <t>Proctored assessment</t>
  </si>
  <si>
    <t>Overall change vs previous week</t>
  </si>
  <si>
    <t>Average overall (all weeks)</t>
  </si>
  <si>
    <t>Best week (overall)</t>
  </si>
  <si>
    <t>Lowest week (overall)</t>
  </si>
  <si>
    <t>Weeks reported</t>
  </si>
  <si>
    <t>Students vs first week</t>
  </si>
  <si>
    <t>How to fill: use the Input - Trainers sheet, one row per week. Weeks 1-12 are listed; add week 13 onwards directly underneath (cards and checks read down to row 500). Blue = typed input. Leave future weeks blank.</t>
  </si>
  <si>
    <t>Overall week average is typed as reported. The check below flags a week if it differs from the simple average of hands-on and proctored by more than 1 point (week 6: 95% and 97% give 96%, so it matches).</t>
  </si>
  <si>
    <t>The charts show weeks 1-12. To show more weeks, extend the chart data range or ask for it to be extended. Week 6 was entered from the report page; all other weeks are blank for now.</t>
  </si>
  <si>
    <t>Weeks where Overall differs from the simple average of hands-on and proctored by more than 1 point</t>
  </si>
  <si>
    <t>Weeks with a score but no Active students number</t>
  </si>
  <si>
    <t>Duplicate week numbers</t>
  </si>
  <si>
    <t>Weeks with hands-on or proctored score but no Overall average (not counted on the dashboard)</t>
  </si>
  <si>
    <t>Workings (row numbers on the Input - Trainers sheet used by the cards above)</t>
  </si>
  <si>
    <t>A week counts as reported once its Overall average is filled in.</t>
  </si>
  <si>
    <t>Latest reported week - row on Input - Trainers</t>
  </si>
  <si>
    <t>Previous reported week - row on Input - Trainers</t>
  </si>
  <si>
    <t>First week with Active students - row</t>
  </si>
  <si>
    <t>Latest week with Active students - row</t>
  </si>
  <si>
    <t>Week</t>
  </si>
  <si>
    <t>Hands-on assignments avg (%)</t>
  </si>
  <si>
    <t>Proctored assessment avg (%)</t>
  </si>
  <si>
    <t>Overall week average (%)</t>
  </si>
  <si>
    <t>Topic / notes</t>
  </si>
  <si>
    <t>Retrieval-Augmented Generation &amp; Enterprise Data Fluency</t>
  </si>
  <si>
    <t>Momentuum Blue - Master Roster Dashboard</t>
  </si>
  <si>
    <t>Source: Master-Input sheet (transcribed from screenshot). Updates automatically when Master-Input changes.</t>
  </si>
  <si>
    <t>Total headcount (all stages)</t>
  </si>
  <si>
    <t>Joined till date</t>
  </si>
  <si>
    <t>Yet to join</t>
  </si>
  <si>
    <t>Active at client</t>
  </si>
  <si>
    <t>On bench (joined, unassigned)</t>
  </si>
  <si>
    <t>Utilization (active / joined FDEs)</t>
  </si>
  <si>
    <t>Monthly revenue run-rate (USD)</t>
  </si>
  <si>
    <t>Annualised run-rate (USD)</t>
  </si>
  <si>
    <t>Avg billing rate (USD/hr)</t>
  </si>
  <si>
    <t>Client starting soon</t>
  </si>
  <si>
    <t>Contracts ending soon</t>
  </si>
  <si>
    <t>Data checks flagged</t>
  </si>
  <si>
    <t>Client</t>
  </si>
  <si>
    <t>Active FDEs</t>
  </si>
  <si>
    <t>Monthly rev (USD)</t>
  </si>
  <si>
    <t>Avg rate (USD/hr)</t>
  </si>
  <si>
    <t>Availability flow: location &gt; availability &gt; deployment (all FDEs, not just active)</t>
  </si>
  <si>
    <t>Total FDEs (all stages)</t>
  </si>
  <si>
    <t>Available now</t>
  </si>
  <si>
    <t>Available in future</t>
  </si>
  <si>
    <t>Assigned to a client (incl. starting soon)</t>
  </si>
  <si>
    <t>On bench</t>
  </si>
  <si>
    <t>Monthly revenue incl. starting soon (USD)</t>
  </si>
  <si>
    <t>Available now = has a client assigned (including starting soon) or has started with no client and is not a Trainee. Available in future = Trainees and people who have not started yet. Revenue = rate x hours x weeks/month. Source: Master-Input sheet via Calc rows 48-70.</t>
  </si>
  <si>
    <t>Data quality checks</t>
  </si>
  <si>
    <t>Client start date is earlier than the person's Momentuum Blue start date</t>
  </si>
  <si>
    <t>Duplicate FDE names</t>
  </si>
  <si>
    <t>Client assigned but billing rate or hours missing</t>
  </si>
  <si>
    <t>Status or career-stage buckets do not add up to headcount (unexpected stage / dates)</t>
  </si>
  <si>
    <t>Revenue = billing rate x hours/week x billing weeks per month (Calc!H4), counted only for contracts active on the as-of date.</t>
  </si>
  <si>
    <t>Location</t>
  </si>
  <si>
    <t>Career_Stage</t>
  </si>
  <si>
    <t>Start_date_with_Momentuum_blue</t>
  </si>
  <si>
    <t>Current_Client</t>
  </si>
  <si>
    <t>Start_date_with_Current_Client</t>
  </si>
  <si>
    <t>End_date_with_Current_Client</t>
  </si>
  <si>
    <t>USD_Equivalent_Billing_Rate (USD/hour)</t>
  </si>
  <si>
    <t>Hours/week</t>
  </si>
  <si>
    <t>Monthly_Revenue</t>
  </si>
  <si>
    <t>Atul Moglewar</t>
  </si>
  <si>
    <t>India</t>
  </si>
  <si>
    <t>TriNet</t>
  </si>
  <si>
    <t>Jason Bowers</t>
  </si>
  <si>
    <t>USA</t>
  </si>
  <si>
    <t>PMI</t>
  </si>
  <si>
    <t>Gavin Dias</t>
  </si>
  <si>
    <t>Hiscox</t>
  </si>
  <si>
    <t>Sahil Shah</t>
  </si>
  <si>
    <t>SEI</t>
  </si>
  <si>
    <t>Rinkesh Chauhan</t>
  </si>
  <si>
    <t>M&amp;T Bank</t>
  </si>
  <si>
    <t>Aditya Chouhan</t>
  </si>
  <si>
    <t>Anand Patil</t>
  </si>
  <si>
    <t>UK</t>
  </si>
  <si>
    <t>Peabody</t>
  </si>
  <si>
    <t>Gustavo Romero</t>
  </si>
  <si>
    <t>LATAM</t>
  </si>
  <si>
    <t>Jay Patel</t>
  </si>
  <si>
    <t>Jorge Hernandez</t>
  </si>
  <si>
    <t>Ana Robles</t>
  </si>
  <si>
    <t>Tanul Thanvi</t>
  </si>
  <si>
    <t>Rashmikant Gadia</t>
  </si>
  <si>
    <t>Ram Shankar Gupta</t>
  </si>
  <si>
    <t>Canada</t>
  </si>
  <si>
    <t>Avinash Mishra</t>
  </si>
  <si>
    <t>Yash Deshmukh</t>
  </si>
  <si>
    <t>Trainee</t>
  </si>
  <si>
    <t>Atharv Raotole</t>
  </si>
  <si>
    <t>Atharva Chundurwar</t>
  </si>
  <si>
    <t>Caleb Rhys Hollander</t>
  </si>
  <si>
    <t>Dhyey Desai</t>
  </si>
  <si>
    <t>Harshini Battula</t>
  </si>
  <si>
    <t>Hrishikesh Keswani</t>
  </si>
  <si>
    <t>Jaimin Rakesh Shah</t>
  </si>
  <si>
    <t>Kanit Mann</t>
  </si>
  <si>
    <t>Manikandan Sundaram</t>
  </si>
  <si>
    <t>Nachiketh Tibrewal</t>
  </si>
  <si>
    <t>Prabhath Palakurthi</t>
  </si>
  <si>
    <t>Prajwal Kumar</t>
  </si>
  <si>
    <t>Ruthu Rao</t>
  </si>
  <si>
    <t>Smit Mahesh Pancha</t>
  </si>
  <si>
    <t>Tanishq Sharma</t>
  </si>
  <si>
    <t>Vedanti Patil</t>
  </si>
  <si>
    <t>Vidhi Kansara</t>
  </si>
  <si>
    <t>Zachary Bonagura</t>
  </si>
  <si>
    <t>Zhanping Zeng</t>
  </si>
  <si>
    <t>CALC - settings, notes and chart feeds (everything visible: edit blue/yellow cells only)</t>
  </si>
  <si>
    <t>SETTINGS (shared by all dashboards)</t>
  </si>
  <si>
    <t>Career stage</t>
  </si>
  <si>
    <t>Source: Master-Input!C (Career_Stage) x Master-Input!E (Source)</t>
  </si>
  <si>
    <t>As-of date</t>
  </si>
  <si>
    <t>Live date. Overwrite with a fixed date to view a past snapshot.</t>
  </si>
  <si>
    <t>Billing weeks per month</t>
  </si>
  <si>
    <t>ASSUMPTION - matches Monthly_Revenue in the source sheet (rate x hours x 4).</t>
  </si>
  <si>
    <t>'Ending soon' window (days)</t>
  </si>
  <si>
    <t>Contracts ending within this many days are flagged.</t>
  </si>
  <si>
    <t>READ ME</t>
  </si>
  <si>
    <t>Layout: Deployment Dashboard (dashboard) | Master-Input (data) | Calc (this sheet). A new data sheet gets its own dashboard sheet; its calculation blocks are added on this Calc sheet below the existing ones.</t>
  </si>
  <si>
    <t>Headcount</t>
  </si>
  <si>
    <t>Source: Master-Input!B (Location)</t>
  </si>
  <si>
    <t>Blue text = typed input. Black = formula (do not overwrite). Yellow = assumption you can change.</t>
  </si>
  <si>
    <t>Column E beside each table below states exactly which Master-Input columns feed it.</t>
  </si>
  <si>
    <t>Add new people at the bottom of Master-Input (Monthly_Revenue is pre-filled to row 200). Dashboards read down to row 500.</t>
  </si>
  <si>
    <t>Typed label lists (locations, clients, months) must be extended when a new one appears. 'Other' rows catch anything missed.</t>
  </si>
  <si>
    <t>TRANSCRIPTION NOTES (from a screenshot)</t>
  </si>
  <si>
    <t>- Names cut off on screen are entered as visible: 'Caleb Rhys Hollande', 'Manikandan Sundar', 'Smit Mahesh Pancha'. Please complete them.</t>
  </si>
  <si>
    <t>Other</t>
  </si>
  <si>
    <t>- Monthly_Revenue recalculated as rate x hours x 4; matches every value on the screenshot.</t>
  </si>
  <si>
    <t>- Check: Sahil Shah's client start (01-07-2026) is before his Momentuum Blue start (01-08-2026); Gustavo and Jay now end 31-03-2027 (earlier tracker said 31-12-2026).</t>
  </si>
  <si>
    <t>Where is everyone today</t>
  </si>
  <si>
    <t>People</t>
  </si>
  <si>
    <t>Source: Master-Input!A,C,D,F,G,H (names, stage, start dates, client, client dates) vs As-of date</t>
  </si>
  <si>
    <t>Client contract ended</t>
  </si>
  <si>
    <t>In training (Trainees)</t>
  </si>
  <si>
    <t>Client (active only)</t>
  </si>
  <si>
    <t>Monthly revenue (USD)</t>
  </si>
  <si>
    <t>Source: Master-Input!F,G,H,I,J (client, client dates, rate, hours) x weeks/month (H4)</t>
  </si>
  <si>
    <t>Other clients</t>
  </si>
  <si>
    <t>Total active</t>
  </si>
  <si>
    <t>Month starting</t>
  </si>
  <si>
    <t>Month</t>
  </si>
  <si>
    <t>Joiners</t>
  </si>
  <si>
    <t>Source: Master-Input!D (Start_date_with_Momentuum_blue)</t>
  </si>
  <si>
    <t>Deployment Dashboard - availability flow (Location &gt; Availability &gt; Deployment)</t>
  </si>
  <si>
    <t>Chart label</t>
  </si>
  <si>
    <t>Source: Master-Input!B (Location), A, C, D, F. Available now = client assigned (incl. starting soon) OR started, not a Trainee, no client. Available in future = everyone else.</t>
  </si>
  <si>
    <t>Availability &gt; Deployment</t>
  </si>
  <si>
    <t>FDEs</t>
  </si>
  <si>
    <t>Current bench</t>
  </si>
  <si>
    <t>Future deployments</t>
  </si>
  <si>
    <t>Other clients (not charted)</t>
  </si>
  <si>
    <t>Source: Master-Input!F (Current_Client), I x J x weeks/month (H4). Revenue includes clients starting soon. 'Other clients' only fills if a client is added to Master-Input that is not in the list at A29:A34.</t>
  </si>
  <si>
    <t>EXECUTIVE DASHBOARD - flow chart workings (feed the Deployment flow chart; formulas only, nothing to type here)</t>
  </si>
  <si>
    <t>Each box and ribbon height is a count of FDEs x one common scale, so all three columns of the chart are to scale. Source rows: 50-56 (location x availability) and 60-69 (availability x client) above.</t>
  </si>
  <si>
    <t>Chart height (rows) - fixed, matches the chart on Executive Dashboard</t>
  </si>
  <si>
    <t>Gap between boxes (rows)</t>
  </si>
  <si>
    <t>Most gaps in one column (9 boxes = 8 gaps)</t>
  </si>
  <si>
    <t>Scale: chart rows per FDE</t>
  </si>
  <si>
    <t>Chart points: location box</t>
  </si>
  <si>
    <t>Chart points: ribbon 1 (location &gt; availability)</t>
  </si>
  <si>
    <t>Chart points: availability box</t>
  </si>
  <si>
    <t>Chart points: ribbon 2 (availability &gt; deployment)</t>
  </si>
  <si>
    <t>Chart points: deployment box</t>
  </si>
  <si>
    <t>Chart points: total</t>
  </si>
  <si>
    <t>Ribbon 2 starts at point</t>
  </si>
  <si>
    <t>Total FDEs</t>
  </si>
  <si>
    <t>Box height (rows)</t>
  </si>
  <si>
    <t>Box top (rows)</t>
  </si>
  <si>
    <t>Label row</t>
  </si>
  <si>
    <t>Label text</t>
  </si>
  <si>
    <t>Availability</t>
  </si>
  <si>
    <t>Deployment</t>
  </si>
  <si>
    <t>Chart series (23 ribbons / boxes)</t>
  </si>
  <si>
    <t>Stack</t>
  </si>
  <si>
    <t>Thickness (rows)</t>
  </si>
  <si>
    <t>Top at start (rows)</t>
  </si>
  <si>
    <t>Top at end (rows)</t>
  </si>
  <si>
    <t>P</t>
  </si>
  <si>
    <t>S</t>
  </si>
  <si>
    <t>Chart point number (0 = left edge)</t>
  </si>
  <si>
    <t>TOP of each ribbon at every chart point (rows from chart top)</t>
  </si>
  <si>
    <t>THICKNESS of each ribbon at every chart point (0 outside its own column)</t>
  </si>
  <si>
    <t>BOTTOM EDGE of the stack so far (running total, used to size the invisible spacers)</t>
  </si>
  <si>
    <t>INVISIBLE SPACER below the previous ribbon (this is what is plotted as the no-fill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</si>
</sst>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mm\-yyyy"/>
    <numFmt numFmtId="165" formatCode="\$#,##0,\K"/>
    <numFmt numFmtId="166" formatCode="\$#,##0"/>
    <numFmt numFmtId="167" formatCode="\$#,##0;&quot;($&quot;#,##0\);\-"/>
    <numFmt numFmtId="168" formatCode="dd\-mm\-yyyy"/>
    <numFmt numFmtId="169" formatCode="\$#,##0.00"/>
    <numFmt numFmtId="170" formatCode="\+0.0&quot; pts&quot;;\-0.0&quot; pts&quot;;0.0&quot; pts&quot;"/>
    <numFmt numFmtId="171" formatCode="\+0;\-0;0"/>
  </numFmts>
  <fonts count="38" x14ac:knownFonts="1">
    <font>
      <sz val="11"/>
      <color theme="1"/>
      <name val="Calibri"/>
      <family val="2"/>
      <charset val="1"/>
    </font>
    <font>
      <b/>
      <sz val="20"/>
      <color rgb="FFFFFFFF"/>
      <name val="Arial"/>
      <charset val="1"/>
    </font>
    <font>
      <sz val="9"/>
      <color rgb="FF666666"/>
      <name val="Arial"/>
      <charset val="1"/>
    </font>
    <font>
      <b/>
      <sz val="11"/>
      <color rgb="FF000000"/>
      <name val="Arial"/>
      <charset val="1"/>
    </font>
    <font>
      <b/>
      <sz val="9"/>
      <color rgb="FFFFFFFF"/>
      <name val="Arial"/>
      <charset val="1"/>
    </font>
    <font>
      <b/>
      <sz val="22"/>
      <color rgb="FF1F3A5F"/>
      <name val="Arial"/>
      <charset val="1"/>
    </font>
    <font>
      <sz val="8"/>
      <color rgb="FF666666"/>
      <name val="Arial"/>
      <charset val="1"/>
    </font>
    <font>
      <b/>
      <sz val="11"/>
      <color rgb="FFFFFFFF"/>
      <name val="Arial"/>
      <charset val="1"/>
    </font>
    <font>
      <b/>
      <sz val="9"/>
      <color rgb="FF1F3A5F"/>
      <name val="Arial"/>
      <charset val="1"/>
    </font>
    <font>
      <sz val="9.5"/>
      <color rgb="FF000000"/>
      <name val="Arial"/>
      <charset val="1"/>
    </font>
    <font>
      <b/>
      <sz val="12"/>
      <color rgb="FF1F3A5F"/>
      <name val="Arial"/>
      <charset val="1"/>
    </font>
    <font>
      <b/>
      <sz val="20"/>
      <color rgb="FF1F3A5F"/>
      <name val="Arial"/>
      <charset val="1"/>
    </font>
    <font>
      <b/>
      <sz val="9"/>
      <color rgb="FF5A6577"/>
      <name val="Arial"/>
      <charset val="1"/>
    </font>
    <font>
      <b/>
      <sz val="10"/>
      <color rgb="FF33415C"/>
      <name val="Arial"/>
      <charset val="1"/>
    </font>
    <font>
      <sz val="9"/>
      <color rgb="FF444444"/>
      <name val="Arial"/>
      <charset val="1"/>
    </font>
    <font>
      <b/>
      <sz val="11"/>
      <color rgb="FF1F3A5F"/>
      <name val="Arial"/>
      <charset val="1"/>
    </font>
    <font>
      <i/>
      <sz val="9"/>
      <color rgb="FF666666"/>
      <name val="Arial"/>
      <charset val="1"/>
    </font>
    <font>
      <b/>
      <sz val="11"/>
      <name val="Arial"/>
      <charset val="1"/>
    </font>
    <font>
      <b/>
      <sz val="9"/>
      <color rgb="FFFFFFFF"/>
      <name val="Arial"/>
      <family val="2"/>
      <charset val="1"/>
    </font>
    <font>
      <sz val="11"/>
      <name val="Arial"/>
      <charset val="1"/>
    </font>
    <font>
      <b/>
      <sz val="11"/>
      <color rgb="FFC0504D"/>
      <name val="Arial"/>
      <charset val="1"/>
    </font>
    <font>
      <sz val="11"/>
      <name val="Arial"/>
      <family val="2"/>
      <charset val="1"/>
    </font>
    <font>
      <sz val="11"/>
      <name val="Calibri"/>
      <family val="2"/>
      <charset val="1"/>
    </font>
    <font>
      <b/>
      <sz val="13"/>
      <color rgb="FF1F3A5F"/>
      <name val="Arial"/>
      <charset val="1"/>
    </font>
    <font>
      <i/>
      <sz val="11"/>
      <color rgb="FF666666"/>
      <name val="Arial"/>
      <charset val="1"/>
    </font>
    <font>
      <sz val="11"/>
      <color rgb="FF0000FF"/>
      <name val="Arial"/>
      <charset val="1"/>
    </font>
    <font>
      <b/>
      <sz val="10"/>
      <color rgb="FF1F3A5F"/>
      <name val="Arial"/>
      <charset val="1"/>
    </font>
    <font>
      <sz val="10"/>
      <color rgb="FF000000"/>
      <name val="Arial"/>
      <charset val="1"/>
    </font>
    <font>
      <sz val="11"/>
      <color rgb="FF000000"/>
      <name val="Arial"/>
      <charset val="1"/>
    </font>
    <font>
      <sz val="11"/>
      <color rgb="FF666666"/>
      <name val="Arial"/>
      <charset val="1"/>
    </font>
    <font>
      <sz val="10"/>
      <color rgb="FF0000FF"/>
      <name val="Arial"/>
      <charset val="1"/>
    </font>
    <font>
      <b/>
      <sz val="9"/>
      <color rgb="FF000000"/>
      <name val="Arial"/>
      <charset val="1"/>
    </font>
    <font>
      <b/>
      <sz val="10"/>
      <color rgb="FFFFFFFF"/>
      <name val="Arial"/>
      <charset val="1"/>
    </font>
    <font>
      <sz val="9"/>
      <color rgb="FF000000"/>
      <name val="Arial"/>
      <charset val="1"/>
    </font>
    <font>
      <sz val="8"/>
      <color rgb="FF000000"/>
      <name val="Arial"/>
      <charset val="1"/>
    </font>
    <font>
      <sz val="10"/>
      <name val="Arial"/>
      <charset val="1"/>
    </font>
    <font>
      <b/>
      <sz val="10"/>
      <name val="Arial"/>
      <charset val="1"/>
    </font>
    <font>
      <b/>
      <sz val="18"/>
      <color rgb="FF1F3A5F"/>
      <name val="Arial"/>
      <charset val="1"/>
    </font>
  </fonts>
  <fills count="12">
    <fill>
      <patternFill patternType="none"/>
    </fill>
    <fill>
      <patternFill patternType="gray125"/>
    </fill>
    <fill>
      <patternFill patternType="solid">
        <fgColor rgb="FF1F3A5F"/>
        <bgColor rgb="FF2B3A4A"/>
      </patternFill>
    </fill>
    <fill>
      <patternFill patternType="solid">
        <fgColor rgb="FF1E9E75"/>
        <bgColor rgb="FF2A7F9E"/>
      </patternFill>
    </fill>
    <fill>
      <patternFill patternType="solid">
        <fgColor rgb="FF7A4CC2"/>
        <bgColor rgb="FF5A6577"/>
      </patternFill>
    </fill>
    <fill>
      <patternFill patternType="solid">
        <fgColor rgb="FF2F6FDE"/>
        <bgColor rgb="FF4E85E3"/>
      </patternFill>
    </fill>
    <fill>
      <patternFill patternType="solid">
        <fgColor rgb="FFEAF1F8"/>
        <bgColor rgb="FFE3E8F0"/>
      </patternFill>
    </fill>
    <fill>
      <patternFill patternType="solid">
        <fgColor rgb="FF2A7F9E"/>
        <bgColor rgb="FF2F6FDE"/>
      </patternFill>
    </fill>
    <fill>
      <patternFill patternType="solid">
        <fgColor rgb="FFC0504D"/>
        <bgColor rgb="FFE96368"/>
      </patternFill>
    </fill>
    <fill>
      <patternFill patternType="solid">
        <fgColor rgb="FF7F8790"/>
        <bgColor rgb="FF878787"/>
      </patternFill>
    </fill>
    <fill>
      <patternFill patternType="solid">
        <fgColor rgb="FFFFFF00"/>
        <bgColor rgb="FFF9CEA3"/>
      </patternFill>
    </fill>
    <fill>
      <patternFill patternType="solid">
        <fgColor rgb="FFDDE6F0"/>
        <bgColor rgb="FFE3E8F0"/>
      </patternFill>
    </fill>
  </fills>
  <borders count="4">
    <border>
      <left/>
      <right/>
      <top/>
      <bottom/>
      <diagonal/>
    </border>
    <border>
      <left/>
      <right/>
      <top/>
      <bottom style="thin">
        <color rgb="FFD9DEE7"/>
      </bottom>
      <diagonal/>
    </border>
    <border>
      <left style="thin">
        <color rgb="FFC8D0D9"/>
      </left>
      <right style="thin">
        <color rgb="FFC8D0D9"/>
      </right>
      <top style="thin">
        <color rgb="FFC8D0D9"/>
      </top>
      <bottom style="thin">
        <color rgb="FFC8D0D9"/>
      </bottom>
      <diagonal/>
    </border>
    <border>
      <left/>
      <right style="thin">
        <color rgb="FFC8D0D9"/>
      </right>
      <top/>
      <bottom/>
      <diagonal/>
    </border>
  </borders>
  <cellStyleXfs count="1">
    <xf numFmtId="0" fontId="0" fillId="0" borderId="0"/>
  </cellStyleXfs>
  <cellXfs count="119">
    <xf numFmtId="0" fontId="0" fillId="0" borderId="0" xfId="0"/>
    <xf numFmtId="0" fontId="4" fillId="2" borderId="0" xfId="0" applyFont="1" applyFill="1" applyAlignment="1">
      <alignment horizontal="center" vertical="center" wrapText="1"/>
    </xf>
    <xf numFmtId="0" fontId="3" fillId="0" borderId="0" xfId="0" applyFont="1" applyAlignment="1">
      <alignment horizontal="right"/>
    </xf>
    <xf numFmtId="164" fontId="3" fillId="0" borderId="0" xfId="0" applyNumberFormat="1" applyFont="1" applyAlignment="1">
      <alignment horizontal="left"/>
    </xf>
    <xf numFmtId="1" fontId="10" fillId="0" borderId="1" xfId="0" applyNumberFormat="1" applyFont="1" applyBorder="1" applyAlignment="1">
      <alignment horizontal="center" vertical="center" wrapText="1"/>
    </xf>
    <xf numFmtId="1" fontId="10" fillId="6" borderId="1" xfId="0" applyNumberFormat="1" applyFont="1" applyFill="1" applyBorder="1" applyAlignment="1">
      <alignment horizontal="center" vertical="center" wrapText="1"/>
    </xf>
    <xf numFmtId="1" fontId="15" fillId="0" borderId="1" xfId="0" applyNumberFormat="1" applyFont="1" applyBorder="1" applyAlignment="1">
      <alignment horizontal="center" vertical="center" wrapText="1"/>
    </xf>
    <xf numFmtId="0" fontId="16" fillId="0" borderId="0" xfId="0" applyFont="1"/>
    <xf numFmtId="0" fontId="17" fillId="0" borderId="0" xfId="0" applyFont="1" applyAlignment="1">
      <alignment horizontal="right"/>
    </xf>
    <xf numFmtId="0" fontId="4" fillId="2" borderId="0" xfId="0" applyFont="1" applyFill="1" applyAlignment="1">
      <alignment horizontal="center" wrapText="1"/>
    </xf>
    <xf numFmtId="0" fontId="19" fillId="0" borderId="2" xfId="0" applyFont="1" applyBorder="1" applyAlignment="1">
      <alignment horizontal="left"/>
    </xf>
    <xf numFmtId="0" fontId="19" fillId="0" borderId="2" xfId="0" applyFont="1" applyBorder="1" applyAlignment="1">
      <alignment horizontal="center"/>
    </xf>
    <xf numFmtId="167" fontId="19" fillId="0" borderId="2" xfId="0" applyNumberFormat="1" applyFont="1" applyBorder="1" applyAlignment="1">
      <alignment horizontal="center"/>
    </xf>
    <xf numFmtId="0" fontId="17" fillId="0" borderId="2" xfId="0" applyFont="1" applyBorder="1" applyAlignment="1">
      <alignment horizontal="left"/>
    </xf>
    <xf numFmtId="0" fontId="17" fillId="0" borderId="2" xfId="0" applyFont="1" applyBorder="1" applyAlignment="1">
      <alignment horizontal="center"/>
    </xf>
    <xf numFmtId="167" fontId="17" fillId="0" borderId="2" xfId="0" applyNumberFormat="1" applyFont="1" applyBorder="1" applyAlignment="1">
      <alignment horizontal="center"/>
    </xf>
    <xf numFmtId="0" fontId="7" fillId="2" borderId="0" xfId="0" applyFont="1" applyFill="1"/>
    <xf numFmtId="0" fontId="17" fillId="0" borderId="0" xfId="0" applyFont="1"/>
    <xf numFmtId="0" fontId="20" fillId="0" borderId="0" xfId="0" applyFont="1" applyAlignment="1">
      <alignment horizontal="center"/>
    </xf>
    <xf numFmtId="0" fontId="19" fillId="0" borderId="0" xfId="0" applyFont="1"/>
    <xf numFmtId="0" fontId="7" fillId="2" borderId="2" xfId="0" applyFont="1" applyFill="1" applyBorder="1" applyAlignment="1">
      <alignment horizontal="center" vertical="center" wrapText="1"/>
    </xf>
    <xf numFmtId="0" fontId="21" fillId="0" borderId="2" xfId="0" applyFont="1" applyBorder="1"/>
    <xf numFmtId="0" fontId="21" fillId="0" borderId="2" xfId="0" applyFont="1" applyBorder="1" applyAlignment="1">
      <alignment horizontal="center"/>
    </xf>
    <xf numFmtId="168" fontId="21" fillId="0" borderId="2" xfId="0" applyNumberFormat="1" applyFont="1" applyBorder="1" applyAlignment="1">
      <alignment horizontal="center"/>
    </xf>
    <xf numFmtId="169" fontId="21" fillId="0" borderId="2" xfId="0" applyNumberFormat="1" applyFont="1" applyBorder="1"/>
    <xf numFmtId="167" fontId="21" fillId="0" borderId="2" xfId="0" applyNumberFormat="1" applyFont="1" applyBorder="1"/>
    <xf numFmtId="0" fontId="22" fillId="0" borderId="0" xfId="0" applyFont="1"/>
    <xf numFmtId="0" fontId="22" fillId="0" borderId="2" xfId="0" applyFont="1" applyBorder="1"/>
    <xf numFmtId="168" fontId="22" fillId="0" borderId="2" xfId="0" applyNumberFormat="1" applyFont="1" applyBorder="1" applyAlignment="1">
      <alignment horizontal="center"/>
    </xf>
    <xf numFmtId="169" fontId="22" fillId="0" borderId="2" xfId="0" applyNumberFormat="1" applyFont="1" applyBorder="1"/>
    <xf numFmtId="0" fontId="22" fillId="0" borderId="2" xfId="0" applyFont="1" applyBorder="1" applyAlignment="1">
      <alignment horizontal="center"/>
    </xf>
    <xf numFmtId="167" fontId="19" fillId="0" borderId="0" xfId="0" applyNumberFormat="1" applyFont="1"/>
    <xf numFmtId="0" fontId="23" fillId="0" borderId="0" xfId="0" applyFont="1"/>
    <xf numFmtId="0" fontId="0" fillId="2" borderId="0" xfId="0" applyFill="1"/>
    <xf numFmtId="168" fontId="19" fillId="10" borderId="2" xfId="0" applyNumberFormat="1" applyFont="1" applyFill="1" applyBorder="1"/>
    <xf numFmtId="0" fontId="24" fillId="0" borderId="0" xfId="0" applyFont="1"/>
    <xf numFmtId="0" fontId="25" fillId="0" borderId="0" xfId="0" applyFont="1"/>
    <xf numFmtId="0" fontId="25" fillId="10" borderId="2" xfId="0" applyFont="1" applyFill="1" applyBorder="1"/>
    <xf numFmtId="167" fontId="17" fillId="0" borderId="0" xfId="0" applyNumberFormat="1" applyFont="1"/>
    <xf numFmtId="168" fontId="25" fillId="0" borderId="0" xfId="0" applyNumberFormat="1" applyFont="1"/>
    <xf numFmtId="0" fontId="15" fillId="0" borderId="0" xfId="0" applyFont="1"/>
    <xf numFmtId="0" fontId="28" fillId="0" borderId="0" xfId="0" applyFont="1"/>
    <xf numFmtId="0" fontId="29" fillId="0" borderId="0" xfId="0" applyFont="1"/>
    <xf numFmtId="0" fontId="3" fillId="0" borderId="0" xfId="0" applyFont="1"/>
    <xf numFmtId="167" fontId="28" fillId="0" borderId="0" xfId="0" applyNumberFormat="1" applyFont="1"/>
    <xf numFmtId="167" fontId="3" fillId="0" borderId="0" xfId="0" applyNumberFormat="1" applyFont="1"/>
    <xf numFmtId="0" fontId="27" fillId="0" borderId="0" xfId="0" applyFont="1"/>
    <xf numFmtId="0" fontId="30" fillId="0" borderId="0" xfId="0" applyFont="1"/>
    <xf numFmtId="0" fontId="4" fillId="7" borderId="0" xfId="0" applyFont="1" applyFill="1" applyAlignment="1">
      <alignment horizontal="center" wrapText="1"/>
    </xf>
    <xf numFmtId="0" fontId="27" fillId="0" borderId="0" xfId="0" applyFont="1" applyAlignment="1">
      <alignment wrapText="1"/>
    </xf>
    <xf numFmtId="3" fontId="27" fillId="0" borderId="0" xfId="0" applyNumberFormat="1" applyFont="1"/>
    <xf numFmtId="0" fontId="31" fillId="0" borderId="0" xfId="0" applyFont="1"/>
    <xf numFmtId="0" fontId="6" fillId="0" borderId="0" xfId="0" applyFont="1"/>
    <xf numFmtId="0" fontId="32" fillId="7" borderId="0" xfId="0" applyFont="1" applyFill="1"/>
    <xf numFmtId="0" fontId="0" fillId="7" borderId="0" xfId="0" applyFill="1"/>
    <xf numFmtId="0" fontId="33" fillId="0" borderId="0" xfId="0" applyFont="1"/>
    <xf numFmtId="2" fontId="34" fillId="0" borderId="0" xfId="0" applyNumberFormat="1" applyFont="1"/>
    <xf numFmtId="0" fontId="33" fillId="0" borderId="0" xfId="0" applyFont="1" applyAlignment="1">
      <alignment wrapText="1"/>
    </xf>
    <xf numFmtId="164" fontId="17" fillId="10" borderId="2" xfId="0" applyNumberFormat="1" applyFont="1" applyFill="1" applyBorder="1" applyAlignment="1">
      <alignment horizontal="center"/>
    </xf>
    <xf numFmtId="0" fontId="35" fillId="0" borderId="2" xfId="0" applyFont="1" applyBorder="1" applyAlignment="1">
      <alignment horizontal="center" vertical="center"/>
    </xf>
    <xf numFmtId="0" fontId="36" fillId="0" borderId="2" xfId="0" applyFont="1" applyBorder="1" applyAlignment="1">
      <alignment horizontal="center" vertical="center"/>
    </xf>
    <xf numFmtId="168" fontId="25" fillId="0" borderId="2" xfId="0" applyNumberFormat="1" applyFont="1" applyBorder="1" applyAlignment="1">
      <alignment horizontal="center" vertical="top"/>
    </xf>
    <xf numFmtId="0" fontId="25" fillId="0" borderId="2" xfId="0" applyFont="1" applyBorder="1" applyAlignment="1">
      <alignment horizontal="center" vertical="top"/>
    </xf>
    <xf numFmtId="0" fontId="25" fillId="0" borderId="2" xfId="0" applyFont="1" applyBorder="1" applyAlignment="1">
      <alignment vertical="top" wrapText="1"/>
    </xf>
    <xf numFmtId="0" fontId="25" fillId="0" borderId="2" xfId="0" applyFont="1" applyBorder="1"/>
    <xf numFmtId="0" fontId="25" fillId="0" borderId="2" xfId="0" applyFont="1" applyBorder="1" applyAlignment="1">
      <alignment horizontal="center"/>
    </xf>
    <xf numFmtId="9" fontId="25" fillId="0" borderId="2" xfId="0" applyNumberFormat="1" applyFont="1" applyBorder="1" applyAlignment="1">
      <alignment horizontal="center"/>
    </xf>
    <xf numFmtId="0" fontId="7" fillId="2" borderId="0" xfId="0" applyFont="1" applyFill="1" applyAlignment="1">
      <alignment horizontal="left" vertical="center" indent="1"/>
    </xf>
    <xf numFmtId="0" fontId="4" fillId="2" borderId="0" xfId="0" applyFont="1" applyFill="1" applyAlignment="1">
      <alignment horizontal="left" vertical="center" indent="1"/>
    </xf>
    <xf numFmtId="0" fontId="9" fillId="0" borderId="1" xfId="0" applyFont="1" applyBorder="1" applyAlignment="1">
      <alignment horizontal="left" vertical="center" indent="1"/>
    </xf>
    <xf numFmtId="0" fontId="13" fillId="0" borderId="0" xfId="0" applyFont="1" applyAlignment="1">
      <alignment horizontal="right" vertical="center"/>
    </xf>
    <xf numFmtId="0" fontId="13" fillId="0" borderId="0" xfId="0" applyFont="1" applyAlignment="1">
      <alignment horizontal="left" vertical="center"/>
    </xf>
    <xf numFmtId="0" fontId="14" fillId="0" borderId="0" xfId="0" applyFont="1" applyAlignment="1">
      <alignment horizontal="left" vertical="center" wrapText="1" indent="1"/>
    </xf>
    <xf numFmtId="0" fontId="8" fillId="0" borderId="0" xfId="0" applyFont="1" applyAlignment="1">
      <alignment horizontal="left" vertical="center" indent="1"/>
    </xf>
    <xf numFmtId="0" fontId="7" fillId="5" borderId="0" xfId="0" applyFont="1" applyFill="1" applyAlignment="1">
      <alignment horizontal="left" vertical="center" indent="1"/>
    </xf>
    <xf numFmtId="0" fontId="12" fillId="0" borderId="0" xfId="0" applyFont="1" applyAlignment="1">
      <alignment horizontal="center" vertical="center" wrapText="1"/>
    </xf>
    <xf numFmtId="0" fontId="9" fillId="0" borderId="1" xfId="0" applyFont="1" applyBorder="1" applyAlignment="1">
      <alignment horizontal="left" vertical="center" wrapText="1" indent="1"/>
    </xf>
    <xf numFmtId="0" fontId="7" fillId="4" borderId="0" xfId="0" applyFont="1" applyFill="1" applyAlignment="1">
      <alignment horizontal="left" vertical="center" indent="1"/>
    </xf>
    <xf numFmtId="0" fontId="4" fillId="4" borderId="0" xfId="0" applyFont="1" applyFill="1" applyAlignment="1">
      <alignment horizontal="center" vertical="center" wrapText="1"/>
    </xf>
    <xf numFmtId="9" fontId="11" fillId="6" borderId="0" xfId="0" applyNumberFormat="1" applyFont="1" applyFill="1" applyAlignment="1">
      <alignment horizontal="center" vertical="center" wrapText="1"/>
    </xf>
    <xf numFmtId="1" fontId="11" fillId="6" borderId="0" xfId="0" applyNumberFormat="1" applyFont="1" applyFill="1" applyAlignment="1">
      <alignment horizontal="center" vertical="center" wrapText="1"/>
    </xf>
    <xf numFmtId="0" fontId="7" fillId="3" borderId="0" xfId="0" applyFont="1" applyFill="1" applyAlignment="1">
      <alignment horizontal="left" vertical="center" indent="1"/>
    </xf>
    <xf numFmtId="0" fontId="4" fillId="2" borderId="0" xfId="0" applyFont="1" applyFill="1" applyAlignment="1">
      <alignment horizontal="center" vertical="center" wrapText="1"/>
    </xf>
    <xf numFmtId="1" fontId="5" fillId="6" borderId="0" xfId="0" applyNumberFormat="1" applyFont="1" applyFill="1" applyAlignment="1">
      <alignment horizontal="center" vertical="center" wrapText="1"/>
    </xf>
    <xf numFmtId="9" fontId="5" fillId="6" borderId="0" xfId="0" applyNumberFormat="1" applyFont="1" applyFill="1" applyAlignment="1">
      <alignment horizontal="center" vertical="center" wrapText="1"/>
    </xf>
    <xf numFmtId="49" fontId="5" fillId="6" borderId="0" xfId="0" applyNumberFormat="1" applyFont="1" applyFill="1" applyAlignment="1">
      <alignment horizontal="center" vertical="center" wrapText="1"/>
    </xf>
    <xf numFmtId="165" fontId="5" fillId="6" borderId="0" xfId="0" applyNumberFormat="1" applyFont="1" applyFill="1" applyAlignment="1">
      <alignment horizontal="center" vertical="center" wrapText="1"/>
    </xf>
    <xf numFmtId="0" fontId="6" fillId="6" borderId="0" xfId="0" applyFont="1" applyFill="1" applyAlignment="1">
      <alignment horizontal="center" vertical="center" wrapText="1"/>
    </xf>
    <xf numFmtId="0" fontId="1" fillId="2" borderId="0" xfId="0" applyFont="1" applyFill="1" applyAlignment="1">
      <alignment horizontal="left" vertical="center" indent="1"/>
    </xf>
    <xf numFmtId="0" fontId="2" fillId="0" borderId="0" xfId="0" applyFont="1" applyAlignment="1">
      <alignment horizontal="left" vertical="center"/>
    </xf>
    <xf numFmtId="0" fontId="4" fillId="3" borderId="0" xfId="0" applyFont="1" applyFill="1" applyAlignment="1">
      <alignment horizontal="center" vertical="center" wrapText="1"/>
    </xf>
    <xf numFmtId="0" fontId="4" fillId="5" borderId="0" xfId="0" applyFont="1" applyFill="1" applyAlignment="1">
      <alignment horizontal="center" vertical="center" wrapText="1"/>
    </xf>
    <xf numFmtId="0" fontId="14" fillId="0" borderId="0" xfId="0" applyFont="1" applyAlignment="1">
      <alignment vertical="top" wrapText="1"/>
    </xf>
    <xf numFmtId="0" fontId="7" fillId="2" borderId="0" xfId="0" applyFont="1" applyFill="1" applyAlignment="1">
      <alignment vertical="center" indent="1"/>
    </xf>
    <xf numFmtId="0" fontId="35" fillId="0" borderId="2" xfId="0" applyFont="1" applyBorder="1" applyAlignment="1">
      <alignment horizontal="left" vertical="center" wrapText="1"/>
    </xf>
    <xf numFmtId="0" fontId="8" fillId="11" borderId="0" xfId="0" applyFont="1" applyFill="1"/>
    <xf numFmtId="1" fontId="5" fillId="6" borderId="2" xfId="0" applyNumberFormat="1" applyFont="1" applyFill="1" applyBorder="1" applyAlignment="1">
      <alignment horizontal="center" vertical="center"/>
    </xf>
    <xf numFmtId="0" fontId="4" fillId="7"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 fillId="2" borderId="0" xfId="0" applyFont="1" applyFill="1" applyAlignment="1">
      <alignment vertical="center" indent="1"/>
    </xf>
    <xf numFmtId="0" fontId="16" fillId="0" borderId="0" xfId="0" applyFont="1"/>
    <xf numFmtId="0" fontId="17" fillId="0" borderId="0" xfId="0" applyFont="1" applyAlignment="1">
      <alignment horizontal="right"/>
    </xf>
    <xf numFmtId="0" fontId="35" fillId="0" borderId="3" xfId="0" applyFont="1" applyBorder="1"/>
    <xf numFmtId="170" fontId="37" fillId="0" borderId="0" xfId="0" applyNumberFormat="1" applyFont="1" applyAlignment="1">
      <alignment horizontal="center" vertical="center"/>
    </xf>
    <xf numFmtId="9" fontId="5" fillId="6" borderId="2" xfId="0" applyNumberFormat="1" applyFont="1" applyFill="1" applyBorder="1" applyAlignment="1">
      <alignment horizontal="center" vertical="center"/>
    </xf>
    <xf numFmtId="0" fontId="37" fillId="6" borderId="2" xfId="0" applyFont="1" applyFill="1" applyBorder="1" applyAlignment="1">
      <alignment horizontal="center" vertical="center"/>
    </xf>
    <xf numFmtId="171" fontId="5" fillId="6" borderId="2" xfId="0" applyNumberFormat="1" applyFont="1" applyFill="1" applyBorder="1" applyAlignment="1">
      <alignment horizontal="center" vertical="center"/>
    </xf>
    <xf numFmtId="170" fontId="37" fillId="6" borderId="2" xfId="0" applyNumberFormat="1" applyFont="1" applyFill="1" applyBorder="1" applyAlignment="1">
      <alignment horizontal="center" vertical="center"/>
    </xf>
    <xf numFmtId="0" fontId="4" fillId="0" borderId="0" xfId="0" applyFont="1" applyAlignment="1">
      <alignment horizontal="center" vertical="center" wrapText="1"/>
    </xf>
    <xf numFmtId="0" fontId="5" fillId="6" borderId="2" xfId="0" applyFont="1" applyFill="1" applyBorder="1" applyAlignment="1">
      <alignment horizontal="center" vertical="center"/>
    </xf>
    <xf numFmtId="166" fontId="5" fillId="6" borderId="2" xfId="0" applyNumberFormat="1" applyFont="1" applyFill="1" applyBorder="1" applyAlignment="1">
      <alignment horizontal="center" vertical="center"/>
    </xf>
    <xf numFmtId="0" fontId="16" fillId="0" borderId="0" xfId="0" applyFont="1" applyAlignment="1">
      <alignment vertical="top" wrapText="1"/>
    </xf>
    <xf numFmtId="0" fontId="7" fillId="2" borderId="0" xfId="0" applyFont="1" applyFill="1"/>
    <xf numFmtId="164" fontId="17" fillId="0" borderId="0" xfId="0" applyNumberFormat="1" applyFont="1" applyAlignment="1">
      <alignment horizontal="left"/>
    </xf>
    <xf numFmtId="0" fontId="18" fillId="7" borderId="2" xfId="0" applyFont="1" applyFill="1" applyBorder="1" applyAlignment="1">
      <alignment horizontal="center" vertical="center" wrapText="1"/>
    </xf>
    <xf numFmtId="0" fontId="27" fillId="0" borderId="0" xfId="0" applyFont="1" applyAlignment="1">
      <alignment vertical="top" wrapText="1"/>
    </xf>
    <xf numFmtId="0" fontId="26" fillId="0" borderId="0" xfId="0" applyFont="1" applyAlignment="1">
      <alignment vertical="top" wrapText="1"/>
    </xf>
  </cellXfs>
  <cellStyles count="1">
    <cellStyle name="Normal" xfId="0" builtinId="0"/>
  </cellStyles>
  <dxfs count="2">
    <dxf>
      <font>
        <b/>
        <color rgb="FF9AA5B5"/>
        <name val="Arial"/>
        <charset val="1"/>
      </font>
    </dxf>
    <dxf>
      <font>
        <b/>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B3B3B3"/>
      <rgbColor rgb="FF0000FF"/>
      <rgbColor rgb="FFFFFF00"/>
      <rgbColor rgb="FFFFC7CE"/>
      <rgbColor rgb="FFA4ACBA"/>
      <rgbColor rgb="FF9C0006"/>
      <rgbColor rgb="FF8895AA"/>
      <rgbColor rgb="FF000080"/>
      <rgbColor rgb="FF666666"/>
      <rgbColor rgb="FFD9DEE7"/>
      <rgbColor rgb="FF2A7F9E"/>
      <rgbColor rgb="FFBEC5D0"/>
      <rgbColor rgb="FF878787"/>
      <rgbColor rgb="FF9AA5B5"/>
      <rgbColor rgb="FFC0504D"/>
      <rgbColor rgb="FFE3E8F0"/>
      <rgbColor rgb="FFEAF1F8"/>
      <rgbColor rgb="FF660066"/>
      <rgbColor rgb="FFE16FA5"/>
      <rgbColor rgb="FF4E85E3"/>
      <rgbColor rgb="FFCED2DA"/>
      <rgbColor rgb="FF000080"/>
      <rgbColor rgb="FFC8D0D9"/>
      <rgbColor rgb="FFB5DFBB"/>
      <rgbColor rgb="FFC3CAD2"/>
      <rgbColor rgb="FF800080"/>
      <rgbColor rgb="FF800000"/>
      <rgbColor rgb="FF7F8790"/>
      <rgbColor rgb="FF0000FF"/>
      <rgbColor rgb="FF737FDD"/>
      <rgbColor rgb="FFDDE6F0"/>
      <rgbColor rgb="FFE3E7EB"/>
      <rgbColor rgb="FFD9D9D9"/>
      <rgbColor rgb="FF9CD9D9"/>
      <rgbColor rgb="FFEFB1CE"/>
      <rgbColor rgb="FFB4BAED"/>
      <rgbColor rgb="FFF9CEA3"/>
      <rgbColor rgb="FF2F6FDE"/>
      <rgbColor rgb="FF48B9B9"/>
      <rgbColor rgb="FF76C481"/>
      <rgbColor rgb="FFF3A454"/>
      <rgbColor rgb="FFF0A020"/>
      <rgbColor rgb="FFE96368"/>
      <rgbColor rgb="FF5A6577"/>
      <rgbColor rgb="FF8995A6"/>
      <rgbColor rgb="FF1F3A5F"/>
      <rgbColor rgb="FF1E9E75"/>
      <rgbColor rgb="FF003300"/>
      <rgbColor rgb="FF444444"/>
      <rgbColor rgb="FFE08E45"/>
      <rgbColor rgb="FF7A4CC2"/>
      <rgbColor rgb="FF33415C"/>
      <rgbColor rgb="FF2B3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In pipeline now</c:v>
          </c:tx>
          <c:spPr>
            <a:solidFill>
              <a:srgbClr val="1E9E75"/>
            </a:solidFill>
            <a:ln w="0">
              <a:noFill/>
            </a:ln>
          </c:spPr>
          <c:invertIfNegative val="0"/>
          <c:dLbls>
            <c:numFmt formatCode="0;;;" sourceLinked="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Dashboard'!$D$9:$F$9</c:f>
              <c:strCache>
                <c:ptCount val="3"/>
                <c:pt idx="0">
                  <c:v>Associate FDE</c:v>
                </c:pt>
                <c:pt idx="1">
                  <c:v>FDE</c:v>
                </c:pt>
                <c:pt idx="2">
                  <c:v>Senior FDE</c:v>
                </c:pt>
              </c:strCache>
            </c:strRef>
          </c:cat>
          <c:val>
            <c:numRef>
              <c:f>'Executive Dashboard'!$D$10:$F$10</c:f>
              <c:numCache>
                <c:formatCode>0</c:formatCode>
                <c:ptCount val="3"/>
                <c:pt idx="0">
                  <c:v>68</c:v>
                </c:pt>
                <c:pt idx="1">
                  <c:v>17</c:v>
                </c:pt>
                <c:pt idx="2">
                  <c:v>7</c:v>
                </c:pt>
              </c:numCache>
            </c:numRef>
          </c:val>
          <c:extLst>
            <c:ext xmlns:c16="http://schemas.microsoft.com/office/drawing/2014/chart" uri="{C3380CC4-5D6E-409C-BE32-E72D297353CC}">
              <c16:uniqueId val="{00000000-CC03-4537-B86A-E2D92A548CDF}"/>
            </c:ext>
          </c:extLst>
        </c:ser>
        <c:ser>
          <c:idx val="1"/>
          <c:order val="1"/>
          <c:tx>
            <c:v>Offers accepted</c:v>
          </c:tx>
          <c:spPr>
            <a:solidFill>
              <a:srgbClr val="F0A020"/>
            </a:solidFill>
            <a:ln w="0">
              <a:noFill/>
            </a:ln>
          </c:spPr>
          <c:invertIfNegative val="0"/>
          <c:dLbls>
            <c:numFmt formatCode="0;;;" sourceLinked="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Dashboard'!$D$9:$F$9</c:f>
              <c:strCache>
                <c:ptCount val="3"/>
                <c:pt idx="0">
                  <c:v>Associate FDE</c:v>
                </c:pt>
                <c:pt idx="1">
                  <c:v>FDE</c:v>
                </c:pt>
                <c:pt idx="2">
                  <c:v>Senior FDE</c:v>
                </c:pt>
              </c:strCache>
            </c:strRef>
          </c:cat>
          <c:val>
            <c:numRef>
              <c:f>'Executive Dashboard'!$D$16:$F$16</c:f>
              <c:numCache>
                <c:formatCode>0</c:formatCode>
                <c:ptCount val="3"/>
                <c:pt idx="0">
                  <c:v>14</c:v>
                </c:pt>
                <c:pt idx="1">
                  <c:v>3</c:v>
                </c:pt>
                <c:pt idx="2">
                  <c:v>0</c:v>
                </c:pt>
              </c:numCache>
            </c:numRef>
          </c:val>
          <c:extLst>
            <c:ext xmlns:c16="http://schemas.microsoft.com/office/drawing/2014/chart" uri="{C3380CC4-5D6E-409C-BE32-E72D297353CC}">
              <c16:uniqueId val="{00000001-CC03-4537-B86A-E2D92A548CDF}"/>
            </c:ext>
          </c:extLst>
        </c:ser>
        <c:dLbls>
          <c:showLegendKey val="0"/>
          <c:showVal val="0"/>
          <c:showCatName val="0"/>
          <c:showSerName val="0"/>
          <c:showPercent val="0"/>
          <c:showBubbleSize val="0"/>
        </c:dLbls>
        <c:gapWidth val="60"/>
        <c:axId val="98497153"/>
        <c:axId val="58695215"/>
      </c:barChart>
      <c:catAx>
        <c:axId val="9849715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8695215"/>
        <c:crosses val="autoZero"/>
        <c:auto val="1"/>
        <c:lblAlgn val="ctr"/>
        <c:lblOffset val="100"/>
        <c:noMultiLvlLbl val="0"/>
      </c:catAx>
      <c:valAx>
        <c:axId val="58695215"/>
        <c:scaling>
          <c:orientation val="minMax"/>
          <c:min val="0"/>
        </c:scaling>
        <c:delete val="1"/>
        <c:axPos val="l"/>
        <c:numFmt formatCode="0" sourceLinked="1"/>
        <c:majorTickMark val="none"/>
        <c:minorTickMark val="none"/>
        <c:tickLblPos val="nextTo"/>
        <c:crossAx val="9849715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no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v>Overall week average</c:v>
          </c:tx>
          <c:spPr>
            <a:ln w="28080">
              <a:solidFill>
                <a:srgbClr val="7A4CC2"/>
              </a:solidFill>
              <a:round/>
            </a:ln>
          </c:spPr>
          <c:marker>
            <c:symbol val="circle"/>
            <c:size val="8"/>
            <c:spPr>
              <a:solidFill>
                <a:srgbClr val="7A4CC2"/>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'Input - Trainers'!$A$2:$A$13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'Input - Trainers'!$D$2:$D$13</c:f>
              <c:numCache>
                <c:formatCode>0%</c:formatCode>
                <c:ptCount val="12"/>
                <c:pt idx="5">
                  <c:v>0.96</c:v>
                </c:pt>
              </c:numCache>
            </c:numRef>
          </c:val>
          <c:smooth val="0"/>
          <c:extLst>
            <c:ext xmlns:c16="http://schemas.microsoft.com/office/drawing/2014/chart" uri="{C3380CC4-5D6E-409C-BE32-E72D297353CC}">
              <c16:uniqueId val="{00000000-57FA-422C-937E-2C17503EE6CE}"/>
            </c:ext>
          </c:extLst>
        </c:ser>
        <c:dLbls>
          <c:showLegendKey val="0"/>
          <c:showVal val="0"/>
          <c:showCatName val="0"/>
          <c:showSerName val="0"/>
          <c:showPercent val="0"/>
          <c:showBubbleSize val="0"/>
        </c:dLbls>
        <c:hiLowLines>
          <c:spPr>
            <a:ln w="0">
              <a:noFill/>
            </a:ln>
          </c:spPr>
        </c:hiLowLines>
        <c:marker val="1"/>
        <c:smooth val="0"/>
        <c:axId val="46287759"/>
        <c:axId val="89277111"/>
      </c:lineChart>
      <c:catAx>
        <c:axId val="46287759"/>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Week</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277111"/>
        <c:crosses val="autoZero"/>
        <c:auto val="1"/>
        <c:lblAlgn val="ctr"/>
        <c:lblOffset val="100"/>
        <c:noMultiLvlLbl val="0"/>
      </c:catAx>
      <c:valAx>
        <c:axId val="89277111"/>
        <c:scaling>
          <c:orientation val="minMax"/>
          <c:max val="1"/>
          <c:min val="0"/>
        </c:scaling>
        <c:delete val="0"/>
        <c:axPos val="l"/>
        <c:majorGridlines>
          <c:spPr>
            <a:ln w="9360">
              <a:solidFill>
                <a:srgbClr val="E3E8F0"/>
              </a:solidFill>
              <a:round/>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6287759"/>
        <c:crosses val="autoZero"/>
        <c:crossBetween val="between"/>
        <c:majorUnit val="0.25"/>
      </c:valAx>
      <c:spPr>
        <a:noFill/>
        <a:ln w="0">
          <a:noFill/>
        </a:ln>
      </c:spPr>
    </c:plotArea>
    <c:plotVisOnly val="1"/>
    <c:dispBlanksAs val="gap"/>
    <c:showDLblsOverMax val="1"/>
  </c:chart>
  <c:spPr>
    <a:no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
          <c:w val="0.99995234464353799"/>
          <c:h val="0.99994441665277101"/>
        </c:manualLayout>
      </c:layout>
      <c:areaChart>
        <c:grouping val="stacked"/>
        <c:varyColors val="1"/>
        <c:ser>
          <c:idx val="0"/>
          <c:order val="0"/>
          <c:tx>
            <c:strRef>
              <c:f>Calc!$A$129</c:f>
              <c:strCache>
                <c:ptCount val="1"/>
                <c:pt idx="0">
                  <c:v>USA &gt;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Calc!$K$232:$GP$232</c:f>
              <c:numCache>
                <c:formatCode>0.00</c:formatCode>
                <c:ptCount val="188"/>
                <c:pt idx="0">
                  <c:v>5.6736842105263152</c:v>
                </c:pt>
                <c:pt idx="1">
                  <c:v>5.6736842105263152</c:v>
                </c:pt>
                <c:pt idx="2">
                  <c:v>5.6736842105263152</c:v>
                </c:pt>
                <c:pt idx="3">
                  <c:v>5.6736842105263152</c:v>
                </c:pt>
                <c:pt idx="4">
                  <c:v>5.6736842105263152</c:v>
                </c:pt>
                <c:pt idx="5">
                  <c:v>5.6736842105263152</c:v>
                </c:pt>
                <c:pt idx="6">
                  <c:v>5.6736842105263152</c:v>
                </c:pt>
                <c:pt idx="7">
                  <c:v>5.6736842105263152</c:v>
                </c:pt>
                <c:pt idx="8">
                  <c:v>5.6736842105263152</c:v>
                </c:pt>
                <c:pt idx="9">
                  <c:v>5.6736842105263152</c:v>
                </c:pt>
                <c:pt idx="10">
                  <c:v>5.6760597455715596</c:v>
                </c:pt>
                <c:pt idx="11">
                  <c:v>5.6831812811957914</c:v>
                </c:pt>
                <c:pt idx="12">
                  <c:v>5.6950336196830955</c:v>
                </c:pt>
                <c:pt idx="13">
                  <c:v>5.7115914675458388</c:v>
                </c:pt>
                <c:pt idx="14">
                  <c:v>5.732819489502246</c:v>
                </c:pt>
                <c:pt idx="15">
                  <c:v>5.7586723838836704</c:v>
                </c:pt>
                <c:pt idx="16">
                  <c:v>5.7890949793106383</c:v>
                </c:pt>
                <c:pt idx="17">
                  <c:v>5.8240223524313546</c:v>
                </c:pt>
                <c:pt idx="18">
                  <c:v>5.8633799664714052</c:v>
                </c:pt>
                <c:pt idx="19">
                  <c:v>5.9070838302989923</c:v>
                </c:pt>
                <c:pt idx="20">
                  <c:v>5.9550406776662399</c:v>
                </c:pt>
                <c:pt idx="21">
                  <c:v>6.0071481662440691</c:v>
                </c:pt>
                <c:pt idx="22">
                  <c:v>6.0632950960258842</c:v>
                </c:pt>
                <c:pt idx="23">
                  <c:v>6.1233616466339926</c:v>
                </c:pt>
                <c:pt idx="24">
                  <c:v>6.1872196330223268</c:v>
                </c:pt>
                <c:pt idx="25">
                  <c:v>6.2547327790297951</c:v>
                </c:pt>
                <c:pt idx="26">
                  <c:v>6.3257570082004753</c:v>
                </c:pt>
                <c:pt idx="27">
                  <c:v>6.4001407512500332</c:v>
                </c:pt>
                <c:pt idx="28">
                  <c:v>6.4777252695222121</c:v>
                </c:pt>
                <c:pt idx="29">
                  <c:v>6.5583449937451288</c:v>
                </c:pt>
                <c:pt idx="30">
                  <c:v>6.6418278773644399</c:v>
                </c:pt>
                <c:pt idx="31">
                  <c:v>6.7279957636993597</c:v>
                </c:pt>
                <c:pt idx="32">
                  <c:v>6.8166647661379987</c:v>
                </c:pt>
                <c:pt idx="33">
                  <c:v>6.9076456605606538</c:v>
                </c:pt>
                <c:pt idx="34">
                  <c:v>7.0007442891536229</c:v>
                </c:pt>
                <c:pt idx="35">
                  <c:v>7.0957619747517588</c:v>
                </c:pt>
                <c:pt idx="36">
                  <c:v>7.1924959448255557</c:v>
                </c:pt>
                <c:pt idx="37">
                  <c:v>7.2907397642079417</c:v>
                </c:pt>
                <c:pt idx="38">
                  <c:v>7.3902837756373332</c:v>
                </c:pt>
                <c:pt idx="39">
                  <c:v>7.490915547176793</c:v>
                </c:pt>
                <c:pt idx="40">
                  <c:v>7.5924203255544933</c:v>
                </c:pt>
                <c:pt idx="41">
                  <c:v>7.6945814944580171</c:v>
                </c:pt>
                <c:pt idx="42">
                  <c:v>7.7971810368044849</c:v>
                </c:pt>
                <c:pt idx="43">
                  <c:v>7.8999999999999995</c:v>
                </c:pt>
                <c:pt idx="44">
                  <c:v>8.002818963195514</c:v>
                </c:pt>
                <c:pt idx="45">
                  <c:v>8.1054185055419818</c:v>
                </c:pt>
                <c:pt idx="46">
                  <c:v>8.2075796744455047</c:v>
                </c:pt>
                <c:pt idx="47">
                  <c:v>8.3090844528232068</c:v>
                </c:pt>
                <c:pt idx="48">
                  <c:v>8.4097162243626666</c:v>
                </c:pt>
                <c:pt idx="49">
                  <c:v>8.509260235792059</c:v>
                </c:pt>
                <c:pt idx="50">
                  <c:v>8.6075040551744451</c:v>
                </c:pt>
                <c:pt idx="51">
                  <c:v>8.704238025248241</c:v>
                </c:pt>
                <c:pt idx="52">
                  <c:v>8.799255710846376</c:v>
                </c:pt>
                <c:pt idx="53">
                  <c:v>8.8923543394393452</c:v>
                </c:pt>
                <c:pt idx="54">
                  <c:v>8.9833352338620003</c:v>
                </c:pt>
                <c:pt idx="55">
                  <c:v>9.0720042363006392</c:v>
                </c:pt>
                <c:pt idx="56">
                  <c:v>9.158172122635559</c:v>
                </c:pt>
                <c:pt idx="57">
                  <c:v>9.2416550062548701</c:v>
                </c:pt>
                <c:pt idx="58">
                  <c:v>9.3222747304777869</c:v>
                </c:pt>
                <c:pt idx="59">
                  <c:v>9.3998592487499675</c:v>
                </c:pt>
                <c:pt idx="60">
                  <c:v>9.4742429917995246</c:v>
                </c:pt>
                <c:pt idx="61">
                  <c:v>9.5452672209702047</c:v>
                </c:pt>
                <c:pt idx="62">
                  <c:v>9.6127803669776739</c:v>
                </c:pt>
                <c:pt idx="63">
                  <c:v>9.6766383533660072</c:v>
                </c:pt>
                <c:pt idx="64">
                  <c:v>9.7367049039741147</c:v>
                </c:pt>
                <c:pt idx="65">
                  <c:v>9.7928518337559307</c:v>
                </c:pt>
                <c:pt idx="66">
                  <c:v>9.8449593223337608</c:v>
                </c:pt>
                <c:pt idx="67">
                  <c:v>9.8929161697010066</c:v>
                </c:pt>
                <c:pt idx="68">
                  <c:v>9.9366200335285946</c:v>
                </c:pt>
                <c:pt idx="69">
                  <c:v>9.9759776475686444</c:v>
                </c:pt>
                <c:pt idx="70">
                  <c:v>10.010905020689361</c:v>
                </c:pt>
                <c:pt idx="71">
                  <c:v>10.04132761611633</c:v>
                </c:pt>
                <c:pt idx="72">
                  <c:v>10.067180510497753</c:v>
                </c:pt>
                <c:pt idx="73">
                  <c:v>10.08840853245416</c:v>
                </c:pt>
                <c:pt idx="74">
                  <c:v>10.104966380316904</c:v>
                </c:pt>
                <c:pt idx="75">
                  <c:v>10.116818718804208</c:v>
                </c:pt>
                <c:pt idx="76">
                  <c:v>10.12394025442844</c:v>
                </c:pt>
                <c:pt idx="77">
                  <c:v>10.126315789473685</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0-6307-42BB-ABB4-13D6649E82B8}"/>
            </c:ext>
          </c:extLst>
        </c:ser>
        <c:ser>
          <c:idx val="1"/>
          <c:order val="1"/>
          <c:tx>
            <c:strRef>
              <c:f>Calc!$A$129</c:f>
              <c:strCache>
                <c:ptCount val="1"/>
                <c:pt idx="0">
                  <c:v>USA &gt; available in future</c:v>
                </c:pt>
              </c:strCache>
            </c:strRef>
          </c:tx>
          <c:spPr>
            <a:solidFill>
              <a:srgbClr val="B4BAED"/>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Calc!$K$182:$GP$182</c:f>
              <c:numCache>
                <c:formatCode>0.00</c:formatCode>
                <c:ptCount val="188"/>
                <c:pt idx="0">
                  <c:v>17.021052631578947</c:v>
                </c:pt>
                <c:pt idx="1">
                  <c:v>17.021052631578947</c:v>
                </c:pt>
                <c:pt idx="2">
                  <c:v>17.021052631578947</c:v>
                </c:pt>
                <c:pt idx="3">
                  <c:v>17.021052631578947</c:v>
                </c:pt>
                <c:pt idx="4">
                  <c:v>17.021052631578947</c:v>
                </c:pt>
                <c:pt idx="5">
                  <c:v>17.021052631578947</c:v>
                </c:pt>
                <c:pt idx="6">
                  <c:v>17.021052631578947</c:v>
                </c:pt>
                <c:pt idx="7">
                  <c:v>17.021052631578947</c:v>
                </c:pt>
                <c:pt idx="8">
                  <c:v>17.021052631578947</c:v>
                </c:pt>
                <c:pt idx="9">
                  <c:v>17.021052631578947</c:v>
                </c:pt>
                <c:pt idx="10">
                  <c:v>17.021052631578947</c:v>
                </c:pt>
                <c:pt idx="11">
                  <c:v>17.021052631578947</c:v>
                </c:pt>
                <c:pt idx="12">
                  <c:v>17.021052631578947</c:v>
                </c:pt>
                <c:pt idx="13">
                  <c:v>17.021052631578947</c:v>
                </c:pt>
                <c:pt idx="14">
                  <c:v>17.021052631578947</c:v>
                </c:pt>
                <c:pt idx="15">
                  <c:v>17.021052631578947</c:v>
                </c:pt>
                <c:pt idx="16">
                  <c:v>17.021052631578947</c:v>
                </c:pt>
                <c:pt idx="17">
                  <c:v>17.021052631578947</c:v>
                </c:pt>
                <c:pt idx="18">
                  <c:v>17.021052631578947</c:v>
                </c:pt>
                <c:pt idx="19">
                  <c:v>17.021052631578947</c:v>
                </c:pt>
                <c:pt idx="20">
                  <c:v>17.021052631578947</c:v>
                </c:pt>
                <c:pt idx="21">
                  <c:v>17.021052631578947</c:v>
                </c:pt>
                <c:pt idx="22">
                  <c:v>17.021052631578947</c:v>
                </c:pt>
                <c:pt idx="23">
                  <c:v>17.021052631578947</c:v>
                </c:pt>
                <c:pt idx="24">
                  <c:v>17.021052631578947</c:v>
                </c:pt>
                <c:pt idx="25">
                  <c:v>17.021052631578947</c:v>
                </c:pt>
                <c:pt idx="26">
                  <c:v>17.021052631578947</c:v>
                </c:pt>
                <c:pt idx="27">
                  <c:v>17.021052631578947</c:v>
                </c:pt>
                <c:pt idx="28">
                  <c:v>17.021052631578947</c:v>
                </c:pt>
                <c:pt idx="29">
                  <c:v>17.021052631578947</c:v>
                </c:pt>
                <c:pt idx="30">
                  <c:v>17.021052631578947</c:v>
                </c:pt>
                <c:pt idx="31">
                  <c:v>17.021052631578947</c:v>
                </c:pt>
                <c:pt idx="32">
                  <c:v>17.021052631578947</c:v>
                </c:pt>
                <c:pt idx="33">
                  <c:v>17.021052631578947</c:v>
                </c:pt>
                <c:pt idx="34">
                  <c:v>17.021052631578947</c:v>
                </c:pt>
                <c:pt idx="35">
                  <c:v>17.021052631578947</c:v>
                </c:pt>
                <c:pt idx="36">
                  <c:v>17.021052631578947</c:v>
                </c:pt>
                <c:pt idx="37">
                  <c:v>17.021052631578947</c:v>
                </c:pt>
                <c:pt idx="38">
                  <c:v>17.021052631578947</c:v>
                </c:pt>
                <c:pt idx="39">
                  <c:v>17.021052631578947</c:v>
                </c:pt>
                <c:pt idx="40">
                  <c:v>17.021052631578947</c:v>
                </c:pt>
                <c:pt idx="41">
                  <c:v>17.021052631578947</c:v>
                </c:pt>
                <c:pt idx="42">
                  <c:v>17.021052631578947</c:v>
                </c:pt>
                <c:pt idx="43">
                  <c:v>17.021052631578947</c:v>
                </c:pt>
                <c:pt idx="44">
                  <c:v>17.021052631578947</c:v>
                </c:pt>
                <c:pt idx="45">
                  <c:v>17.021052631578947</c:v>
                </c:pt>
                <c:pt idx="46">
                  <c:v>17.021052631578947</c:v>
                </c:pt>
                <c:pt idx="47">
                  <c:v>17.021052631578947</c:v>
                </c:pt>
                <c:pt idx="48">
                  <c:v>17.021052631578947</c:v>
                </c:pt>
                <c:pt idx="49">
                  <c:v>17.021052631578947</c:v>
                </c:pt>
                <c:pt idx="50">
                  <c:v>17.021052631578947</c:v>
                </c:pt>
                <c:pt idx="51">
                  <c:v>17.021052631578947</c:v>
                </c:pt>
                <c:pt idx="52">
                  <c:v>17.021052631578947</c:v>
                </c:pt>
                <c:pt idx="53">
                  <c:v>17.021052631578947</c:v>
                </c:pt>
                <c:pt idx="54">
                  <c:v>17.021052631578947</c:v>
                </c:pt>
                <c:pt idx="55">
                  <c:v>17.021052631578947</c:v>
                </c:pt>
                <c:pt idx="56">
                  <c:v>17.021052631578947</c:v>
                </c:pt>
                <c:pt idx="57">
                  <c:v>17.021052631578947</c:v>
                </c:pt>
                <c:pt idx="58">
                  <c:v>17.021052631578947</c:v>
                </c:pt>
                <c:pt idx="59">
                  <c:v>17.021052631578947</c:v>
                </c:pt>
                <c:pt idx="60">
                  <c:v>17.021052631578947</c:v>
                </c:pt>
                <c:pt idx="61">
                  <c:v>17.021052631578947</c:v>
                </c:pt>
                <c:pt idx="62">
                  <c:v>17.021052631578947</c:v>
                </c:pt>
                <c:pt idx="63">
                  <c:v>17.021052631578947</c:v>
                </c:pt>
                <c:pt idx="64">
                  <c:v>17.021052631578947</c:v>
                </c:pt>
                <c:pt idx="65">
                  <c:v>17.021052631578947</c:v>
                </c:pt>
                <c:pt idx="66">
                  <c:v>17.021052631578947</c:v>
                </c:pt>
                <c:pt idx="67">
                  <c:v>17.021052631578947</c:v>
                </c:pt>
                <c:pt idx="68">
                  <c:v>17.021052631578947</c:v>
                </c:pt>
                <c:pt idx="69">
                  <c:v>17.021052631578947</c:v>
                </c:pt>
                <c:pt idx="70">
                  <c:v>17.021052631578947</c:v>
                </c:pt>
                <c:pt idx="71">
                  <c:v>17.021052631578947</c:v>
                </c:pt>
                <c:pt idx="72">
                  <c:v>17.021052631578947</c:v>
                </c:pt>
                <c:pt idx="73">
                  <c:v>17.021052631578947</c:v>
                </c:pt>
                <c:pt idx="74">
                  <c:v>17.021052631578947</c:v>
                </c:pt>
                <c:pt idx="75">
                  <c:v>17.021052631578947</c:v>
                </c:pt>
                <c:pt idx="76">
                  <c:v>17.021052631578947</c:v>
                </c:pt>
                <c:pt idx="77">
                  <c:v>17.021052631578947</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1-6307-42BB-ABB4-13D6649E82B8}"/>
            </c:ext>
          </c:extLst>
        </c:ser>
        <c:ser>
          <c:idx val="2"/>
          <c:order val="2"/>
          <c:tx>
            <c:strRef>
              <c:f>Calc!$A$130</c:f>
              <c:strCache>
                <c:ptCount val="1"/>
                <c:pt idx="0">
                  <c:v>India &gt;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Calc!$K$233:$GP$233</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2-6307-42BB-ABB4-13D6649E82B8}"/>
            </c:ext>
          </c:extLst>
        </c:ser>
        <c:ser>
          <c:idx val="3"/>
          <c:order val="3"/>
          <c:tx>
            <c:strRef>
              <c:f>Calc!$A$130</c:f>
              <c:strCache>
                <c:ptCount val="1"/>
                <c:pt idx="0">
                  <c:v>India &gt; available in future</c:v>
                </c:pt>
              </c:strCache>
            </c:strRef>
          </c:tx>
          <c:spPr>
            <a:solidFill>
              <a:srgbClr val="F9CEA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Calc!$K$183:$GP$183</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3-6307-42BB-ABB4-13D6649E82B8}"/>
            </c:ext>
          </c:extLst>
        </c:ser>
        <c:ser>
          <c:idx val="4"/>
          <c:order val="4"/>
          <c:tx>
            <c:strRef>
              <c:f>Calc!$A$131</c:f>
              <c:strCache>
                <c:ptCount val="1"/>
                <c:pt idx="0">
                  <c:v>UK &gt;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Calc!$K$234:$GP$234</c:f>
              <c:numCache>
                <c:formatCode>0.00</c:formatCode>
                <c:ptCount val="188"/>
                <c:pt idx="0">
                  <c:v>3.2315789473684191</c:v>
                </c:pt>
                <c:pt idx="1">
                  <c:v>3.2315789473684191</c:v>
                </c:pt>
                <c:pt idx="2">
                  <c:v>3.2315789473684191</c:v>
                </c:pt>
                <c:pt idx="3">
                  <c:v>3.2315789473684191</c:v>
                </c:pt>
                <c:pt idx="4">
                  <c:v>3.2315789473684191</c:v>
                </c:pt>
                <c:pt idx="5">
                  <c:v>3.2315789473684191</c:v>
                </c:pt>
                <c:pt idx="6">
                  <c:v>3.2315789473684191</c:v>
                </c:pt>
                <c:pt idx="7">
                  <c:v>3.2315789473684191</c:v>
                </c:pt>
                <c:pt idx="8">
                  <c:v>3.2315789473684191</c:v>
                </c:pt>
                <c:pt idx="9">
                  <c:v>3.2315789473684191</c:v>
                </c:pt>
                <c:pt idx="10">
                  <c:v>3.2298548592859362</c:v>
                </c:pt>
                <c:pt idx="11">
                  <c:v>3.2246862743293399</c:v>
                </c:pt>
                <c:pt idx="12">
                  <c:v>3.2160842225194095</c:v>
                </c:pt>
                <c:pt idx="13">
                  <c:v>3.2040670610681978</c:v>
                </c:pt>
                <c:pt idx="14">
                  <c:v>3.1886604352038539</c:v>
                </c:pt>
                <c:pt idx="15">
                  <c:v>3.1698972234423941</c:v>
                </c:pt>
                <c:pt idx="16">
                  <c:v>3.1478174674232946</c:v>
                </c:pt>
                <c:pt idx="17">
                  <c:v>3.1224682864586129</c:v>
                </c:pt>
                <c:pt idx="18">
                  <c:v>3.09390377697801</c:v>
                </c:pt>
                <c:pt idx="19">
                  <c:v>3.0621848970842294</c:v>
                </c:pt>
                <c:pt idx="20">
                  <c:v>3.0273793364654473</c:v>
                </c:pt>
                <c:pt idx="21">
                  <c:v>2.9895613719420595</c:v>
                </c:pt>
                <c:pt idx="22">
                  <c:v>2.9488117089562031</c:v>
                </c:pt>
                <c:pt idx="23">
                  <c:v>2.9052173093422802</c:v>
                </c:pt>
                <c:pt idx="24">
                  <c:v>2.8588712057460164</c:v>
                </c:pt>
                <c:pt idx="25">
                  <c:v>2.8098723030881168</c:v>
                </c:pt>
                <c:pt idx="26">
                  <c:v>2.7583251674961566</c:v>
                </c:pt>
                <c:pt idx="27">
                  <c:v>2.7043398031552215</c:v>
                </c:pt>
                <c:pt idx="28">
                  <c:v>2.6480314175534332</c:v>
                </c:pt>
                <c:pt idx="29">
                  <c:v>2.5895201756233206</c:v>
                </c:pt>
                <c:pt idx="30">
                  <c:v>2.5289309433038696</c:v>
                </c:pt>
                <c:pt idx="31">
                  <c:v>2.4663930210702496</c:v>
                </c:pt>
                <c:pt idx="32">
                  <c:v>2.4020398680001307</c:v>
                </c:pt>
                <c:pt idx="33">
                  <c:v>2.3360088169652471</c:v>
                </c:pt>
                <c:pt idx="34">
                  <c:v>2.2684407815561656</c:v>
                </c:pt>
                <c:pt idx="35">
                  <c:v>2.199479955365554</c:v>
                </c:pt>
                <c:pt idx="36">
                  <c:v>2.1292735042718078</c:v>
                </c:pt>
                <c:pt idx="37">
                  <c:v>2.0579712523796267</c:v>
                </c:pt>
                <c:pt idx="38">
                  <c:v>1.9857253622878481</c:v>
                </c:pt>
                <c:pt idx="39">
                  <c:v>1.9126900103667737</c:v>
                </c:pt>
                <c:pt idx="40">
                  <c:v>1.8390210577380408</c:v>
                </c:pt>
                <c:pt idx="41">
                  <c:v>1.7648757176591232</c:v>
                </c:pt>
                <c:pt idx="42">
                  <c:v>1.6904122200223242</c:v>
                </c:pt>
                <c:pt idx="43">
                  <c:v>1.6157894736842096</c:v>
                </c:pt>
                <c:pt idx="44">
                  <c:v>1.5411667273460914</c:v>
                </c:pt>
                <c:pt idx="45">
                  <c:v>1.4667032297092959</c:v>
                </c:pt>
                <c:pt idx="46">
                  <c:v>1.3925578896303819</c:v>
                </c:pt>
                <c:pt idx="47">
                  <c:v>1.3188889370016454</c:v>
                </c:pt>
                <c:pt idx="48">
                  <c:v>1.245853585080571</c:v>
                </c:pt>
                <c:pt idx="49">
                  <c:v>1.1736076949887924</c:v>
                </c:pt>
                <c:pt idx="50">
                  <c:v>1.1023054430966113</c:v>
                </c:pt>
                <c:pt idx="51">
                  <c:v>1.0320989920028616</c:v>
                </c:pt>
                <c:pt idx="52">
                  <c:v>0.96313816581225709</c:v>
                </c:pt>
                <c:pt idx="53">
                  <c:v>0.89557013040317557</c:v>
                </c:pt>
                <c:pt idx="54">
                  <c:v>0.82953907936829197</c:v>
                </c:pt>
                <c:pt idx="55">
                  <c:v>0.76518592629816951</c:v>
                </c:pt>
                <c:pt idx="56">
                  <c:v>0.70264800406454953</c:v>
                </c:pt>
                <c:pt idx="57">
                  <c:v>0.64205877174509851</c:v>
                </c:pt>
                <c:pt idx="58">
                  <c:v>0.58354752981498947</c:v>
                </c:pt>
                <c:pt idx="59">
                  <c:v>0.52723914421319407</c:v>
                </c:pt>
                <c:pt idx="60">
                  <c:v>0.47325377987226247</c:v>
                </c:pt>
                <c:pt idx="61">
                  <c:v>0.42170664428030591</c:v>
                </c:pt>
                <c:pt idx="62">
                  <c:v>0.37270774162240272</c:v>
                </c:pt>
                <c:pt idx="63">
                  <c:v>0.32636163802613893</c:v>
                </c:pt>
                <c:pt idx="64">
                  <c:v>0.28276723841221951</c:v>
                </c:pt>
                <c:pt idx="65">
                  <c:v>0.2420175754263596</c:v>
                </c:pt>
                <c:pt idx="66">
                  <c:v>0.20419961090297178</c:v>
                </c:pt>
                <c:pt idx="67">
                  <c:v>0.16939405028418975</c:v>
                </c:pt>
                <c:pt idx="68">
                  <c:v>0.13767517039040911</c:v>
                </c:pt>
                <c:pt idx="69">
                  <c:v>0.10911066090980626</c:v>
                </c:pt>
                <c:pt idx="70">
                  <c:v>8.3761479945124506E-2</c:v>
                </c:pt>
                <c:pt idx="71">
                  <c:v>6.1681723926025001E-2</c:v>
                </c:pt>
                <c:pt idx="72">
                  <c:v>4.2918512164565215E-2</c:v>
                </c:pt>
                <c:pt idx="73">
                  <c:v>2.751188630022483E-2</c:v>
                </c:pt>
                <c:pt idx="74">
                  <c:v>1.5494724849013153E-2</c:v>
                </c:pt>
                <c:pt idx="75">
                  <c:v>6.8926730390792557E-3</c:v>
                </c:pt>
                <c:pt idx="76">
                  <c:v>1.7240880824829219E-3</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4-6307-42BB-ABB4-13D6649E82B8}"/>
            </c:ext>
          </c:extLst>
        </c:ser>
        <c:ser>
          <c:idx val="5"/>
          <c:order val="5"/>
          <c:tx>
            <c:strRef>
              <c:f>Calc!$A$131</c:f>
              <c:strCache>
                <c:ptCount val="1"/>
                <c:pt idx="0">
                  <c:v>UK &gt; available in future</c:v>
                </c:pt>
              </c:strCache>
            </c:strRef>
          </c:tx>
          <c:spPr>
            <a:solidFill>
              <a:srgbClr val="9CD9D9"/>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Calc!$K$184:$GP$184</c:f>
              <c:numCache>
                <c:formatCode>0.00</c:formatCode>
                <c:ptCount val="188"/>
                <c:pt idx="0">
                  <c:v>1.6210526315789473</c:v>
                </c:pt>
                <c:pt idx="1">
                  <c:v>1.6210526315789473</c:v>
                </c:pt>
                <c:pt idx="2">
                  <c:v>1.6210526315789473</c:v>
                </c:pt>
                <c:pt idx="3">
                  <c:v>1.6210526315789473</c:v>
                </c:pt>
                <c:pt idx="4">
                  <c:v>1.6210526315789473</c:v>
                </c:pt>
                <c:pt idx="5">
                  <c:v>1.6210526315789473</c:v>
                </c:pt>
                <c:pt idx="6">
                  <c:v>1.6210526315789473</c:v>
                </c:pt>
                <c:pt idx="7">
                  <c:v>1.6210526315789473</c:v>
                </c:pt>
                <c:pt idx="8">
                  <c:v>1.6210526315789473</c:v>
                </c:pt>
                <c:pt idx="9">
                  <c:v>1.6210526315789473</c:v>
                </c:pt>
                <c:pt idx="10">
                  <c:v>1.6210526315789473</c:v>
                </c:pt>
                <c:pt idx="11">
                  <c:v>1.6210526315789473</c:v>
                </c:pt>
                <c:pt idx="12">
                  <c:v>1.6210526315789473</c:v>
                </c:pt>
                <c:pt idx="13">
                  <c:v>1.6210526315789473</c:v>
                </c:pt>
                <c:pt idx="14">
                  <c:v>1.6210526315789473</c:v>
                </c:pt>
                <c:pt idx="15">
                  <c:v>1.6210526315789473</c:v>
                </c:pt>
                <c:pt idx="16">
                  <c:v>1.6210526315789473</c:v>
                </c:pt>
                <c:pt idx="17">
                  <c:v>1.6210526315789473</c:v>
                </c:pt>
                <c:pt idx="18">
                  <c:v>1.6210526315789473</c:v>
                </c:pt>
                <c:pt idx="19">
                  <c:v>1.6210526315789473</c:v>
                </c:pt>
                <c:pt idx="20">
                  <c:v>1.6210526315789473</c:v>
                </c:pt>
                <c:pt idx="21">
                  <c:v>1.6210526315789473</c:v>
                </c:pt>
                <c:pt idx="22">
                  <c:v>1.6210526315789473</c:v>
                </c:pt>
                <c:pt idx="23">
                  <c:v>1.6210526315789473</c:v>
                </c:pt>
                <c:pt idx="24">
                  <c:v>1.6210526315789473</c:v>
                </c:pt>
                <c:pt idx="25">
                  <c:v>1.6210526315789473</c:v>
                </c:pt>
                <c:pt idx="26">
                  <c:v>1.6210526315789473</c:v>
                </c:pt>
                <c:pt idx="27">
                  <c:v>1.6210526315789473</c:v>
                </c:pt>
                <c:pt idx="28">
                  <c:v>1.6210526315789473</c:v>
                </c:pt>
                <c:pt idx="29">
                  <c:v>1.6210526315789473</c:v>
                </c:pt>
                <c:pt idx="30">
                  <c:v>1.6210526315789473</c:v>
                </c:pt>
                <c:pt idx="31">
                  <c:v>1.6210526315789473</c:v>
                </c:pt>
                <c:pt idx="32">
                  <c:v>1.6210526315789473</c:v>
                </c:pt>
                <c:pt idx="33">
                  <c:v>1.6210526315789473</c:v>
                </c:pt>
                <c:pt idx="34">
                  <c:v>1.6210526315789473</c:v>
                </c:pt>
                <c:pt idx="35">
                  <c:v>1.6210526315789473</c:v>
                </c:pt>
                <c:pt idx="36">
                  <c:v>1.6210526315789473</c:v>
                </c:pt>
                <c:pt idx="37">
                  <c:v>1.6210526315789473</c:v>
                </c:pt>
                <c:pt idx="38">
                  <c:v>1.6210526315789473</c:v>
                </c:pt>
                <c:pt idx="39">
                  <c:v>1.6210526315789473</c:v>
                </c:pt>
                <c:pt idx="40">
                  <c:v>1.6210526315789473</c:v>
                </c:pt>
                <c:pt idx="41">
                  <c:v>1.6210526315789473</c:v>
                </c:pt>
                <c:pt idx="42">
                  <c:v>1.6210526315789473</c:v>
                </c:pt>
                <c:pt idx="43">
                  <c:v>1.6210526315789473</c:v>
                </c:pt>
                <c:pt idx="44">
                  <c:v>1.6210526315789473</c:v>
                </c:pt>
                <c:pt idx="45">
                  <c:v>1.6210526315789473</c:v>
                </c:pt>
                <c:pt idx="46">
                  <c:v>1.6210526315789473</c:v>
                </c:pt>
                <c:pt idx="47">
                  <c:v>1.6210526315789473</c:v>
                </c:pt>
                <c:pt idx="48">
                  <c:v>1.6210526315789473</c:v>
                </c:pt>
                <c:pt idx="49">
                  <c:v>1.6210526315789473</c:v>
                </c:pt>
                <c:pt idx="50">
                  <c:v>1.6210526315789473</c:v>
                </c:pt>
                <c:pt idx="51">
                  <c:v>1.6210526315789473</c:v>
                </c:pt>
                <c:pt idx="52">
                  <c:v>1.6210526315789473</c:v>
                </c:pt>
                <c:pt idx="53">
                  <c:v>1.6210526315789473</c:v>
                </c:pt>
                <c:pt idx="54">
                  <c:v>1.6210526315789473</c:v>
                </c:pt>
                <c:pt idx="55">
                  <c:v>1.6210526315789473</c:v>
                </c:pt>
                <c:pt idx="56">
                  <c:v>1.6210526315789473</c:v>
                </c:pt>
                <c:pt idx="57">
                  <c:v>1.6210526315789473</c:v>
                </c:pt>
                <c:pt idx="58">
                  <c:v>1.6210526315789473</c:v>
                </c:pt>
                <c:pt idx="59">
                  <c:v>1.6210526315789473</c:v>
                </c:pt>
                <c:pt idx="60">
                  <c:v>1.6210526315789473</c:v>
                </c:pt>
                <c:pt idx="61">
                  <c:v>1.6210526315789473</c:v>
                </c:pt>
                <c:pt idx="62">
                  <c:v>1.6210526315789473</c:v>
                </c:pt>
                <c:pt idx="63">
                  <c:v>1.6210526315789473</c:v>
                </c:pt>
                <c:pt idx="64">
                  <c:v>1.6210526315789473</c:v>
                </c:pt>
                <c:pt idx="65">
                  <c:v>1.6210526315789473</c:v>
                </c:pt>
                <c:pt idx="66">
                  <c:v>1.6210526315789473</c:v>
                </c:pt>
                <c:pt idx="67">
                  <c:v>1.6210526315789473</c:v>
                </c:pt>
                <c:pt idx="68">
                  <c:v>1.6210526315789473</c:v>
                </c:pt>
                <c:pt idx="69">
                  <c:v>1.6210526315789473</c:v>
                </c:pt>
                <c:pt idx="70">
                  <c:v>1.6210526315789473</c:v>
                </c:pt>
                <c:pt idx="71">
                  <c:v>1.6210526315789473</c:v>
                </c:pt>
                <c:pt idx="72">
                  <c:v>1.6210526315789473</c:v>
                </c:pt>
                <c:pt idx="73">
                  <c:v>1.6210526315789473</c:v>
                </c:pt>
                <c:pt idx="74">
                  <c:v>1.6210526315789473</c:v>
                </c:pt>
                <c:pt idx="75">
                  <c:v>1.6210526315789473</c:v>
                </c:pt>
                <c:pt idx="76">
                  <c:v>1.6210526315789473</c:v>
                </c:pt>
                <c:pt idx="77">
                  <c:v>1.6210526315789473</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5-6307-42BB-ABB4-13D6649E82B8}"/>
            </c:ext>
          </c:extLst>
        </c:ser>
        <c:ser>
          <c:idx val="6"/>
          <c:order val="6"/>
          <c:tx>
            <c:strRef>
              <c:f>Calc!$A$132</c:f>
              <c:strCache>
                <c:ptCount val="1"/>
                <c:pt idx="0">
                  <c:v>LATAM &gt;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Calc!$K$235:$GP$235</c:f>
              <c:numCache>
                <c:formatCode>0.00</c:formatCode>
                <c:ptCount val="188"/>
                <c:pt idx="0">
                  <c:v>2.0210526315789465</c:v>
                </c:pt>
                <c:pt idx="1">
                  <c:v>2.0210526315789465</c:v>
                </c:pt>
                <c:pt idx="2">
                  <c:v>2.0210526315789465</c:v>
                </c:pt>
                <c:pt idx="3">
                  <c:v>2.0210526315789465</c:v>
                </c:pt>
                <c:pt idx="4">
                  <c:v>2.0210526315789465</c:v>
                </c:pt>
                <c:pt idx="5">
                  <c:v>2.0210526315789465</c:v>
                </c:pt>
                <c:pt idx="6">
                  <c:v>2.0210526315789465</c:v>
                </c:pt>
                <c:pt idx="7">
                  <c:v>2.0210526315789465</c:v>
                </c:pt>
                <c:pt idx="8">
                  <c:v>2.0210526315789465</c:v>
                </c:pt>
                <c:pt idx="9">
                  <c:v>2.0210526315789465</c:v>
                </c:pt>
                <c:pt idx="10">
                  <c:v>2.0199743745371315</c:v>
                </c:pt>
                <c:pt idx="11">
                  <c:v>2.01674190446656</c:v>
                </c:pt>
                <c:pt idx="12">
                  <c:v>2.011362119621257</c:v>
                </c:pt>
                <c:pt idx="13">
                  <c:v>2.0038465007332071</c:v>
                </c:pt>
                <c:pt idx="14">
                  <c:v>1.9942110865118572</c:v>
                </c:pt>
                <c:pt idx="15">
                  <c:v>1.9824764394167431</c:v>
                </c:pt>
                <c:pt idx="16">
                  <c:v>1.9686676017761329</c:v>
                </c:pt>
                <c:pt idx="17">
                  <c:v>1.9528140423454516</c:v>
                </c:pt>
                <c:pt idx="18">
                  <c:v>1.9349495934194714</c:v>
                </c:pt>
                <c:pt idx="19">
                  <c:v>1.9151123786324824</c:v>
                </c:pt>
                <c:pt idx="20">
                  <c:v>1.8933447316005427</c:v>
                </c:pt>
                <c:pt idx="21">
                  <c:v>1.8696931055793975</c:v>
                </c:pt>
                <c:pt idx="22">
                  <c:v>1.8442079743309172</c:v>
                </c:pt>
                <c:pt idx="23">
                  <c:v>1.816943724409505</c:v>
                </c:pt>
                <c:pt idx="24">
                  <c:v>1.78795853909849</c:v>
                </c:pt>
                <c:pt idx="25">
                  <c:v>1.7573142742440346</c:v>
                </c:pt>
                <c:pt idx="26">
                  <c:v>1.7250763262516671</c:v>
                </c:pt>
                <c:pt idx="27">
                  <c:v>1.6913134925270477</c:v>
                </c:pt>
                <c:pt idx="28">
                  <c:v>1.656097824658822</c:v>
                </c:pt>
                <c:pt idx="29">
                  <c:v>1.6195044746569316</c:v>
                </c:pt>
                <c:pt idx="30">
                  <c:v>1.5816115345744066</c:v>
                </c:pt>
                <c:pt idx="31">
                  <c:v>1.5424998698550141</c:v>
                </c:pt>
                <c:pt idx="32">
                  <c:v>1.5022529467622974</c:v>
                </c:pt>
                <c:pt idx="33">
                  <c:v>1.4609566542583963</c:v>
                </c:pt>
                <c:pt idx="34">
                  <c:v>1.4186991207126525</c:v>
                </c:pt>
                <c:pt idx="35">
                  <c:v>1.375570525831229</c:v>
                </c:pt>
                <c:pt idx="36">
                  <c:v>1.3316629082090792</c:v>
                </c:pt>
                <c:pt idx="37">
                  <c:v>1.2870699689149454</c:v>
                </c:pt>
                <c:pt idx="38">
                  <c:v>1.2418868715285569</c:v>
                </c:pt>
                <c:pt idx="39">
                  <c:v>1.1962100390567443</c:v>
                </c:pt>
                <c:pt idx="40">
                  <c:v>1.1501369481619008</c:v>
                </c:pt>
                <c:pt idx="41">
                  <c:v>1.1037659211418642</c:v>
                </c:pt>
                <c:pt idx="42">
                  <c:v>1.0571959161051687</c:v>
                </c:pt>
                <c:pt idx="43">
                  <c:v>1.0105263157894768</c:v>
                </c:pt>
                <c:pt idx="44">
                  <c:v>0.96385671547378138</c:v>
                </c:pt>
                <c:pt idx="45">
                  <c:v>0.91728671043708232</c:v>
                </c:pt>
                <c:pt idx="46">
                  <c:v>0.87091568341704573</c:v>
                </c:pt>
                <c:pt idx="47">
                  <c:v>0.82484259252220227</c:v>
                </c:pt>
                <c:pt idx="48">
                  <c:v>0.77916576005038962</c:v>
                </c:pt>
                <c:pt idx="49">
                  <c:v>0.73398266266400114</c:v>
                </c:pt>
                <c:pt idx="50">
                  <c:v>0.68938972336986737</c:v>
                </c:pt>
                <c:pt idx="51">
                  <c:v>0.64548210574772114</c:v>
                </c:pt>
                <c:pt idx="52">
                  <c:v>0.60235351086629407</c:v>
                </c:pt>
                <c:pt idx="53">
                  <c:v>0.56009597732055028</c:v>
                </c:pt>
                <c:pt idx="54">
                  <c:v>0.51879968481664918</c:v>
                </c:pt>
                <c:pt idx="55">
                  <c:v>0.47855276172393246</c:v>
                </c:pt>
                <c:pt idx="56">
                  <c:v>0.43944109700453993</c:v>
                </c:pt>
                <c:pt idx="57">
                  <c:v>0.40154815692201495</c:v>
                </c:pt>
                <c:pt idx="58">
                  <c:v>0.3649548069201245</c:v>
                </c:pt>
                <c:pt idx="59">
                  <c:v>0.32973913905189889</c:v>
                </c:pt>
                <c:pt idx="60">
                  <c:v>0.29597630532727948</c:v>
                </c:pt>
                <c:pt idx="61">
                  <c:v>0.26373835733491191</c:v>
                </c:pt>
                <c:pt idx="62">
                  <c:v>0.23309409248045654</c:v>
                </c:pt>
                <c:pt idx="63">
                  <c:v>0.20410890716944152</c:v>
                </c:pt>
                <c:pt idx="64">
                  <c:v>0.17684465724802934</c:v>
                </c:pt>
                <c:pt idx="65">
                  <c:v>0.15135952599954905</c:v>
                </c:pt>
                <c:pt idx="66">
                  <c:v>0.12770789997840382</c:v>
                </c:pt>
                <c:pt idx="67">
                  <c:v>0.10594025294646414</c:v>
                </c:pt>
                <c:pt idx="68">
                  <c:v>8.6103038159475176E-2</c:v>
                </c:pt>
                <c:pt idx="69">
                  <c:v>6.8238589233494906E-2</c:v>
                </c:pt>
                <c:pt idx="70">
                  <c:v>5.2385029802813676E-2</c:v>
                </c:pt>
                <c:pt idx="71">
                  <c:v>3.8576192162203427E-2</c:v>
                </c:pt>
                <c:pt idx="72">
                  <c:v>2.6841545067089356E-2</c:v>
                </c:pt>
                <c:pt idx="73">
                  <c:v>1.7206130845739409E-2</c:v>
                </c:pt>
                <c:pt idx="74">
                  <c:v>9.6905119576895515E-3</c:v>
                </c:pt>
                <c:pt idx="75">
                  <c:v>4.3107271123865587E-3</c:v>
                </c:pt>
                <c:pt idx="76">
                  <c:v>1.0782570418150783E-3</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6-6307-42BB-ABB4-13D6649E82B8}"/>
            </c:ext>
          </c:extLst>
        </c:ser>
        <c:ser>
          <c:idx val="7"/>
          <c:order val="7"/>
          <c:tx>
            <c:strRef>
              <c:f>Calc!$A$132</c:f>
              <c:strCache>
                <c:ptCount val="1"/>
                <c:pt idx="0">
                  <c:v>LATAM &gt; available in future</c:v>
                </c:pt>
              </c:strCache>
            </c:strRef>
          </c:tx>
          <c:spPr>
            <a:solidFill>
              <a:srgbClr val="EFB1CE"/>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Calc!$K$185:$GP$185</c:f>
              <c:numCache>
                <c:formatCode>0.00</c:formatCode>
                <c:ptCount val="188"/>
                <c:pt idx="0">
                  <c:v>0.81052631578947365</c:v>
                </c:pt>
                <c:pt idx="1">
                  <c:v>0.81052631578947365</c:v>
                </c:pt>
                <c:pt idx="2">
                  <c:v>0.81052631578947365</c:v>
                </c:pt>
                <c:pt idx="3">
                  <c:v>0.81052631578947365</c:v>
                </c:pt>
                <c:pt idx="4">
                  <c:v>0.81052631578947365</c:v>
                </c:pt>
                <c:pt idx="5">
                  <c:v>0.81052631578947365</c:v>
                </c:pt>
                <c:pt idx="6">
                  <c:v>0.81052631578947365</c:v>
                </c:pt>
                <c:pt idx="7">
                  <c:v>0.81052631578947365</c:v>
                </c:pt>
                <c:pt idx="8">
                  <c:v>0.81052631578947365</c:v>
                </c:pt>
                <c:pt idx="9">
                  <c:v>0.81052631578947365</c:v>
                </c:pt>
                <c:pt idx="10">
                  <c:v>0.81052631578947365</c:v>
                </c:pt>
                <c:pt idx="11">
                  <c:v>0.81052631578947365</c:v>
                </c:pt>
                <c:pt idx="12">
                  <c:v>0.81052631578947365</c:v>
                </c:pt>
                <c:pt idx="13">
                  <c:v>0.81052631578947365</c:v>
                </c:pt>
                <c:pt idx="14">
                  <c:v>0.81052631578947365</c:v>
                </c:pt>
                <c:pt idx="15">
                  <c:v>0.81052631578947365</c:v>
                </c:pt>
                <c:pt idx="16">
                  <c:v>0.81052631578947365</c:v>
                </c:pt>
                <c:pt idx="17">
                  <c:v>0.81052631578947365</c:v>
                </c:pt>
                <c:pt idx="18">
                  <c:v>0.81052631578947365</c:v>
                </c:pt>
                <c:pt idx="19">
                  <c:v>0.81052631578947365</c:v>
                </c:pt>
                <c:pt idx="20">
                  <c:v>0.81052631578947365</c:v>
                </c:pt>
                <c:pt idx="21">
                  <c:v>0.81052631578947365</c:v>
                </c:pt>
                <c:pt idx="22">
                  <c:v>0.81052631578947365</c:v>
                </c:pt>
                <c:pt idx="23">
                  <c:v>0.81052631578947365</c:v>
                </c:pt>
                <c:pt idx="24">
                  <c:v>0.81052631578947365</c:v>
                </c:pt>
                <c:pt idx="25">
                  <c:v>0.81052631578947365</c:v>
                </c:pt>
                <c:pt idx="26">
                  <c:v>0.81052631578947365</c:v>
                </c:pt>
                <c:pt idx="27">
                  <c:v>0.81052631578947365</c:v>
                </c:pt>
                <c:pt idx="28">
                  <c:v>0.81052631578947365</c:v>
                </c:pt>
                <c:pt idx="29">
                  <c:v>0.81052631578947365</c:v>
                </c:pt>
                <c:pt idx="30">
                  <c:v>0.81052631578947365</c:v>
                </c:pt>
                <c:pt idx="31">
                  <c:v>0.81052631578947365</c:v>
                </c:pt>
                <c:pt idx="32">
                  <c:v>0.81052631578947365</c:v>
                </c:pt>
                <c:pt idx="33">
                  <c:v>0.81052631578947365</c:v>
                </c:pt>
                <c:pt idx="34">
                  <c:v>0.81052631578947365</c:v>
                </c:pt>
                <c:pt idx="35">
                  <c:v>0.81052631578947365</c:v>
                </c:pt>
                <c:pt idx="36">
                  <c:v>0.81052631578947365</c:v>
                </c:pt>
                <c:pt idx="37">
                  <c:v>0.81052631578947365</c:v>
                </c:pt>
                <c:pt idx="38">
                  <c:v>0.81052631578947365</c:v>
                </c:pt>
                <c:pt idx="39">
                  <c:v>0.81052631578947365</c:v>
                </c:pt>
                <c:pt idx="40">
                  <c:v>0.81052631578947365</c:v>
                </c:pt>
                <c:pt idx="41">
                  <c:v>0.81052631578947365</c:v>
                </c:pt>
                <c:pt idx="42">
                  <c:v>0.81052631578947365</c:v>
                </c:pt>
                <c:pt idx="43">
                  <c:v>0.81052631578947365</c:v>
                </c:pt>
                <c:pt idx="44">
                  <c:v>0.81052631578947365</c:v>
                </c:pt>
                <c:pt idx="45">
                  <c:v>0.81052631578947365</c:v>
                </c:pt>
                <c:pt idx="46">
                  <c:v>0.81052631578947365</c:v>
                </c:pt>
                <c:pt idx="47">
                  <c:v>0.81052631578947365</c:v>
                </c:pt>
                <c:pt idx="48">
                  <c:v>0.81052631578947365</c:v>
                </c:pt>
                <c:pt idx="49">
                  <c:v>0.81052631578947365</c:v>
                </c:pt>
                <c:pt idx="50">
                  <c:v>0.81052631578947365</c:v>
                </c:pt>
                <c:pt idx="51">
                  <c:v>0.81052631578947365</c:v>
                </c:pt>
                <c:pt idx="52">
                  <c:v>0.81052631578947365</c:v>
                </c:pt>
                <c:pt idx="53">
                  <c:v>0.81052631578947365</c:v>
                </c:pt>
                <c:pt idx="54">
                  <c:v>0.81052631578947365</c:v>
                </c:pt>
                <c:pt idx="55">
                  <c:v>0.81052631578947365</c:v>
                </c:pt>
                <c:pt idx="56">
                  <c:v>0.81052631578947365</c:v>
                </c:pt>
                <c:pt idx="57">
                  <c:v>0.81052631578947365</c:v>
                </c:pt>
                <c:pt idx="58">
                  <c:v>0.81052631578947365</c:v>
                </c:pt>
                <c:pt idx="59">
                  <c:v>0.81052631578947365</c:v>
                </c:pt>
                <c:pt idx="60">
                  <c:v>0.81052631578947365</c:v>
                </c:pt>
                <c:pt idx="61">
                  <c:v>0.81052631578947365</c:v>
                </c:pt>
                <c:pt idx="62">
                  <c:v>0.81052631578947365</c:v>
                </c:pt>
                <c:pt idx="63">
                  <c:v>0.81052631578947365</c:v>
                </c:pt>
                <c:pt idx="64">
                  <c:v>0.81052631578947365</c:v>
                </c:pt>
                <c:pt idx="65">
                  <c:v>0.81052631578947365</c:v>
                </c:pt>
                <c:pt idx="66">
                  <c:v>0.81052631578947365</c:v>
                </c:pt>
                <c:pt idx="67">
                  <c:v>0.81052631578947365</c:v>
                </c:pt>
                <c:pt idx="68">
                  <c:v>0.81052631578947365</c:v>
                </c:pt>
                <c:pt idx="69">
                  <c:v>0.81052631578947365</c:v>
                </c:pt>
                <c:pt idx="70">
                  <c:v>0.81052631578947365</c:v>
                </c:pt>
                <c:pt idx="71">
                  <c:v>0.81052631578947365</c:v>
                </c:pt>
                <c:pt idx="72">
                  <c:v>0.81052631578947365</c:v>
                </c:pt>
                <c:pt idx="73">
                  <c:v>0.81052631578947365</c:v>
                </c:pt>
                <c:pt idx="74">
                  <c:v>0.81052631578947365</c:v>
                </c:pt>
                <c:pt idx="75">
                  <c:v>0.81052631578947365</c:v>
                </c:pt>
                <c:pt idx="76">
                  <c:v>0.81052631578947365</c:v>
                </c:pt>
                <c:pt idx="77">
                  <c:v>0.81052631578947365</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7-6307-42BB-ABB4-13D6649E82B8}"/>
            </c:ext>
          </c:extLst>
        </c:ser>
        <c:ser>
          <c:idx val="8"/>
          <c:order val="8"/>
          <c:tx>
            <c:strRef>
              <c:f>Calc!$A$133</c:f>
              <c:strCache>
                <c:ptCount val="1"/>
                <c:pt idx="0">
                  <c:v>Canada &gt;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Calc!$K$236:$GP$236</c:f>
              <c:numCache>
                <c:formatCode>0.00</c:formatCode>
                <c:ptCount val="188"/>
                <c:pt idx="0">
                  <c:v>0.39999999999999858</c:v>
                </c:pt>
                <c:pt idx="1">
                  <c:v>0.39999999999999858</c:v>
                </c:pt>
                <c:pt idx="2">
                  <c:v>0.39999999999999858</c:v>
                </c:pt>
                <c:pt idx="3">
                  <c:v>0.39999999999999858</c:v>
                </c:pt>
                <c:pt idx="4">
                  <c:v>0.39999999999999858</c:v>
                </c:pt>
                <c:pt idx="5">
                  <c:v>0.39999999999999858</c:v>
                </c:pt>
                <c:pt idx="6">
                  <c:v>0.39999999999999858</c:v>
                </c:pt>
                <c:pt idx="7">
                  <c:v>0.39999999999999858</c:v>
                </c:pt>
                <c:pt idx="8">
                  <c:v>0.39999999999999858</c:v>
                </c:pt>
                <c:pt idx="9">
                  <c:v>0.39999999999999858</c:v>
                </c:pt>
                <c:pt idx="10">
                  <c:v>0.39978659496047442</c:v>
                </c:pt>
                <c:pt idx="11">
                  <c:v>0.39914683525900685</c:v>
                </c:pt>
                <c:pt idx="12">
                  <c:v>0.39808208617504093</c:v>
                </c:pt>
                <c:pt idx="13">
                  <c:v>0.3965946199367778</c:v>
                </c:pt>
                <c:pt idx="14">
                  <c:v>0.39468761087213622</c:v>
                </c:pt>
                <c:pt idx="15">
                  <c:v>0.39236512863456241</c:v>
                </c:pt>
                <c:pt idx="16">
                  <c:v>0.3896321295181906</c:v>
                </c:pt>
                <c:pt idx="17">
                  <c:v>0.38649444588087079</c:v>
                </c:pt>
                <c:pt idx="18">
                  <c:v>0.38295877369760234</c:v>
                </c:pt>
                <c:pt idx="19">
                  <c:v>0.37903265827101151</c:v>
                </c:pt>
                <c:pt idx="20">
                  <c:v>0.37472447812927001</c:v>
                </c:pt>
                <c:pt idx="21">
                  <c:v>0.37004342714592298</c:v>
                </c:pt>
                <c:pt idx="22">
                  <c:v>0.36499949491965822</c:v>
                </c:pt>
                <c:pt idx="23">
                  <c:v>0.35960344545604528</c:v>
                </c:pt>
                <c:pt idx="24">
                  <c:v>0.35386679419657341</c:v>
                </c:pt>
                <c:pt idx="25">
                  <c:v>0.3478017834441296</c:v>
                </c:pt>
                <c:pt idx="26">
                  <c:v>0.34142135623730852</c:v>
                </c:pt>
                <c:pt idx="27">
                  <c:v>0.33473912872931066</c:v>
                </c:pt>
                <c:pt idx="28">
                  <c:v>0.32776936113038957</c:v>
                </c:pt>
                <c:pt idx="29">
                  <c:v>0.32052692727584997</c:v>
                </c:pt>
                <c:pt idx="30">
                  <c:v>0.31302728288451576</c:v>
                </c:pt>
                <c:pt idx="31">
                  <c:v>0.30528643257546761</c:v>
                </c:pt>
                <c:pt idx="32">
                  <c:v>0.29732089571336928</c:v>
                </c:pt>
                <c:pt idx="33">
                  <c:v>0.28914767115530537</c:v>
                </c:pt>
                <c:pt idx="34">
                  <c:v>0.28078420097437728</c:v>
                </c:pt>
                <c:pt idx="35">
                  <c:v>0.27224833323743169</c:v>
                </c:pt>
                <c:pt idx="36">
                  <c:v>0.26355828391637814</c:v>
                </c:pt>
                <c:pt idx="37">
                  <c:v>0.25473259801441728</c:v>
                </c:pt>
                <c:pt idx="38">
                  <c:v>0.24579010999002548</c:v>
                </c:pt>
                <c:pt idx="39">
                  <c:v>0.23674990356331094</c:v>
                </c:pt>
                <c:pt idx="40">
                  <c:v>0.22763127099037561</c:v>
                </c:pt>
                <c:pt idx="41">
                  <c:v>0.2184536718926573</c:v>
                </c:pt>
                <c:pt idx="42">
                  <c:v>0.20923669172914927</c:v>
                </c:pt>
                <c:pt idx="43">
                  <c:v>0.19999999999999929</c:v>
                </c:pt>
                <c:pt idx="44">
                  <c:v>0.19076330827084931</c:v>
                </c:pt>
                <c:pt idx="45">
                  <c:v>0.18154632810734128</c:v>
                </c:pt>
                <c:pt idx="46">
                  <c:v>0.17236872900962297</c:v>
                </c:pt>
                <c:pt idx="47">
                  <c:v>0.16325009643668764</c:v>
                </c:pt>
                <c:pt idx="48">
                  <c:v>0.15420989000997309</c:v>
                </c:pt>
                <c:pt idx="49">
                  <c:v>0.1452674019855813</c:v>
                </c:pt>
                <c:pt idx="50">
                  <c:v>0.13644171608362043</c:v>
                </c:pt>
                <c:pt idx="51">
                  <c:v>0.12775166676256688</c:v>
                </c:pt>
                <c:pt idx="52">
                  <c:v>0.11921579902562129</c:v>
                </c:pt>
                <c:pt idx="53">
                  <c:v>0.1108523288446932</c:v>
                </c:pt>
                <c:pt idx="54">
                  <c:v>0.1026791042866293</c:v>
                </c:pt>
                <c:pt idx="55">
                  <c:v>9.4713567424530964E-2</c:v>
                </c:pt>
                <c:pt idx="56">
                  <c:v>8.6972717115482823E-2</c:v>
                </c:pt>
                <c:pt idx="57">
                  <c:v>7.9473072724148608E-2</c:v>
                </c:pt>
                <c:pt idx="58">
                  <c:v>7.223063886960901E-2</c:v>
                </c:pt>
                <c:pt idx="59">
                  <c:v>6.5260871270687915E-2</c:v>
                </c:pt>
                <c:pt idx="60">
                  <c:v>5.8578643762690064E-2</c:v>
                </c:pt>
                <c:pt idx="61">
                  <c:v>5.2198216555868981E-2</c:v>
                </c:pt>
                <c:pt idx="62">
                  <c:v>4.613320580342517E-2</c:v>
                </c:pt>
                <c:pt idx="63">
                  <c:v>4.03965545439533E-2</c:v>
                </c:pt>
                <c:pt idx="64">
                  <c:v>3.5000505080340361E-2</c:v>
                </c:pt>
                <c:pt idx="65">
                  <c:v>2.9956572854075603E-2</c:v>
                </c:pt>
                <c:pt idx="66">
                  <c:v>2.5275521870728568E-2</c:v>
                </c:pt>
                <c:pt idx="67">
                  <c:v>2.0967341728987066E-2</c:v>
                </c:pt>
                <c:pt idx="68">
                  <c:v>1.704122630239624E-2</c:v>
                </c:pt>
                <c:pt idx="69">
                  <c:v>1.3505554119127794E-2</c:v>
                </c:pt>
                <c:pt idx="70">
                  <c:v>1.0367870481807984E-2</c:v>
                </c:pt>
                <c:pt idx="71">
                  <c:v>7.6348713654361688E-3</c:v>
                </c:pt>
                <c:pt idx="72">
                  <c:v>5.3123891278623603E-3</c:v>
                </c:pt>
                <c:pt idx="73">
                  <c:v>3.4053800632207754E-3</c:v>
                </c:pt>
                <c:pt idx="74">
                  <c:v>1.9179138249576511E-3</c:v>
                </c:pt>
                <c:pt idx="75">
                  <c:v>8.5316474099172979E-4</c:v>
                </c:pt>
                <c:pt idx="76">
                  <c:v>2.1340503952416157E-4</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8-6307-42BB-ABB4-13D6649E82B8}"/>
            </c:ext>
          </c:extLst>
        </c:ser>
        <c:ser>
          <c:idx val="9"/>
          <c:order val="9"/>
          <c:tx>
            <c:strRef>
              <c:f>Calc!$A$133</c:f>
              <c:strCache>
                <c:ptCount val="1"/>
                <c:pt idx="0">
                  <c:v>Canada &gt; available in future</c:v>
                </c:pt>
              </c:strCache>
            </c:strRef>
          </c:tx>
          <c:spPr>
            <a:solidFill>
              <a:srgbClr val="B5DFBB"/>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Calc!$K$186:$GP$186</c:f>
              <c:numCache>
                <c:formatCode>0.00</c:formatCode>
                <c:ptCount val="188"/>
                <c:pt idx="0">
                  <c:v>1.6210526315789473</c:v>
                </c:pt>
                <c:pt idx="1">
                  <c:v>1.6210526315789473</c:v>
                </c:pt>
                <c:pt idx="2">
                  <c:v>1.6210526315789473</c:v>
                </c:pt>
                <c:pt idx="3">
                  <c:v>1.6210526315789473</c:v>
                </c:pt>
                <c:pt idx="4">
                  <c:v>1.6210526315789473</c:v>
                </c:pt>
                <c:pt idx="5">
                  <c:v>1.6210526315789473</c:v>
                </c:pt>
                <c:pt idx="6">
                  <c:v>1.6210526315789473</c:v>
                </c:pt>
                <c:pt idx="7">
                  <c:v>1.6210526315789473</c:v>
                </c:pt>
                <c:pt idx="8">
                  <c:v>1.6210526315789473</c:v>
                </c:pt>
                <c:pt idx="9">
                  <c:v>1.6210526315789473</c:v>
                </c:pt>
                <c:pt idx="10">
                  <c:v>1.6210526315789473</c:v>
                </c:pt>
                <c:pt idx="11">
                  <c:v>1.6210526315789473</c:v>
                </c:pt>
                <c:pt idx="12">
                  <c:v>1.6210526315789473</c:v>
                </c:pt>
                <c:pt idx="13">
                  <c:v>1.6210526315789473</c:v>
                </c:pt>
                <c:pt idx="14">
                  <c:v>1.6210526315789473</c:v>
                </c:pt>
                <c:pt idx="15">
                  <c:v>1.6210526315789473</c:v>
                </c:pt>
                <c:pt idx="16">
                  <c:v>1.6210526315789473</c:v>
                </c:pt>
                <c:pt idx="17">
                  <c:v>1.6210526315789473</c:v>
                </c:pt>
                <c:pt idx="18">
                  <c:v>1.6210526315789473</c:v>
                </c:pt>
                <c:pt idx="19">
                  <c:v>1.6210526315789473</c:v>
                </c:pt>
                <c:pt idx="20">
                  <c:v>1.6210526315789473</c:v>
                </c:pt>
                <c:pt idx="21">
                  <c:v>1.6210526315789473</c:v>
                </c:pt>
                <c:pt idx="22">
                  <c:v>1.6210526315789473</c:v>
                </c:pt>
                <c:pt idx="23">
                  <c:v>1.6210526315789473</c:v>
                </c:pt>
                <c:pt idx="24">
                  <c:v>1.6210526315789473</c:v>
                </c:pt>
                <c:pt idx="25">
                  <c:v>1.6210526315789473</c:v>
                </c:pt>
                <c:pt idx="26">
                  <c:v>1.6210526315789473</c:v>
                </c:pt>
                <c:pt idx="27">
                  <c:v>1.6210526315789473</c:v>
                </c:pt>
                <c:pt idx="28">
                  <c:v>1.6210526315789473</c:v>
                </c:pt>
                <c:pt idx="29">
                  <c:v>1.6210526315789473</c:v>
                </c:pt>
                <c:pt idx="30">
                  <c:v>1.6210526315789473</c:v>
                </c:pt>
                <c:pt idx="31">
                  <c:v>1.6210526315789473</c:v>
                </c:pt>
                <c:pt idx="32">
                  <c:v>1.6210526315789473</c:v>
                </c:pt>
                <c:pt idx="33">
                  <c:v>1.6210526315789473</c:v>
                </c:pt>
                <c:pt idx="34">
                  <c:v>1.6210526315789473</c:v>
                </c:pt>
                <c:pt idx="35">
                  <c:v>1.6210526315789473</c:v>
                </c:pt>
                <c:pt idx="36">
                  <c:v>1.6210526315789473</c:v>
                </c:pt>
                <c:pt idx="37">
                  <c:v>1.6210526315789473</c:v>
                </c:pt>
                <c:pt idx="38">
                  <c:v>1.6210526315789473</c:v>
                </c:pt>
                <c:pt idx="39">
                  <c:v>1.6210526315789473</c:v>
                </c:pt>
                <c:pt idx="40">
                  <c:v>1.6210526315789473</c:v>
                </c:pt>
                <c:pt idx="41">
                  <c:v>1.6210526315789473</c:v>
                </c:pt>
                <c:pt idx="42">
                  <c:v>1.6210526315789473</c:v>
                </c:pt>
                <c:pt idx="43">
                  <c:v>1.6210526315789473</c:v>
                </c:pt>
                <c:pt idx="44">
                  <c:v>1.6210526315789473</c:v>
                </c:pt>
                <c:pt idx="45">
                  <c:v>1.6210526315789473</c:v>
                </c:pt>
                <c:pt idx="46">
                  <c:v>1.6210526315789473</c:v>
                </c:pt>
                <c:pt idx="47">
                  <c:v>1.6210526315789473</c:v>
                </c:pt>
                <c:pt idx="48">
                  <c:v>1.6210526315789473</c:v>
                </c:pt>
                <c:pt idx="49">
                  <c:v>1.6210526315789473</c:v>
                </c:pt>
                <c:pt idx="50">
                  <c:v>1.6210526315789473</c:v>
                </c:pt>
                <c:pt idx="51">
                  <c:v>1.6210526315789473</c:v>
                </c:pt>
                <c:pt idx="52">
                  <c:v>1.6210526315789473</c:v>
                </c:pt>
                <c:pt idx="53">
                  <c:v>1.6210526315789473</c:v>
                </c:pt>
                <c:pt idx="54">
                  <c:v>1.6210526315789473</c:v>
                </c:pt>
                <c:pt idx="55">
                  <c:v>1.6210526315789473</c:v>
                </c:pt>
                <c:pt idx="56">
                  <c:v>1.6210526315789473</c:v>
                </c:pt>
                <c:pt idx="57">
                  <c:v>1.6210526315789473</c:v>
                </c:pt>
                <c:pt idx="58">
                  <c:v>1.6210526315789473</c:v>
                </c:pt>
                <c:pt idx="59">
                  <c:v>1.6210526315789473</c:v>
                </c:pt>
                <c:pt idx="60">
                  <c:v>1.6210526315789473</c:v>
                </c:pt>
                <c:pt idx="61">
                  <c:v>1.6210526315789473</c:v>
                </c:pt>
                <c:pt idx="62">
                  <c:v>1.6210526315789473</c:v>
                </c:pt>
                <c:pt idx="63">
                  <c:v>1.6210526315789473</c:v>
                </c:pt>
                <c:pt idx="64">
                  <c:v>1.6210526315789473</c:v>
                </c:pt>
                <c:pt idx="65">
                  <c:v>1.6210526315789473</c:v>
                </c:pt>
                <c:pt idx="66">
                  <c:v>1.6210526315789473</c:v>
                </c:pt>
                <c:pt idx="67">
                  <c:v>1.6210526315789473</c:v>
                </c:pt>
                <c:pt idx="68">
                  <c:v>1.6210526315789473</c:v>
                </c:pt>
                <c:pt idx="69">
                  <c:v>1.6210526315789473</c:v>
                </c:pt>
                <c:pt idx="70">
                  <c:v>1.6210526315789473</c:v>
                </c:pt>
                <c:pt idx="71">
                  <c:v>1.6210526315789473</c:v>
                </c:pt>
                <c:pt idx="72">
                  <c:v>1.6210526315789473</c:v>
                </c:pt>
                <c:pt idx="73">
                  <c:v>1.6210526315789473</c:v>
                </c:pt>
                <c:pt idx="74">
                  <c:v>1.6210526315789473</c:v>
                </c:pt>
                <c:pt idx="75">
                  <c:v>1.6210526315789473</c:v>
                </c:pt>
                <c:pt idx="76">
                  <c:v>1.6210526315789473</c:v>
                </c:pt>
                <c:pt idx="77">
                  <c:v>1.6210526315789473</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9-6307-42BB-ABB4-13D6649E82B8}"/>
            </c:ext>
          </c:extLst>
        </c:ser>
        <c:ser>
          <c:idx val="10"/>
          <c:order val="10"/>
          <c:tx>
            <c:strRef>
              <c:f>Calc!$A$134</c:f>
              <c:strCache>
                <c:ptCount val="1"/>
                <c:pt idx="0">
                  <c:v>Other &gt;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Calc!$K$237:$GP$237</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A-6307-42BB-ABB4-13D6649E82B8}"/>
            </c:ext>
          </c:extLst>
        </c:ser>
        <c:ser>
          <c:idx val="11"/>
          <c:order val="11"/>
          <c:tx>
            <c:strRef>
              <c:f>Calc!$A$134</c:f>
              <c:strCache>
                <c:ptCount val="1"/>
                <c:pt idx="0">
                  <c:v>Other &gt; available in future</c:v>
                </c:pt>
              </c:strCache>
            </c:strRef>
          </c:tx>
          <c:spPr>
            <a:solidFill>
              <a:srgbClr val="CED2DA"/>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Calc!$K$187:$GP$187</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B-6307-42BB-ABB4-13D6649E82B8}"/>
            </c:ext>
          </c:extLst>
        </c:ser>
        <c:ser>
          <c:idx val="12"/>
          <c:order val="12"/>
          <c:tx>
            <c:strRef>
              <c:f>Calc!$A$135</c:f>
              <c:strCache>
                <c:ptCount val="1"/>
                <c:pt idx="0">
                  <c:v>26
Available in future</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Calc!$K$238:$GP$238</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10.126315789473685</c:v>
                </c:pt>
                <c:pt idx="79">
                  <c:v>10.126315789473685</c:v>
                </c:pt>
                <c:pt idx="80">
                  <c:v>10.126315789473685</c:v>
                </c:pt>
                <c:pt idx="81">
                  <c:v>10.126315789473685</c:v>
                </c:pt>
                <c:pt idx="82">
                  <c:v>10.126315789473685</c:v>
                </c:pt>
                <c:pt idx="83">
                  <c:v>10.126315789473685</c:v>
                </c:pt>
                <c:pt idx="84">
                  <c:v>10.126315789473685</c:v>
                </c:pt>
                <c:pt idx="85">
                  <c:v>10.126315789473685</c:v>
                </c:pt>
                <c:pt idx="86">
                  <c:v>10.126315789473685</c:v>
                </c:pt>
                <c:pt idx="87">
                  <c:v>10.126315789473685</c:v>
                </c:pt>
                <c:pt idx="88">
                  <c:v>10.126315789473685</c:v>
                </c:pt>
                <c:pt idx="89">
                  <c:v>10.126315789473685</c:v>
                </c:pt>
                <c:pt idx="90">
                  <c:v>10.126315789473685</c:v>
                </c:pt>
                <c:pt idx="91">
                  <c:v>10.126315789473685</c:v>
                </c:pt>
                <c:pt idx="92">
                  <c:v>10.126315789473685</c:v>
                </c:pt>
                <c:pt idx="93">
                  <c:v>10.126315789473685</c:v>
                </c:pt>
                <c:pt idx="94">
                  <c:v>10.126315789473685</c:v>
                </c:pt>
                <c:pt idx="95">
                  <c:v>10.126315789473685</c:v>
                </c:pt>
                <c:pt idx="96">
                  <c:v>10.126315789473685</c:v>
                </c:pt>
                <c:pt idx="97">
                  <c:v>10.126315789473685</c:v>
                </c:pt>
                <c:pt idx="98">
                  <c:v>10.126315789473685</c:v>
                </c:pt>
                <c:pt idx="99">
                  <c:v>10.126315789473685</c:v>
                </c:pt>
                <c:pt idx="100">
                  <c:v>10.126315789473685</c:v>
                </c:pt>
                <c:pt idx="101">
                  <c:v>10.126315789473685</c:v>
                </c:pt>
                <c:pt idx="102">
                  <c:v>10.126315789473685</c:v>
                </c:pt>
                <c:pt idx="103">
                  <c:v>10.126315789473685</c:v>
                </c:pt>
                <c:pt idx="104">
                  <c:v>10.126315789473685</c:v>
                </c:pt>
                <c:pt idx="105">
                  <c:v>10.126315789473685</c:v>
                </c:pt>
                <c:pt idx="106">
                  <c:v>10.126315789473685</c:v>
                </c:pt>
                <c:pt idx="107">
                  <c:v>10.126315789473685</c:v>
                </c:pt>
                <c:pt idx="108">
                  <c:v>10.126315789473685</c:v>
                </c:pt>
                <c:pt idx="109">
                  <c:v>10.126315789473685</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C-6307-42BB-ABB4-13D6649E82B8}"/>
            </c:ext>
          </c:extLst>
        </c:ser>
        <c:ser>
          <c:idx val="13"/>
          <c:order val="13"/>
          <c:tx>
            <c:strRef>
              <c:f>Calc!$A$135</c:f>
              <c:strCache>
                <c:ptCount val="1"/>
                <c:pt idx="0">
                  <c:v>26
Available in future</c:v>
                </c:pt>
              </c:strCache>
            </c:strRef>
          </c:tx>
          <c:spPr>
            <a:solidFill>
              <a:srgbClr val="8895AA"/>
            </a:solidFill>
            <a:ln w="0">
              <a:noFill/>
            </a:ln>
          </c:spPr>
          <c:dPt>
            <c:idx val="94"/>
            <c:bubble3D val="0"/>
            <c:extLst>
              <c:ext xmlns:c16="http://schemas.microsoft.com/office/drawing/2014/chart" uri="{C3380CC4-5D6E-409C-BE32-E72D297353CC}">
                <c16:uniqueId val="{0000000E-6307-42BB-ABB4-13D6649E82B8}"/>
              </c:ext>
            </c:extLst>
          </c:dPt>
          <c:dLbls>
            <c:dLbl>
              <c:idx val="94"/>
              <c:spPr/>
              <c:txPr>
                <a:bodyPr wrap="square"/>
                <a:lstStyle/>
                <a:p>
                  <a:pPr>
                    <a:defRPr sz="1100" b="1" strike="noStrike" spc="-1">
                      <a:solidFill>
                        <a:srgbClr val="FFFFFF"/>
                      </a:solidFill>
                      <a:latin typeface="Arial"/>
                    </a:defRPr>
                  </a:pPr>
                  <a:endParaRPr lang="en-US"/>
                </a:p>
              </c:txPr>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6307-42BB-ABB4-13D6649E82B8}"/>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Calc!$K$188:$GP$188</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21.073684210526316</c:v>
                </c:pt>
                <c:pt idx="79">
                  <c:v>21.073684210526316</c:v>
                </c:pt>
                <c:pt idx="80">
                  <c:v>21.073684210526316</c:v>
                </c:pt>
                <c:pt idx="81">
                  <c:v>21.073684210526316</c:v>
                </c:pt>
                <c:pt idx="82">
                  <c:v>21.073684210526316</c:v>
                </c:pt>
                <c:pt idx="83">
                  <c:v>21.073684210526316</c:v>
                </c:pt>
                <c:pt idx="84">
                  <c:v>21.073684210526316</c:v>
                </c:pt>
                <c:pt idx="85">
                  <c:v>21.073684210526316</c:v>
                </c:pt>
                <c:pt idx="86">
                  <c:v>21.073684210526316</c:v>
                </c:pt>
                <c:pt idx="87">
                  <c:v>21.073684210526316</c:v>
                </c:pt>
                <c:pt idx="88">
                  <c:v>21.073684210526316</c:v>
                </c:pt>
                <c:pt idx="89">
                  <c:v>21.073684210526316</c:v>
                </c:pt>
                <c:pt idx="90">
                  <c:v>21.073684210526316</c:v>
                </c:pt>
                <c:pt idx="91">
                  <c:v>21.073684210526316</c:v>
                </c:pt>
                <c:pt idx="92">
                  <c:v>21.073684210526316</c:v>
                </c:pt>
                <c:pt idx="93">
                  <c:v>21.073684210526316</c:v>
                </c:pt>
                <c:pt idx="94">
                  <c:v>21.073684210526316</c:v>
                </c:pt>
                <c:pt idx="95">
                  <c:v>21.073684210526316</c:v>
                </c:pt>
                <c:pt idx="96">
                  <c:v>21.073684210526316</c:v>
                </c:pt>
                <c:pt idx="97">
                  <c:v>21.073684210526316</c:v>
                </c:pt>
                <c:pt idx="98">
                  <c:v>21.073684210526316</c:v>
                </c:pt>
                <c:pt idx="99">
                  <c:v>21.073684210526316</c:v>
                </c:pt>
                <c:pt idx="100">
                  <c:v>21.073684210526316</c:v>
                </c:pt>
                <c:pt idx="101">
                  <c:v>21.073684210526316</c:v>
                </c:pt>
                <c:pt idx="102">
                  <c:v>21.073684210526316</c:v>
                </c:pt>
                <c:pt idx="103">
                  <c:v>21.073684210526316</c:v>
                </c:pt>
                <c:pt idx="104">
                  <c:v>21.073684210526316</c:v>
                </c:pt>
                <c:pt idx="105">
                  <c:v>21.073684210526316</c:v>
                </c:pt>
                <c:pt idx="106">
                  <c:v>21.073684210526316</c:v>
                </c:pt>
                <c:pt idx="107">
                  <c:v>21.073684210526316</c:v>
                </c:pt>
                <c:pt idx="108">
                  <c:v>21.073684210526316</c:v>
                </c:pt>
                <c:pt idx="109">
                  <c:v>21.073684210526316</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F-6307-42BB-ABB4-13D6649E82B8}"/>
            </c:ext>
          </c:extLst>
        </c:ser>
        <c:ser>
          <c:idx val="14"/>
          <c:order val="14"/>
          <c:tx>
            <c:strRef>
              <c:f>Calc!$A$136</c:f>
              <c:strCache>
                <c:ptCount val="1"/>
                <c:pt idx="0">
                  <c:v>Available in future &gt; Future deployments</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Calc!$K$239:$GP$239</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10.126315789473685</c:v>
                </c:pt>
                <c:pt idx="111">
                  <c:v>10.12763471969083</c:v>
                </c:pt>
                <c:pt idx="112">
                  <c:v>10.131588611047407</c:v>
                </c:pt>
                <c:pt idx="113">
                  <c:v>10.138168772032104</c:v>
                </c:pt>
                <c:pt idx="114">
                  <c:v>10.147360738022993</c:v>
                </c:pt>
                <c:pt idx="115">
                  <c:v>10.159144303083909</c:v>
                </c:pt>
                <c:pt idx="116">
                  <c:v>10.173493564381477</c:v>
                </c:pt>
                <c:pt idx="117">
                  <c:v>10.190376979125164</c:v>
                </c:pt>
                <c:pt idx="118">
                  <c:v>10.20975743390518</c:v>
                </c:pt>
                <c:pt idx="119">
                  <c:v>10.231592326275809</c:v>
                </c:pt>
                <c:pt idx="120">
                  <c:v>10.255833658404821</c:v>
                </c:pt>
                <c:pt idx="121">
                  <c:v>10.282428142583136</c:v>
                </c:pt>
                <c:pt idx="122">
                  <c:v>10.311317318362768</c:v>
                </c:pt>
                <c:pt idx="123">
                  <c:v>10.342437681065576</c:v>
                </c:pt>
                <c:pt idx="124">
                  <c:v>10.37572082138033</c:v>
                </c:pt>
                <c:pt idx="125">
                  <c:v>10.411093575741226</c:v>
                </c:pt>
                <c:pt idx="126">
                  <c:v>10.448478187157281</c:v>
                </c:pt>
                <c:pt idx="127">
                  <c:v>10.487792476139076</c:v>
                </c:pt>
                <c:pt idx="128">
                  <c:v>10.528950021347098</c:v>
                </c:pt>
                <c:pt idx="129">
                  <c:v>10.571860349564624</c:v>
                </c:pt>
                <c:pt idx="130">
                  <c:v>10.616429134577459</c:v>
                </c:pt>
                <c:pt idx="131">
                  <c:v>10.662558404523446</c:v>
                </c:pt>
                <c:pt idx="132">
                  <c:v>10.710146757255874</c:v>
                </c:pt>
                <c:pt idx="133">
                  <c:v>10.759089583247407</c:v>
                </c:pt>
                <c:pt idx="134">
                  <c:v>10.80927929554452</c:v>
                </c:pt>
                <c:pt idx="135">
                  <c:v>10.860605566266985</c:v>
                </c:pt>
                <c:pt idx="136">
                  <c:v>10.912955569132485</c:v>
                </c:pt>
                <c:pt idx="137">
                  <c:v>10.966214227473277</c:v>
                </c:pt>
                <c:pt idx="138">
                  <c:v>11.020264467199674</c:v>
                </c:pt>
                <c:pt idx="139">
                  <c:v>11.074987474154312</c:v>
                </c:pt>
                <c:pt idx="140">
                  <c:v>11.13026295529145</c:v>
                </c:pt>
                <c:pt idx="141">
                  <c:v>11.185969403107187</c:v>
                </c:pt>
                <c:pt idx="142">
                  <c:v>11.241984362739334</c:v>
                </c:pt>
                <c:pt idx="143">
                  <c:v>11.298184701149772</c:v>
                </c:pt>
                <c:pt idx="144">
                  <c:v>11.354446877797598</c:v>
                </c:pt>
                <c:pt idx="145">
                  <c:v>11.410647216208037</c:v>
                </c:pt>
                <c:pt idx="146">
                  <c:v>11.466662175840185</c:v>
                </c:pt>
                <c:pt idx="147">
                  <c:v>11.522368623655922</c:v>
                </c:pt>
                <c:pt idx="148">
                  <c:v>11.577644104793059</c:v>
                </c:pt>
                <c:pt idx="149">
                  <c:v>11.632367111747698</c:v>
                </c:pt>
                <c:pt idx="150">
                  <c:v>11.686417351474095</c:v>
                </c:pt>
                <c:pt idx="151">
                  <c:v>11.739676009814886</c:v>
                </c:pt>
                <c:pt idx="152">
                  <c:v>11.792026012680386</c:v>
                </c:pt>
                <c:pt idx="153">
                  <c:v>11.843352283402851</c:v>
                </c:pt>
                <c:pt idx="154">
                  <c:v>11.893541995699964</c:v>
                </c:pt>
                <c:pt idx="155">
                  <c:v>11.942484821691497</c:v>
                </c:pt>
                <c:pt idx="156">
                  <c:v>11.990073174423925</c:v>
                </c:pt>
                <c:pt idx="157">
                  <c:v>12.036202444369913</c:v>
                </c:pt>
                <c:pt idx="158">
                  <c:v>12.080771229382748</c:v>
                </c:pt>
                <c:pt idx="159">
                  <c:v>12.123681557600273</c:v>
                </c:pt>
                <c:pt idx="160">
                  <c:v>12.164839102808296</c:v>
                </c:pt>
                <c:pt idx="161">
                  <c:v>12.20415339179009</c:v>
                </c:pt>
                <c:pt idx="162">
                  <c:v>12.241538003206145</c:v>
                </c:pt>
                <c:pt idx="163">
                  <c:v>12.276910757567041</c:v>
                </c:pt>
                <c:pt idx="164">
                  <c:v>12.310193897881796</c:v>
                </c:pt>
                <c:pt idx="165">
                  <c:v>12.341314260584603</c:v>
                </c:pt>
                <c:pt idx="166">
                  <c:v>12.370203436364235</c:v>
                </c:pt>
                <c:pt idx="167">
                  <c:v>12.39679792054255</c:v>
                </c:pt>
                <c:pt idx="168">
                  <c:v>12.421039252671562</c:v>
                </c:pt>
                <c:pt idx="169">
                  <c:v>12.44287414504219</c:v>
                </c:pt>
                <c:pt idx="170">
                  <c:v>12.462254599822208</c:v>
                </c:pt>
                <c:pt idx="171">
                  <c:v>12.479138014565894</c:v>
                </c:pt>
                <c:pt idx="172">
                  <c:v>12.493487275863462</c:v>
                </c:pt>
                <c:pt idx="173">
                  <c:v>12.505270840924378</c:v>
                </c:pt>
                <c:pt idx="174">
                  <c:v>12.514462806915269</c:v>
                </c:pt>
                <c:pt idx="175">
                  <c:v>12.521042967899964</c:v>
                </c:pt>
                <c:pt idx="176">
                  <c:v>12.524996859256539</c:v>
                </c:pt>
                <c:pt idx="177">
                  <c:v>12.526315789473687</c:v>
                </c:pt>
                <c:pt idx="178">
                  <c:v>12.526315789473687</c:v>
                </c:pt>
                <c:pt idx="179">
                  <c:v>12.526315789473687</c:v>
                </c:pt>
                <c:pt idx="180">
                  <c:v>12.526315789473687</c:v>
                </c:pt>
                <c:pt idx="181">
                  <c:v>12.526315789473687</c:v>
                </c:pt>
                <c:pt idx="182">
                  <c:v>12.526315789473687</c:v>
                </c:pt>
                <c:pt idx="183">
                  <c:v>12.526315789473687</c:v>
                </c:pt>
                <c:pt idx="184">
                  <c:v>12.526315789473687</c:v>
                </c:pt>
                <c:pt idx="185">
                  <c:v>12.526315789473687</c:v>
                </c:pt>
                <c:pt idx="186">
                  <c:v>12.526315789473687</c:v>
                </c:pt>
                <c:pt idx="187">
                  <c:v>12.526315789473687</c:v>
                </c:pt>
              </c:numCache>
            </c:numRef>
          </c:val>
          <c:extLst>
            <c:ext xmlns:c16="http://schemas.microsoft.com/office/drawing/2014/chart" uri="{C3380CC4-5D6E-409C-BE32-E72D297353CC}">
              <c16:uniqueId val="{00000010-6307-42BB-ABB4-13D6649E82B8}"/>
            </c:ext>
          </c:extLst>
        </c:ser>
        <c:ser>
          <c:idx val="15"/>
          <c:order val="15"/>
          <c:tx>
            <c:strRef>
              <c:f>Calc!$A$136</c:f>
              <c:strCache>
                <c:ptCount val="1"/>
                <c:pt idx="0">
                  <c:v>Available in future &gt; Future deployments</c:v>
                </c:pt>
              </c:strCache>
            </c:strRef>
          </c:tx>
          <c:spPr>
            <a:solidFill>
              <a:srgbClr val="BEC5D0"/>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Calc!$K$189:$GP$189</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21.073684210526316</c:v>
                </c:pt>
                <c:pt idx="111">
                  <c:v>21.073684210526316</c:v>
                </c:pt>
                <c:pt idx="112">
                  <c:v>21.073684210526316</c:v>
                </c:pt>
                <c:pt idx="113">
                  <c:v>21.073684210526316</c:v>
                </c:pt>
                <c:pt idx="114">
                  <c:v>21.073684210526316</c:v>
                </c:pt>
                <c:pt idx="115">
                  <c:v>21.073684210526316</c:v>
                </c:pt>
                <c:pt idx="116">
                  <c:v>21.073684210526316</c:v>
                </c:pt>
                <c:pt idx="117">
                  <c:v>21.073684210526316</c:v>
                </c:pt>
                <c:pt idx="118">
                  <c:v>21.073684210526316</c:v>
                </c:pt>
                <c:pt idx="119">
                  <c:v>21.073684210526316</c:v>
                </c:pt>
                <c:pt idx="120">
                  <c:v>21.073684210526316</c:v>
                </c:pt>
                <c:pt idx="121">
                  <c:v>21.073684210526316</c:v>
                </c:pt>
                <c:pt idx="122">
                  <c:v>21.073684210526316</c:v>
                </c:pt>
                <c:pt idx="123">
                  <c:v>21.073684210526316</c:v>
                </c:pt>
                <c:pt idx="124">
                  <c:v>21.073684210526316</c:v>
                </c:pt>
                <c:pt idx="125">
                  <c:v>21.073684210526316</c:v>
                </c:pt>
                <c:pt idx="126">
                  <c:v>21.073684210526316</c:v>
                </c:pt>
                <c:pt idx="127">
                  <c:v>21.073684210526316</c:v>
                </c:pt>
                <c:pt idx="128">
                  <c:v>21.073684210526316</c:v>
                </c:pt>
                <c:pt idx="129">
                  <c:v>21.073684210526316</c:v>
                </c:pt>
                <c:pt idx="130">
                  <c:v>21.073684210526316</c:v>
                </c:pt>
                <c:pt idx="131">
                  <c:v>21.073684210526316</c:v>
                </c:pt>
                <c:pt idx="132">
                  <c:v>21.073684210526316</c:v>
                </c:pt>
                <c:pt idx="133">
                  <c:v>21.073684210526316</c:v>
                </c:pt>
                <c:pt idx="134">
                  <c:v>21.073684210526316</c:v>
                </c:pt>
                <c:pt idx="135">
                  <c:v>21.073684210526316</c:v>
                </c:pt>
                <c:pt idx="136">
                  <c:v>21.073684210526316</c:v>
                </c:pt>
                <c:pt idx="137">
                  <c:v>21.073684210526316</c:v>
                </c:pt>
                <c:pt idx="138">
                  <c:v>21.073684210526316</c:v>
                </c:pt>
                <c:pt idx="139">
                  <c:v>21.073684210526316</c:v>
                </c:pt>
                <c:pt idx="140">
                  <c:v>21.073684210526316</c:v>
                </c:pt>
                <c:pt idx="141">
                  <c:v>21.073684210526316</c:v>
                </c:pt>
                <c:pt idx="142">
                  <c:v>21.073684210526316</c:v>
                </c:pt>
                <c:pt idx="143">
                  <c:v>21.073684210526316</c:v>
                </c:pt>
                <c:pt idx="144">
                  <c:v>21.073684210526316</c:v>
                </c:pt>
                <c:pt idx="145">
                  <c:v>21.073684210526316</c:v>
                </c:pt>
                <c:pt idx="146">
                  <c:v>21.073684210526316</c:v>
                </c:pt>
                <c:pt idx="147">
                  <c:v>21.073684210526316</c:v>
                </c:pt>
                <c:pt idx="148">
                  <c:v>21.073684210526316</c:v>
                </c:pt>
                <c:pt idx="149">
                  <c:v>21.073684210526316</c:v>
                </c:pt>
                <c:pt idx="150">
                  <c:v>21.073684210526316</c:v>
                </c:pt>
                <c:pt idx="151">
                  <c:v>21.073684210526316</c:v>
                </c:pt>
                <c:pt idx="152">
                  <c:v>21.073684210526316</c:v>
                </c:pt>
                <c:pt idx="153">
                  <c:v>21.073684210526316</c:v>
                </c:pt>
                <c:pt idx="154">
                  <c:v>21.073684210526316</c:v>
                </c:pt>
                <c:pt idx="155">
                  <c:v>21.073684210526316</c:v>
                </c:pt>
                <c:pt idx="156">
                  <c:v>21.073684210526316</c:v>
                </c:pt>
                <c:pt idx="157">
                  <c:v>21.073684210526316</c:v>
                </c:pt>
                <c:pt idx="158">
                  <c:v>21.073684210526316</c:v>
                </c:pt>
                <c:pt idx="159">
                  <c:v>21.073684210526316</c:v>
                </c:pt>
                <c:pt idx="160">
                  <c:v>21.073684210526316</c:v>
                </c:pt>
                <c:pt idx="161">
                  <c:v>21.073684210526316</c:v>
                </c:pt>
                <c:pt idx="162">
                  <c:v>21.073684210526316</c:v>
                </c:pt>
                <c:pt idx="163">
                  <c:v>21.073684210526316</c:v>
                </c:pt>
                <c:pt idx="164">
                  <c:v>21.073684210526316</c:v>
                </c:pt>
                <c:pt idx="165">
                  <c:v>21.073684210526316</c:v>
                </c:pt>
                <c:pt idx="166">
                  <c:v>21.073684210526316</c:v>
                </c:pt>
                <c:pt idx="167">
                  <c:v>21.073684210526316</c:v>
                </c:pt>
                <c:pt idx="168">
                  <c:v>21.073684210526316</c:v>
                </c:pt>
                <c:pt idx="169">
                  <c:v>21.073684210526316</c:v>
                </c:pt>
                <c:pt idx="170">
                  <c:v>21.073684210526316</c:v>
                </c:pt>
                <c:pt idx="171">
                  <c:v>21.073684210526316</c:v>
                </c:pt>
                <c:pt idx="172">
                  <c:v>21.073684210526316</c:v>
                </c:pt>
                <c:pt idx="173">
                  <c:v>21.073684210526316</c:v>
                </c:pt>
                <c:pt idx="174">
                  <c:v>21.073684210526316</c:v>
                </c:pt>
                <c:pt idx="175">
                  <c:v>21.073684210526316</c:v>
                </c:pt>
                <c:pt idx="176">
                  <c:v>21.073684210526316</c:v>
                </c:pt>
                <c:pt idx="177">
                  <c:v>21.073684210526316</c:v>
                </c:pt>
                <c:pt idx="178">
                  <c:v>21.073684210526316</c:v>
                </c:pt>
                <c:pt idx="179">
                  <c:v>21.073684210526316</c:v>
                </c:pt>
                <c:pt idx="180">
                  <c:v>21.073684210526316</c:v>
                </c:pt>
                <c:pt idx="181">
                  <c:v>21.073684210526316</c:v>
                </c:pt>
                <c:pt idx="182">
                  <c:v>21.073684210526316</c:v>
                </c:pt>
                <c:pt idx="183">
                  <c:v>21.073684210526316</c:v>
                </c:pt>
                <c:pt idx="184">
                  <c:v>21.073684210526316</c:v>
                </c:pt>
                <c:pt idx="185">
                  <c:v>21.073684210526316</c:v>
                </c:pt>
                <c:pt idx="186">
                  <c:v>21.073684210526316</c:v>
                </c:pt>
                <c:pt idx="187">
                  <c:v>21.073684210526316</c:v>
                </c:pt>
              </c:numCache>
            </c:numRef>
          </c:val>
          <c:extLst>
            <c:ext xmlns:c16="http://schemas.microsoft.com/office/drawing/2014/chart" uri="{C3380CC4-5D6E-409C-BE32-E72D297353CC}">
              <c16:uniqueId val="{00000011-6307-42BB-ABB4-13D6649E82B8}"/>
            </c:ext>
          </c:extLst>
        </c:ser>
        <c:dLbls>
          <c:showLegendKey val="0"/>
          <c:showVal val="0"/>
          <c:showCatName val="0"/>
          <c:showSerName val="0"/>
          <c:showPercent val="0"/>
          <c:showBubbleSize val="0"/>
        </c:dLbls>
        <c:axId val="31269499"/>
        <c:axId val="36458164"/>
      </c:areaChart>
      <c:catAx>
        <c:axId val="31269499"/>
        <c:scaling>
          <c:orientation val="minMax"/>
        </c:scaling>
        <c:delete val="1"/>
        <c:axPos val="t"/>
        <c:numFmt formatCode="General" sourceLinked="1"/>
        <c:majorTickMark val="none"/>
        <c:minorTickMark val="none"/>
        <c:tickLblPos val="nextTo"/>
        <c:crossAx val="36458164"/>
        <c:crosses val="autoZero"/>
        <c:auto val="1"/>
        <c:lblAlgn val="ctr"/>
        <c:lblOffset val="100"/>
        <c:noMultiLvlLbl val="0"/>
      </c:catAx>
      <c:valAx>
        <c:axId val="36458164"/>
        <c:scaling>
          <c:orientation val="maxMin"/>
          <c:max val="34"/>
          <c:min val="0"/>
        </c:scaling>
        <c:delete val="1"/>
        <c:axPos val="l"/>
        <c:numFmt formatCode="0.00" sourceLinked="1"/>
        <c:majorTickMark val="none"/>
        <c:minorTickMark val="none"/>
        <c:tickLblPos val="nextTo"/>
        <c:crossAx val="31269499"/>
        <c:crosses val="autoZero"/>
        <c:crossBetween val="midCat"/>
      </c:valAx>
      <c:spPr>
        <a:noFill/>
        <a:ln w="0">
          <a:noFill/>
        </a:ln>
      </c:spPr>
    </c:plotArea>
    <c:plotVisOnly val="1"/>
    <c:dispBlanksAs val="gap"/>
    <c:showDLblsOverMax val="1"/>
  </c:chart>
  <c:spPr>
    <a:no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
          <c:w val="0.99995234464353799"/>
          <c:h val="0.99994441665277101"/>
        </c:manualLayout>
      </c:layout>
      <c:areaChart>
        <c:grouping val="stacked"/>
        <c:varyColors val="1"/>
        <c:ser>
          <c:idx val="0"/>
          <c:order val="0"/>
          <c:tx>
            <c:strRef>
              <c:f>Calc!$A$114</c:f>
              <c:strCache>
                <c:ptCount val="1"/>
                <c:pt idx="0">
                  <c:v>USA &gt;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Calc!$K$217:$GP$217</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0-4841-4CDE-A94B-DAB637A53CBE}"/>
            </c:ext>
          </c:extLst>
        </c:ser>
        <c:ser>
          <c:idx val="1"/>
          <c:order val="1"/>
          <c:tx>
            <c:strRef>
              <c:f>Calc!$A$114</c:f>
              <c:strCache>
                <c:ptCount val="1"/>
                <c:pt idx="0">
                  <c:v>USA &gt; available now</c:v>
                </c:pt>
              </c:strCache>
            </c:strRef>
          </c:tx>
          <c:spPr>
            <a:solidFill>
              <a:srgbClr val="737FDD"/>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Calc!$K$167:$GP$167</c:f>
              <c:numCache>
                <c:formatCode>0.00</c:formatCode>
                <c:ptCount val="188"/>
                <c:pt idx="0">
                  <c:v>5.6736842105263152</c:v>
                </c:pt>
                <c:pt idx="1">
                  <c:v>5.6736842105263152</c:v>
                </c:pt>
                <c:pt idx="2">
                  <c:v>5.6736842105263152</c:v>
                </c:pt>
                <c:pt idx="3">
                  <c:v>5.6736842105263152</c:v>
                </c:pt>
                <c:pt idx="4">
                  <c:v>5.6736842105263152</c:v>
                </c:pt>
                <c:pt idx="5">
                  <c:v>5.6736842105263152</c:v>
                </c:pt>
                <c:pt idx="6">
                  <c:v>5.6736842105263152</c:v>
                </c:pt>
                <c:pt idx="7">
                  <c:v>5.6736842105263152</c:v>
                </c:pt>
                <c:pt idx="8">
                  <c:v>5.6736842105263152</c:v>
                </c:pt>
                <c:pt idx="9">
                  <c:v>5.6736842105263152</c:v>
                </c:pt>
                <c:pt idx="10">
                  <c:v>5.6736842105263152</c:v>
                </c:pt>
                <c:pt idx="11">
                  <c:v>5.6736842105263152</c:v>
                </c:pt>
                <c:pt idx="12">
                  <c:v>5.6736842105263152</c:v>
                </c:pt>
                <c:pt idx="13">
                  <c:v>5.6736842105263152</c:v>
                </c:pt>
                <c:pt idx="14">
                  <c:v>5.6736842105263152</c:v>
                </c:pt>
                <c:pt idx="15">
                  <c:v>5.6736842105263152</c:v>
                </c:pt>
                <c:pt idx="16">
                  <c:v>5.6736842105263152</c:v>
                </c:pt>
                <c:pt idx="17">
                  <c:v>5.6736842105263152</c:v>
                </c:pt>
                <c:pt idx="18">
                  <c:v>5.6736842105263152</c:v>
                </c:pt>
                <c:pt idx="19">
                  <c:v>5.6736842105263152</c:v>
                </c:pt>
                <c:pt idx="20">
                  <c:v>5.6736842105263152</c:v>
                </c:pt>
                <c:pt idx="21">
                  <c:v>5.6736842105263152</c:v>
                </c:pt>
                <c:pt idx="22">
                  <c:v>5.6736842105263152</c:v>
                </c:pt>
                <c:pt idx="23">
                  <c:v>5.6736842105263152</c:v>
                </c:pt>
                <c:pt idx="24">
                  <c:v>5.6736842105263152</c:v>
                </c:pt>
                <c:pt idx="25">
                  <c:v>5.6736842105263152</c:v>
                </c:pt>
                <c:pt idx="26">
                  <c:v>5.6736842105263152</c:v>
                </c:pt>
                <c:pt idx="27">
                  <c:v>5.6736842105263152</c:v>
                </c:pt>
                <c:pt idx="28">
                  <c:v>5.6736842105263152</c:v>
                </c:pt>
                <c:pt idx="29">
                  <c:v>5.6736842105263152</c:v>
                </c:pt>
                <c:pt idx="30">
                  <c:v>5.6736842105263152</c:v>
                </c:pt>
                <c:pt idx="31">
                  <c:v>5.6736842105263152</c:v>
                </c:pt>
                <c:pt idx="32">
                  <c:v>5.6736842105263152</c:v>
                </c:pt>
                <c:pt idx="33">
                  <c:v>5.6736842105263152</c:v>
                </c:pt>
                <c:pt idx="34">
                  <c:v>5.6736842105263152</c:v>
                </c:pt>
                <c:pt idx="35">
                  <c:v>5.6736842105263152</c:v>
                </c:pt>
                <c:pt idx="36">
                  <c:v>5.6736842105263152</c:v>
                </c:pt>
                <c:pt idx="37">
                  <c:v>5.6736842105263152</c:v>
                </c:pt>
                <c:pt idx="38">
                  <c:v>5.6736842105263152</c:v>
                </c:pt>
                <c:pt idx="39">
                  <c:v>5.6736842105263152</c:v>
                </c:pt>
                <c:pt idx="40">
                  <c:v>5.6736842105263152</c:v>
                </c:pt>
                <c:pt idx="41">
                  <c:v>5.6736842105263152</c:v>
                </c:pt>
                <c:pt idx="42">
                  <c:v>5.6736842105263152</c:v>
                </c:pt>
                <c:pt idx="43">
                  <c:v>5.6736842105263152</c:v>
                </c:pt>
                <c:pt idx="44">
                  <c:v>5.6736842105263152</c:v>
                </c:pt>
                <c:pt idx="45">
                  <c:v>5.6736842105263152</c:v>
                </c:pt>
                <c:pt idx="46">
                  <c:v>5.6736842105263152</c:v>
                </c:pt>
                <c:pt idx="47">
                  <c:v>5.6736842105263152</c:v>
                </c:pt>
                <c:pt idx="48">
                  <c:v>5.6736842105263152</c:v>
                </c:pt>
                <c:pt idx="49">
                  <c:v>5.6736842105263152</c:v>
                </c:pt>
                <c:pt idx="50">
                  <c:v>5.6736842105263152</c:v>
                </c:pt>
                <c:pt idx="51">
                  <c:v>5.6736842105263152</c:v>
                </c:pt>
                <c:pt idx="52">
                  <c:v>5.6736842105263152</c:v>
                </c:pt>
                <c:pt idx="53">
                  <c:v>5.6736842105263152</c:v>
                </c:pt>
                <c:pt idx="54">
                  <c:v>5.6736842105263152</c:v>
                </c:pt>
                <c:pt idx="55">
                  <c:v>5.6736842105263152</c:v>
                </c:pt>
                <c:pt idx="56">
                  <c:v>5.6736842105263152</c:v>
                </c:pt>
                <c:pt idx="57">
                  <c:v>5.6736842105263152</c:v>
                </c:pt>
                <c:pt idx="58">
                  <c:v>5.6736842105263152</c:v>
                </c:pt>
                <c:pt idx="59">
                  <c:v>5.6736842105263152</c:v>
                </c:pt>
                <c:pt idx="60">
                  <c:v>5.6736842105263152</c:v>
                </c:pt>
                <c:pt idx="61">
                  <c:v>5.6736842105263152</c:v>
                </c:pt>
                <c:pt idx="62">
                  <c:v>5.6736842105263152</c:v>
                </c:pt>
                <c:pt idx="63">
                  <c:v>5.6736842105263152</c:v>
                </c:pt>
                <c:pt idx="64">
                  <c:v>5.6736842105263152</c:v>
                </c:pt>
                <c:pt idx="65">
                  <c:v>5.6736842105263152</c:v>
                </c:pt>
                <c:pt idx="66">
                  <c:v>5.6736842105263152</c:v>
                </c:pt>
                <c:pt idx="67">
                  <c:v>5.6736842105263152</c:v>
                </c:pt>
                <c:pt idx="68">
                  <c:v>5.6736842105263152</c:v>
                </c:pt>
                <c:pt idx="69">
                  <c:v>5.6736842105263152</c:v>
                </c:pt>
                <c:pt idx="70">
                  <c:v>5.6736842105263152</c:v>
                </c:pt>
                <c:pt idx="71">
                  <c:v>5.6736842105263152</c:v>
                </c:pt>
                <c:pt idx="72">
                  <c:v>5.6736842105263152</c:v>
                </c:pt>
                <c:pt idx="73">
                  <c:v>5.6736842105263152</c:v>
                </c:pt>
                <c:pt idx="74">
                  <c:v>5.6736842105263152</c:v>
                </c:pt>
                <c:pt idx="75">
                  <c:v>5.6736842105263152</c:v>
                </c:pt>
                <c:pt idx="76">
                  <c:v>5.6736842105263152</c:v>
                </c:pt>
                <c:pt idx="77">
                  <c:v>5.6736842105263152</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1-4841-4CDE-A94B-DAB637A53CBE}"/>
            </c:ext>
          </c:extLst>
        </c:ser>
        <c:ser>
          <c:idx val="2"/>
          <c:order val="2"/>
          <c:tx>
            <c:strRef>
              <c:f>Calc!$A$115</c:f>
              <c:strCache>
                <c:ptCount val="1"/>
                <c:pt idx="0">
                  <c:v>India &gt;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Calc!$K$218:$GP$218</c:f>
              <c:numCache>
                <c:formatCode>0.00</c:formatCode>
                <c:ptCount val="188"/>
                <c:pt idx="0">
                  <c:v>17.421052631578945</c:v>
                </c:pt>
                <c:pt idx="1">
                  <c:v>17.421052631578945</c:v>
                </c:pt>
                <c:pt idx="2">
                  <c:v>17.421052631578945</c:v>
                </c:pt>
                <c:pt idx="3">
                  <c:v>17.421052631578945</c:v>
                </c:pt>
                <c:pt idx="4">
                  <c:v>17.421052631578945</c:v>
                </c:pt>
                <c:pt idx="5">
                  <c:v>17.421052631578945</c:v>
                </c:pt>
                <c:pt idx="6">
                  <c:v>17.421052631578945</c:v>
                </c:pt>
                <c:pt idx="7">
                  <c:v>17.421052631578945</c:v>
                </c:pt>
                <c:pt idx="8">
                  <c:v>17.421052631578945</c:v>
                </c:pt>
                <c:pt idx="9">
                  <c:v>17.421052631578945</c:v>
                </c:pt>
                <c:pt idx="10">
                  <c:v>17.4117582805154</c:v>
                </c:pt>
                <c:pt idx="11">
                  <c:v>17.383895061938325</c:v>
                </c:pt>
                <c:pt idx="12">
                  <c:v>17.337522437360338</c:v>
                </c:pt>
                <c:pt idx="13">
                  <c:v>17.272739368299248</c:v>
                </c:pt>
                <c:pt idx="14">
                  <c:v>17.189684105089192</c:v>
                </c:pt>
                <c:pt idx="15">
                  <c:v>17.088533891847447</c:v>
                </c:pt>
                <c:pt idx="16">
                  <c:v>16.96950458822657</c:v>
                </c:pt>
                <c:pt idx="17">
                  <c:v>16.832850208758991</c:v>
                </c:pt>
                <c:pt idx="18">
                  <c:v>16.678862380777232</c:v>
                </c:pt>
                <c:pt idx="19">
                  <c:v>16.507869722066463</c:v>
                </c:pt>
                <c:pt idx="20">
                  <c:v>16.320237139577586</c:v>
                </c:pt>
                <c:pt idx="21">
                  <c:v>16.116365050697429</c:v>
                </c:pt>
                <c:pt idx="22">
                  <c:v>15.89668852873784</c:v>
                </c:pt>
                <c:pt idx="23">
                  <c:v>15.661676374467348</c:v>
                </c:pt>
                <c:pt idx="24">
                  <c:v>15.411830115666653</c:v>
                </c:pt>
                <c:pt idx="25">
                  <c:v>15.147682936843108</c:v>
                </c:pt>
                <c:pt idx="26">
                  <c:v>14.869798541388082</c:v>
                </c:pt>
                <c:pt idx="27">
                  <c:v>14.578769948605537</c:v>
                </c:pt>
                <c:pt idx="28">
                  <c:v>14.275218228178925</c:v>
                </c:pt>
                <c:pt idx="29">
                  <c:v>13.959791174777205</c:v>
                </c:pt>
                <c:pt idx="30">
                  <c:v>13.633161925628364</c:v>
                </c:pt>
                <c:pt idx="31">
                  <c:v>13.29602752401065</c:v>
                </c:pt>
                <c:pt idx="32">
                  <c:v>12.949107431727089</c:v>
                </c:pt>
                <c:pt idx="33">
                  <c:v>12.593141993737742</c:v>
                </c:pt>
                <c:pt idx="34">
                  <c:v>12.22889085822624</c:v>
                </c:pt>
                <c:pt idx="35">
                  <c:v>11.857131355472305</c:v>
                </c:pt>
                <c:pt idx="36">
                  <c:v>11.478656838989721</c:v>
                </c:pt>
                <c:pt idx="37">
                  <c:v>11.094274992469984</c:v>
                </c:pt>
                <c:pt idx="38">
                  <c:v>10.704806106144588</c:v>
                </c:pt>
                <c:pt idx="39">
                  <c:v>10.311081326244338</c:v>
                </c:pt>
                <c:pt idx="40">
                  <c:v>9.9139408812913956</c:v>
                </c:pt>
                <c:pt idx="41">
                  <c:v>9.5142322890092856</c:v>
                </c:pt>
                <c:pt idx="42">
                  <c:v>9.1128085476773606</c:v>
                </c:pt>
                <c:pt idx="43">
                  <c:v>8.7105263157894726</c:v>
                </c:pt>
                <c:pt idx="44">
                  <c:v>8.3082440839015845</c:v>
                </c:pt>
                <c:pt idx="45">
                  <c:v>7.9068203425696586</c:v>
                </c:pt>
                <c:pt idx="46">
                  <c:v>7.5071117502875522</c:v>
                </c:pt>
                <c:pt idx="47">
                  <c:v>7.1099713053346081</c:v>
                </c:pt>
                <c:pt idx="48">
                  <c:v>6.7162465254343582</c:v>
                </c:pt>
                <c:pt idx="49">
                  <c:v>6.3267776391089603</c:v>
                </c:pt>
                <c:pt idx="50">
                  <c:v>5.942395792589223</c:v>
                </c:pt>
                <c:pt idx="51">
                  <c:v>5.5639212761066394</c:v>
                </c:pt>
                <c:pt idx="52">
                  <c:v>5.1921617733527041</c:v>
                </c:pt>
                <c:pt idx="53">
                  <c:v>4.8279106378412058</c:v>
                </c:pt>
                <c:pt idx="54">
                  <c:v>4.4719451998518567</c:v>
                </c:pt>
                <c:pt idx="55">
                  <c:v>4.1250251075682938</c:v>
                </c:pt>
                <c:pt idx="56">
                  <c:v>3.7878907059505798</c:v>
                </c:pt>
                <c:pt idx="57">
                  <c:v>3.461261456801739</c:v>
                </c:pt>
                <c:pt idx="58">
                  <c:v>3.1458344034000207</c:v>
                </c:pt>
                <c:pt idx="59">
                  <c:v>2.8422826829734076</c:v>
                </c:pt>
                <c:pt idx="60">
                  <c:v>2.551254090190862</c:v>
                </c:pt>
                <c:pt idx="61">
                  <c:v>2.2733696947358366</c:v>
                </c:pt>
                <c:pt idx="62">
                  <c:v>2.0092225159122892</c:v>
                </c:pt>
                <c:pt idx="63">
                  <c:v>1.7593762571115965</c:v>
                </c:pt>
                <c:pt idx="64">
                  <c:v>1.5243641028411039</c:v>
                </c:pt>
                <c:pt idx="65">
                  <c:v>1.3046875808815193</c:v>
                </c:pt>
                <c:pt idx="66">
                  <c:v>1.1008154920013586</c:v>
                </c:pt>
                <c:pt idx="67">
                  <c:v>0.91318290951248482</c:v>
                </c:pt>
                <c:pt idx="68">
                  <c:v>0.74219025080171175</c:v>
                </c:pt>
                <c:pt idx="69">
                  <c:v>0.58820242281995316</c:v>
                </c:pt>
                <c:pt idx="70">
                  <c:v>0.45154804335237397</c:v>
                </c:pt>
                <c:pt idx="71">
                  <c:v>0.33251873973149682</c:v>
                </c:pt>
                <c:pt idx="72">
                  <c:v>0.23136852648975204</c:v>
                </c:pt>
                <c:pt idx="73">
                  <c:v>0.14831326327969574</c:v>
                </c:pt>
                <c:pt idx="74">
                  <c:v>8.3530194218606191E-2</c:v>
                </c:pt>
                <c:pt idx="75">
                  <c:v>3.7157569640618782E-2</c:v>
                </c:pt>
                <c:pt idx="76">
                  <c:v>9.2943510635441484E-3</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2-4841-4CDE-A94B-DAB637A53CBE}"/>
            </c:ext>
          </c:extLst>
        </c:ser>
        <c:ser>
          <c:idx val="3"/>
          <c:order val="3"/>
          <c:tx>
            <c:strRef>
              <c:f>Calc!$A$115</c:f>
              <c:strCache>
                <c:ptCount val="1"/>
                <c:pt idx="0">
                  <c:v>India &gt; available now</c:v>
                </c:pt>
              </c:strCache>
            </c:strRef>
          </c:tx>
          <c:spPr>
            <a:solidFill>
              <a:srgbClr val="F3A454"/>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Calc!$K$168:$GP$168</c:f>
              <c:numCache>
                <c:formatCode>0.00</c:formatCode>
                <c:ptCount val="188"/>
                <c:pt idx="0">
                  <c:v>1.6210526315789473</c:v>
                </c:pt>
                <c:pt idx="1">
                  <c:v>1.6210526315789473</c:v>
                </c:pt>
                <c:pt idx="2">
                  <c:v>1.6210526315789473</c:v>
                </c:pt>
                <c:pt idx="3">
                  <c:v>1.6210526315789473</c:v>
                </c:pt>
                <c:pt idx="4">
                  <c:v>1.6210526315789473</c:v>
                </c:pt>
                <c:pt idx="5">
                  <c:v>1.6210526315789473</c:v>
                </c:pt>
                <c:pt idx="6">
                  <c:v>1.6210526315789473</c:v>
                </c:pt>
                <c:pt idx="7">
                  <c:v>1.6210526315789473</c:v>
                </c:pt>
                <c:pt idx="8">
                  <c:v>1.6210526315789473</c:v>
                </c:pt>
                <c:pt idx="9">
                  <c:v>1.6210526315789473</c:v>
                </c:pt>
                <c:pt idx="10">
                  <c:v>1.6210526315789473</c:v>
                </c:pt>
                <c:pt idx="11">
                  <c:v>1.6210526315789473</c:v>
                </c:pt>
                <c:pt idx="12">
                  <c:v>1.6210526315789473</c:v>
                </c:pt>
                <c:pt idx="13">
                  <c:v>1.6210526315789473</c:v>
                </c:pt>
                <c:pt idx="14">
                  <c:v>1.6210526315789473</c:v>
                </c:pt>
                <c:pt idx="15">
                  <c:v>1.6210526315789473</c:v>
                </c:pt>
                <c:pt idx="16">
                  <c:v>1.6210526315789473</c:v>
                </c:pt>
                <c:pt idx="17">
                  <c:v>1.6210526315789473</c:v>
                </c:pt>
                <c:pt idx="18">
                  <c:v>1.6210526315789473</c:v>
                </c:pt>
                <c:pt idx="19">
                  <c:v>1.6210526315789473</c:v>
                </c:pt>
                <c:pt idx="20">
                  <c:v>1.6210526315789473</c:v>
                </c:pt>
                <c:pt idx="21">
                  <c:v>1.6210526315789473</c:v>
                </c:pt>
                <c:pt idx="22">
                  <c:v>1.6210526315789473</c:v>
                </c:pt>
                <c:pt idx="23">
                  <c:v>1.6210526315789473</c:v>
                </c:pt>
                <c:pt idx="24">
                  <c:v>1.6210526315789473</c:v>
                </c:pt>
                <c:pt idx="25">
                  <c:v>1.6210526315789473</c:v>
                </c:pt>
                <c:pt idx="26">
                  <c:v>1.6210526315789473</c:v>
                </c:pt>
                <c:pt idx="27">
                  <c:v>1.6210526315789473</c:v>
                </c:pt>
                <c:pt idx="28">
                  <c:v>1.6210526315789473</c:v>
                </c:pt>
                <c:pt idx="29">
                  <c:v>1.6210526315789473</c:v>
                </c:pt>
                <c:pt idx="30">
                  <c:v>1.6210526315789473</c:v>
                </c:pt>
                <c:pt idx="31">
                  <c:v>1.6210526315789473</c:v>
                </c:pt>
                <c:pt idx="32">
                  <c:v>1.6210526315789473</c:v>
                </c:pt>
                <c:pt idx="33">
                  <c:v>1.6210526315789473</c:v>
                </c:pt>
                <c:pt idx="34">
                  <c:v>1.6210526315789473</c:v>
                </c:pt>
                <c:pt idx="35">
                  <c:v>1.6210526315789473</c:v>
                </c:pt>
                <c:pt idx="36">
                  <c:v>1.6210526315789473</c:v>
                </c:pt>
                <c:pt idx="37">
                  <c:v>1.6210526315789473</c:v>
                </c:pt>
                <c:pt idx="38">
                  <c:v>1.6210526315789473</c:v>
                </c:pt>
                <c:pt idx="39">
                  <c:v>1.6210526315789473</c:v>
                </c:pt>
                <c:pt idx="40">
                  <c:v>1.6210526315789473</c:v>
                </c:pt>
                <c:pt idx="41">
                  <c:v>1.6210526315789473</c:v>
                </c:pt>
                <c:pt idx="42">
                  <c:v>1.6210526315789473</c:v>
                </c:pt>
                <c:pt idx="43">
                  <c:v>1.6210526315789473</c:v>
                </c:pt>
                <c:pt idx="44">
                  <c:v>1.6210526315789473</c:v>
                </c:pt>
                <c:pt idx="45">
                  <c:v>1.6210526315789473</c:v>
                </c:pt>
                <c:pt idx="46">
                  <c:v>1.6210526315789473</c:v>
                </c:pt>
                <c:pt idx="47">
                  <c:v>1.6210526315789473</c:v>
                </c:pt>
                <c:pt idx="48">
                  <c:v>1.6210526315789473</c:v>
                </c:pt>
                <c:pt idx="49">
                  <c:v>1.6210526315789473</c:v>
                </c:pt>
                <c:pt idx="50">
                  <c:v>1.6210526315789473</c:v>
                </c:pt>
                <c:pt idx="51">
                  <c:v>1.6210526315789473</c:v>
                </c:pt>
                <c:pt idx="52">
                  <c:v>1.6210526315789473</c:v>
                </c:pt>
                <c:pt idx="53">
                  <c:v>1.6210526315789473</c:v>
                </c:pt>
                <c:pt idx="54">
                  <c:v>1.6210526315789473</c:v>
                </c:pt>
                <c:pt idx="55">
                  <c:v>1.6210526315789473</c:v>
                </c:pt>
                <c:pt idx="56">
                  <c:v>1.6210526315789473</c:v>
                </c:pt>
                <c:pt idx="57">
                  <c:v>1.6210526315789473</c:v>
                </c:pt>
                <c:pt idx="58">
                  <c:v>1.6210526315789473</c:v>
                </c:pt>
                <c:pt idx="59">
                  <c:v>1.6210526315789473</c:v>
                </c:pt>
                <c:pt idx="60">
                  <c:v>1.6210526315789473</c:v>
                </c:pt>
                <c:pt idx="61">
                  <c:v>1.6210526315789473</c:v>
                </c:pt>
                <c:pt idx="62">
                  <c:v>1.6210526315789473</c:v>
                </c:pt>
                <c:pt idx="63">
                  <c:v>1.6210526315789473</c:v>
                </c:pt>
                <c:pt idx="64">
                  <c:v>1.6210526315789473</c:v>
                </c:pt>
                <c:pt idx="65">
                  <c:v>1.6210526315789473</c:v>
                </c:pt>
                <c:pt idx="66">
                  <c:v>1.6210526315789473</c:v>
                </c:pt>
                <c:pt idx="67">
                  <c:v>1.6210526315789473</c:v>
                </c:pt>
                <c:pt idx="68">
                  <c:v>1.6210526315789473</c:v>
                </c:pt>
                <c:pt idx="69">
                  <c:v>1.6210526315789473</c:v>
                </c:pt>
                <c:pt idx="70">
                  <c:v>1.6210526315789473</c:v>
                </c:pt>
                <c:pt idx="71">
                  <c:v>1.6210526315789473</c:v>
                </c:pt>
                <c:pt idx="72">
                  <c:v>1.6210526315789473</c:v>
                </c:pt>
                <c:pt idx="73">
                  <c:v>1.6210526315789473</c:v>
                </c:pt>
                <c:pt idx="74">
                  <c:v>1.6210526315789473</c:v>
                </c:pt>
                <c:pt idx="75">
                  <c:v>1.6210526315789473</c:v>
                </c:pt>
                <c:pt idx="76">
                  <c:v>1.6210526315789473</c:v>
                </c:pt>
                <c:pt idx="77">
                  <c:v>1.6210526315789473</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3-4841-4CDE-A94B-DAB637A53CBE}"/>
            </c:ext>
          </c:extLst>
        </c:ser>
        <c:ser>
          <c:idx val="4"/>
          <c:order val="4"/>
          <c:tx>
            <c:strRef>
              <c:f>Calc!$A$116</c:f>
              <c:strCache>
                <c:ptCount val="1"/>
                <c:pt idx="0">
                  <c:v>UK &gt;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Calc!$K$219:$GP$219</c:f>
              <c:numCache>
                <c:formatCode>0.00</c:formatCode>
                <c:ptCount val="188"/>
                <c:pt idx="0">
                  <c:v>0.39999999999999858</c:v>
                </c:pt>
                <c:pt idx="1">
                  <c:v>0.39999999999999858</c:v>
                </c:pt>
                <c:pt idx="2">
                  <c:v>0.39999999999999858</c:v>
                </c:pt>
                <c:pt idx="3">
                  <c:v>0.39999999999999858</c:v>
                </c:pt>
                <c:pt idx="4">
                  <c:v>0.39999999999999858</c:v>
                </c:pt>
                <c:pt idx="5">
                  <c:v>0.39999999999999858</c:v>
                </c:pt>
                <c:pt idx="6">
                  <c:v>0.39999999999999858</c:v>
                </c:pt>
                <c:pt idx="7">
                  <c:v>0.39999999999999858</c:v>
                </c:pt>
                <c:pt idx="8">
                  <c:v>0.39999999999999858</c:v>
                </c:pt>
                <c:pt idx="9">
                  <c:v>0.39999999999999858</c:v>
                </c:pt>
                <c:pt idx="10">
                  <c:v>0.39978659496047086</c:v>
                </c:pt>
                <c:pt idx="11">
                  <c:v>0.3991468352590033</c:v>
                </c:pt>
                <c:pt idx="12">
                  <c:v>0.39808208617504093</c:v>
                </c:pt>
                <c:pt idx="13">
                  <c:v>0.3965946199367778</c:v>
                </c:pt>
                <c:pt idx="14">
                  <c:v>0.39468761087213622</c:v>
                </c:pt>
                <c:pt idx="15">
                  <c:v>0.39236512863456241</c:v>
                </c:pt>
                <c:pt idx="16">
                  <c:v>0.3896321295181906</c:v>
                </c:pt>
                <c:pt idx="17">
                  <c:v>0.38649444588087079</c:v>
                </c:pt>
                <c:pt idx="18">
                  <c:v>0.38295877369760234</c:v>
                </c:pt>
                <c:pt idx="19">
                  <c:v>0.37903265827101151</c:v>
                </c:pt>
                <c:pt idx="20">
                  <c:v>0.37472447812927356</c:v>
                </c:pt>
                <c:pt idx="21">
                  <c:v>0.37004342714591942</c:v>
                </c:pt>
                <c:pt idx="22">
                  <c:v>0.36499949491966177</c:v>
                </c:pt>
                <c:pt idx="23">
                  <c:v>0.35960344545604883</c:v>
                </c:pt>
                <c:pt idx="24">
                  <c:v>0.35386679419657341</c:v>
                </c:pt>
                <c:pt idx="25">
                  <c:v>0.3478017834441296</c:v>
                </c:pt>
                <c:pt idx="26">
                  <c:v>0.34142135623730852</c:v>
                </c:pt>
                <c:pt idx="27">
                  <c:v>0.33473912872931066</c:v>
                </c:pt>
                <c:pt idx="28">
                  <c:v>0.32776936113038957</c:v>
                </c:pt>
                <c:pt idx="29">
                  <c:v>0.32052692727584997</c:v>
                </c:pt>
                <c:pt idx="30">
                  <c:v>0.31302728288451576</c:v>
                </c:pt>
                <c:pt idx="31">
                  <c:v>0.30528643257547117</c:v>
                </c:pt>
                <c:pt idx="32">
                  <c:v>0.29732089571336928</c:v>
                </c:pt>
                <c:pt idx="33">
                  <c:v>0.28914767115530537</c:v>
                </c:pt>
                <c:pt idx="34">
                  <c:v>0.28078420097437728</c:v>
                </c:pt>
                <c:pt idx="35">
                  <c:v>0.27224833323743169</c:v>
                </c:pt>
                <c:pt idx="36">
                  <c:v>0.26355828391637814</c:v>
                </c:pt>
                <c:pt idx="37">
                  <c:v>0.25473259801441728</c:v>
                </c:pt>
                <c:pt idx="38">
                  <c:v>0.24579010999002548</c:v>
                </c:pt>
                <c:pt idx="39">
                  <c:v>0.23674990356331449</c:v>
                </c:pt>
                <c:pt idx="40">
                  <c:v>0.22763127099037561</c:v>
                </c:pt>
                <c:pt idx="41">
                  <c:v>0.21845367189266085</c:v>
                </c:pt>
                <c:pt idx="42">
                  <c:v>0.20923669172914927</c:v>
                </c:pt>
                <c:pt idx="43">
                  <c:v>0.19999999999999929</c:v>
                </c:pt>
                <c:pt idx="44">
                  <c:v>0.19076330827085108</c:v>
                </c:pt>
                <c:pt idx="45">
                  <c:v>0.18154632810733951</c:v>
                </c:pt>
                <c:pt idx="46">
                  <c:v>0.17236872900962297</c:v>
                </c:pt>
                <c:pt idx="47">
                  <c:v>0.16325009643668587</c:v>
                </c:pt>
                <c:pt idx="48">
                  <c:v>0.15420989000997309</c:v>
                </c:pt>
                <c:pt idx="49">
                  <c:v>0.14526740198558308</c:v>
                </c:pt>
                <c:pt idx="50">
                  <c:v>0.13644171608362043</c:v>
                </c:pt>
                <c:pt idx="51">
                  <c:v>0.12775166676257044</c:v>
                </c:pt>
                <c:pt idx="52">
                  <c:v>0.11921579902561952</c:v>
                </c:pt>
                <c:pt idx="53">
                  <c:v>0.11085232884469143</c:v>
                </c:pt>
                <c:pt idx="54">
                  <c:v>0.10267910428662752</c:v>
                </c:pt>
                <c:pt idx="55">
                  <c:v>9.4713567424529188E-2</c:v>
                </c:pt>
                <c:pt idx="56">
                  <c:v>8.6972717115481046E-2</c:v>
                </c:pt>
                <c:pt idx="57">
                  <c:v>7.9473072724148608E-2</c:v>
                </c:pt>
                <c:pt idx="58">
                  <c:v>7.2230638869607233E-2</c:v>
                </c:pt>
                <c:pt idx="59">
                  <c:v>6.5260871270687915E-2</c:v>
                </c:pt>
                <c:pt idx="60">
                  <c:v>5.8578643762690064E-2</c:v>
                </c:pt>
                <c:pt idx="61">
                  <c:v>5.2198216555868981E-2</c:v>
                </c:pt>
                <c:pt idx="62">
                  <c:v>4.6133205803423394E-2</c:v>
                </c:pt>
                <c:pt idx="63">
                  <c:v>4.03965545439533E-2</c:v>
                </c:pt>
                <c:pt idx="64">
                  <c:v>3.5000505080340361E-2</c:v>
                </c:pt>
                <c:pt idx="65">
                  <c:v>2.9956572854075603E-2</c:v>
                </c:pt>
                <c:pt idx="66">
                  <c:v>2.5275521870725015E-2</c:v>
                </c:pt>
                <c:pt idx="67">
                  <c:v>2.0967341728987066E-2</c:v>
                </c:pt>
                <c:pt idx="68">
                  <c:v>1.704122630239624E-2</c:v>
                </c:pt>
                <c:pt idx="69">
                  <c:v>1.3505554119128682E-2</c:v>
                </c:pt>
                <c:pt idx="70">
                  <c:v>1.0367870481808872E-2</c:v>
                </c:pt>
                <c:pt idx="71">
                  <c:v>7.634871365437057E-3</c:v>
                </c:pt>
                <c:pt idx="72">
                  <c:v>5.3123891278632485E-3</c:v>
                </c:pt>
                <c:pt idx="73">
                  <c:v>3.4053800632216635E-3</c:v>
                </c:pt>
                <c:pt idx="74">
                  <c:v>1.917913824962092E-3</c:v>
                </c:pt>
                <c:pt idx="75">
                  <c:v>8.5316474099617068E-4</c:v>
                </c:pt>
                <c:pt idx="76">
                  <c:v>2.1340503952504974E-4</c:v>
                </c:pt>
                <c:pt idx="77">
                  <c:v>8.8817841970012523E-16</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4-4841-4CDE-A94B-DAB637A53CBE}"/>
            </c:ext>
          </c:extLst>
        </c:ser>
        <c:ser>
          <c:idx val="5"/>
          <c:order val="5"/>
          <c:tx>
            <c:strRef>
              <c:f>Calc!$A$116</c:f>
              <c:strCache>
                <c:ptCount val="1"/>
                <c:pt idx="0">
                  <c:v>UK &gt; available now</c:v>
                </c:pt>
              </c:strCache>
            </c:strRef>
          </c:tx>
          <c:spPr>
            <a:solidFill>
              <a:srgbClr val="48B9B9"/>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Calc!$K$169:$GP$169</c:f>
              <c:numCache>
                <c:formatCode>0.00</c:formatCode>
                <c:ptCount val="188"/>
                <c:pt idx="0">
                  <c:v>0.81052631578947365</c:v>
                </c:pt>
                <c:pt idx="1">
                  <c:v>0.81052631578947365</c:v>
                </c:pt>
                <c:pt idx="2">
                  <c:v>0.81052631578947365</c:v>
                </c:pt>
                <c:pt idx="3">
                  <c:v>0.81052631578947365</c:v>
                </c:pt>
                <c:pt idx="4">
                  <c:v>0.81052631578947365</c:v>
                </c:pt>
                <c:pt idx="5">
                  <c:v>0.81052631578947365</c:v>
                </c:pt>
                <c:pt idx="6">
                  <c:v>0.81052631578947365</c:v>
                </c:pt>
                <c:pt idx="7">
                  <c:v>0.81052631578947365</c:v>
                </c:pt>
                <c:pt idx="8">
                  <c:v>0.81052631578947365</c:v>
                </c:pt>
                <c:pt idx="9">
                  <c:v>0.81052631578947365</c:v>
                </c:pt>
                <c:pt idx="10">
                  <c:v>0.81052631578947365</c:v>
                </c:pt>
                <c:pt idx="11">
                  <c:v>0.81052631578947365</c:v>
                </c:pt>
                <c:pt idx="12">
                  <c:v>0.81052631578947365</c:v>
                </c:pt>
                <c:pt idx="13">
                  <c:v>0.81052631578947365</c:v>
                </c:pt>
                <c:pt idx="14">
                  <c:v>0.81052631578947365</c:v>
                </c:pt>
                <c:pt idx="15">
                  <c:v>0.81052631578947365</c:v>
                </c:pt>
                <c:pt idx="16">
                  <c:v>0.81052631578947365</c:v>
                </c:pt>
                <c:pt idx="17">
                  <c:v>0.81052631578947365</c:v>
                </c:pt>
                <c:pt idx="18">
                  <c:v>0.81052631578947365</c:v>
                </c:pt>
                <c:pt idx="19">
                  <c:v>0.81052631578947365</c:v>
                </c:pt>
                <c:pt idx="20">
                  <c:v>0.81052631578947365</c:v>
                </c:pt>
                <c:pt idx="21">
                  <c:v>0.81052631578947365</c:v>
                </c:pt>
                <c:pt idx="22">
                  <c:v>0.81052631578947365</c:v>
                </c:pt>
                <c:pt idx="23">
                  <c:v>0.81052631578947365</c:v>
                </c:pt>
                <c:pt idx="24">
                  <c:v>0.81052631578947365</c:v>
                </c:pt>
                <c:pt idx="25">
                  <c:v>0.81052631578947365</c:v>
                </c:pt>
                <c:pt idx="26">
                  <c:v>0.81052631578947365</c:v>
                </c:pt>
                <c:pt idx="27">
                  <c:v>0.81052631578947365</c:v>
                </c:pt>
                <c:pt idx="28">
                  <c:v>0.81052631578947365</c:v>
                </c:pt>
                <c:pt idx="29">
                  <c:v>0.81052631578947365</c:v>
                </c:pt>
                <c:pt idx="30">
                  <c:v>0.81052631578947365</c:v>
                </c:pt>
                <c:pt idx="31">
                  <c:v>0.81052631578947365</c:v>
                </c:pt>
                <c:pt idx="32">
                  <c:v>0.81052631578947365</c:v>
                </c:pt>
                <c:pt idx="33">
                  <c:v>0.81052631578947365</c:v>
                </c:pt>
                <c:pt idx="34">
                  <c:v>0.81052631578947365</c:v>
                </c:pt>
                <c:pt idx="35">
                  <c:v>0.81052631578947365</c:v>
                </c:pt>
                <c:pt idx="36">
                  <c:v>0.81052631578947365</c:v>
                </c:pt>
                <c:pt idx="37">
                  <c:v>0.81052631578947365</c:v>
                </c:pt>
                <c:pt idx="38">
                  <c:v>0.81052631578947365</c:v>
                </c:pt>
                <c:pt idx="39">
                  <c:v>0.81052631578947365</c:v>
                </c:pt>
                <c:pt idx="40">
                  <c:v>0.81052631578947365</c:v>
                </c:pt>
                <c:pt idx="41">
                  <c:v>0.81052631578947365</c:v>
                </c:pt>
                <c:pt idx="42">
                  <c:v>0.81052631578947365</c:v>
                </c:pt>
                <c:pt idx="43">
                  <c:v>0.81052631578947365</c:v>
                </c:pt>
                <c:pt idx="44">
                  <c:v>0.81052631578947365</c:v>
                </c:pt>
                <c:pt idx="45">
                  <c:v>0.81052631578947365</c:v>
                </c:pt>
                <c:pt idx="46">
                  <c:v>0.81052631578947365</c:v>
                </c:pt>
                <c:pt idx="47">
                  <c:v>0.81052631578947365</c:v>
                </c:pt>
                <c:pt idx="48">
                  <c:v>0.81052631578947365</c:v>
                </c:pt>
                <c:pt idx="49">
                  <c:v>0.81052631578947365</c:v>
                </c:pt>
                <c:pt idx="50">
                  <c:v>0.81052631578947365</c:v>
                </c:pt>
                <c:pt idx="51">
                  <c:v>0.81052631578947365</c:v>
                </c:pt>
                <c:pt idx="52">
                  <c:v>0.81052631578947365</c:v>
                </c:pt>
                <c:pt idx="53">
                  <c:v>0.81052631578947365</c:v>
                </c:pt>
                <c:pt idx="54">
                  <c:v>0.81052631578947365</c:v>
                </c:pt>
                <c:pt idx="55">
                  <c:v>0.81052631578947365</c:v>
                </c:pt>
                <c:pt idx="56">
                  <c:v>0.81052631578947365</c:v>
                </c:pt>
                <c:pt idx="57">
                  <c:v>0.81052631578947365</c:v>
                </c:pt>
                <c:pt idx="58">
                  <c:v>0.81052631578947365</c:v>
                </c:pt>
                <c:pt idx="59">
                  <c:v>0.81052631578947365</c:v>
                </c:pt>
                <c:pt idx="60">
                  <c:v>0.81052631578947365</c:v>
                </c:pt>
                <c:pt idx="61">
                  <c:v>0.81052631578947365</c:v>
                </c:pt>
                <c:pt idx="62">
                  <c:v>0.81052631578947365</c:v>
                </c:pt>
                <c:pt idx="63">
                  <c:v>0.81052631578947365</c:v>
                </c:pt>
                <c:pt idx="64">
                  <c:v>0.81052631578947365</c:v>
                </c:pt>
                <c:pt idx="65">
                  <c:v>0.81052631578947365</c:v>
                </c:pt>
                <c:pt idx="66">
                  <c:v>0.81052631578947365</c:v>
                </c:pt>
                <c:pt idx="67">
                  <c:v>0.81052631578947365</c:v>
                </c:pt>
                <c:pt idx="68">
                  <c:v>0.81052631578947365</c:v>
                </c:pt>
                <c:pt idx="69">
                  <c:v>0.81052631578947365</c:v>
                </c:pt>
                <c:pt idx="70">
                  <c:v>0.81052631578947365</c:v>
                </c:pt>
                <c:pt idx="71">
                  <c:v>0.81052631578947365</c:v>
                </c:pt>
                <c:pt idx="72">
                  <c:v>0.81052631578947365</c:v>
                </c:pt>
                <c:pt idx="73">
                  <c:v>0.81052631578947365</c:v>
                </c:pt>
                <c:pt idx="74">
                  <c:v>0.81052631578947365</c:v>
                </c:pt>
                <c:pt idx="75">
                  <c:v>0.81052631578947365</c:v>
                </c:pt>
                <c:pt idx="76">
                  <c:v>0.81052631578947365</c:v>
                </c:pt>
                <c:pt idx="77">
                  <c:v>0.81052631578947365</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5-4841-4CDE-A94B-DAB637A53CBE}"/>
            </c:ext>
          </c:extLst>
        </c:ser>
        <c:ser>
          <c:idx val="6"/>
          <c:order val="6"/>
          <c:tx>
            <c:strRef>
              <c:f>Calc!$A$117</c:f>
              <c:strCache>
                <c:ptCount val="1"/>
                <c:pt idx="0">
                  <c:v>LATAM &gt;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Calc!$K$220:$GP$220</c:f>
              <c:numCache>
                <c:formatCode>0.00</c:formatCode>
                <c:ptCount val="188"/>
                <c:pt idx="0">
                  <c:v>2.0210526315789465</c:v>
                </c:pt>
                <c:pt idx="1">
                  <c:v>2.0210526315789465</c:v>
                </c:pt>
                <c:pt idx="2">
                  <c:v>2.0210526315789465</c:v>
                </c:pt>
                <c:pt idx="3">
                  <c:v>2.0210526315789465</c:v>
                </c:pt>
                <c:pt idx="4">
                  <c:v>2.0210526315789465</c:v>
                </c:pt>
                <c:pt idx="5">
                  <c:v>2.0210526315789465</c:v>
                </c:pt>
                <c:pt idx="6">
                  <c:v>2.0210526315789465</c:v>
                </c:pt>
                <c:pt idx="7">
                  <c:v>2.0210526315789465</c:v>
                </c:pt>
                <c:pt idx="8">
                  <c:v>2.0210526315789465</c:v>
                </c:pt>
                <c:pt idx="9">
                  <c:v>2.0210526315789465</c:v>
                </c:pt>
                <c:pt idx="10">
                  <c:v>2.019974374537135</c:v>
                </c:pt>
                <c:pt idx="11">
                  <c:v>2.01674190446656</c:v>
                </c:pt>
                <c:pt idx="12">
                  <c:v>2.011362119621257</c:v>
                </c:pt>
                <c:pt idx="13">
                  <c:v>2.0038465007332071</c:v>
                </c:pt>
                <c:pt idx="14">
                  <c:v>1.9942110865118572</c:v>
                </c:pt>
                <c:pt idx="15">
                  <c:v>1.9824764394167431</c:v>
                </c:pt>
                <c:pt idx="16">
                  <c:v>1.9686676017761329</c:v>
                </c:pt>
                <c:pt idx="17">
                  <c:v>1.9528140423454516</c:v>
                </c:pt>
                <c:pt idx="18">
                  <c:v>1.9349495934194749</c:v>
                </c:pt>
                <c:pt idx="19">
                  <c:v>1.9151123786324824</c:v>
                </c:pt>
                <c:pt idx="20">
                  <c:v>1.8933447316005392</c:v>
                </c:pt>
                <c:pt idx="21">
                  <c:v>1.869693105579401</c:v>
                </c:pt>
                <c:pt idx="22">
                  <c:v>1.8442079743309137</c:v>
                </c:pt>
                <c:pt idx="23">
                  <c:v>1.8169437244095015</c:v>
                </c:pt>
                <c:pt idx="24">
                  <c:v>1.78795853909849</c:v>
                </c:pt>
                <c:pt idx="25">
                  <c:v>1.7573142742440346</c:v>
                </c:pt>
                <c:pt idx="26">
                  <c:v>1.7250763262516706</c:v>
                </c:pt>
                <c:pt idx="27">
                  <c:v>1.6913134925270441</c:v>
                </c:pt>
                <c:pt idx="28">
                  <c:v>1.6560978246588256</c:v>
                </c:pt>
                <c:pt idx="29">
                  <c:v>1.6195044746569316</c:v>
                </c:pt>
                <c:pt idx="30">
                  <c:v>1.5816115345744102</c:v>
                </c:pt>
                <c:pt idx="31">
                  <c:v>1.5424998698550105</c:v>
                </c:pt>
                <c:pt idx="32">
                  <c:v>1.5022529467622974</c:v>
                </c:pt>
                <c:pt idx="33">
                  <c:v>1.4609566542583963</c:v>
                </c:pt>
                <c:pt idx="34">
                  <c:v>1.4186991207126525</c:v>
                </c:pt>
                <c:pt idx="35">
                  <c:v>1.3755705258312254</c:v>
                </c:pt>
                <c:pt idx="36">
                  <c:v>1.3316629082090792</c:v>
                </c:pt>
                <c:pt idx="37">
                  <c:v>1.2870699689149454</c:v>
                </c:pt>
                <c:pt idx="38">
                  <c:v>1.2418868715285569</c:v>
                </c:pt>
                <c:pt idx="39">
                  <c:v>1.1962100390567443</c:v>
                </c:pt>
                <c:pt idx="40">
                  <c:v>1.1501369481619008</c:v>
                </c:pt>
                <c:pt idx="41">
                  <c:v>1.1037659211418607</c:v>
                </c:pt>
                <c:pt idx="42">
                  <c:v>1.0571959161051687</c:v>
                </c:pt>
                <c:pt idx="43">
                  <c:v>1.0105263157894768</c:v>
                </c:pt>
                <c:pt idx="44">
                  <c:v>0.96385671547378138</c:v>
                </c:pt>
                <c:pt idx="45">
                  <c:v>0.91728671043708587</c:v>
                </c:pt>
                <c:pt idx="46">
                  <c:v>0.87091568341704217</c:v>
                </c:pt>
                <c:pt idx="47">
                  <c:v>0.82484259252220227</c:v>
                </c:pt>
                <c:pt idx="48">
                  <c:v>0.7791657600503914</c:v>
                </c:pt>
                <c:pt idx="49">
                  <c:v>0.73398266266400114</c:v>
                </c:pt>
                <c:pt idx="50">
                  <c:v>0.68938972336986737</c:v>
                </c:pt>
                <c:pt idx="51">
                  <c:v>0.64548210574771758</c:v>
                </c:pt>
                <c:pt idx="52">
                  <c:v>0.60235351086629585</c:v>
                </c:pt>
                <c:pt idx="53">
                  <c:v>0.56009597732055028</c:v>
                </c:pt>
                <c:pt idx="54">
                  <c:v>0.51879968481665095</c:v>
                </c:pt>
                <c:pt idx="55">
                  <c:v>0.47855276172393424</c:v>
                </c:pt>
                <c:pt idx="56">
                  <c:v>0.43944109700453815</c:v>
                </c:pt>
                <c:pt idx="57">
                  <c:v>0.40154815692201495</c:v>
                </c:pt>
                <c:pt idx="58">
                  <c:v>0.3649548069201245</c:v>
                </c:pt>
                <c:pt idx="59">
                  <c:v>0.32973913905189889</c:v>
                </c:pt>
                <c:pt idx="60">
                  <c:v>0.29597630532727948</c:v>
                </c:pt>
                <c:pt idx="61">
                  <c:v>0.26373835733491191</c:v>
                </c:pt>
                <c:pt idx="62">
                  <c:v>0.23309409248046009</c:v>
                </c:pt>
                <c:pt idx="63">
                  <c:v>0.20410890716944152</c:v>
                </c:pt>
                <c:pt idx="64">
                  <c:v>0.17684465724802934</c:v>
                </c:pt>
                <c:pt idx="65">
                  <c:v>0.15135952599954905</c:v>
                </c:pt>
                <c:pt idx="66">
                  <c:v>0.12770789997840737</c:v>
                </c:pt>
                <c:pt idx="67">
                  <c:v>0.10594025294646059</c:v>
                </c:pt>
                <c:pt idx="68">
                  <c:v>8.6103038159471623E-2</c:v>
                </c:pt>
                <c:pt idx="69">
                  <c:v>6.8238589233494906E-2</c:v>
                </c:pt>
                <c:pt idx="70">
                  <c:v>5.2385029802813676E-2</c:v>
                </c:pt>
                <c:pt idx="71">
                  <c:v>3.8576192162203427E-2</c:v>
                </c:pt>
                <c:pt idx="72">
                  <c:v>2.6841545067089356E-2</c:v>
                </c:pt>
                <c:pt idx="73">
                  <c:v>1.7206130845739409E-2</c:v>
                </c:pt>
                <c:pt idx="74">
                  <c:v>9.6905119576859988E-3</c:v>
                </c:pt>
                <c:pt idx="75">
                  <c:v>4.3107271123865587E-3</c:v>
                </c:pt>
                <c:pt idx="76">
                  <c:v>1.0782570418150783E-3</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6-4841-4CDE-A94B-DAB637A53CBE}"/>
            </c:ext>
          </c:extLst>
        </c:ser>
        <c:ser>
          <c:idx val="7"/>
          <c:order val="7"/>
          <c:tx>
            <c:strRef>
              <c:f>Calc!$A$117</c:f>
              <c:strCache>
                <c:ptCount val="1"/>
                <c:pt idx="0">
                  <c:v>LATAM &gt; available now</c:v>
                </c:pt>
              </c:strCache>
            </c:strRef>
          </c:tx>
          <c:spPr>
            <a:solidFill>
              <a:srgbClr val="E16FA5"/>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Calc!$K$170:$GP$170</c:f>
              <c:numCache>
                <c:formatCode>0.00</c:formatCode>
                <c:ptCount val="188"/>
                <c:pt idx="0">
                  <c:v>1.6210526315789473</c:v>
                </c:pt>
                <c:pt idx="1">
                  <c:v>1.6210526315789473</c:v>
                </c:pt>
                <c:pt idx="2">
                  <c:v>1.6210526315789473</c:v>
                </c:pt>
                <c:pt idx="3">
                  <c:v>1.6210526315789473</c:v>
                </c:pt>
                <c:pt idx="4">
                  <c:v>1.6210526315789473</c:v>
                </c:pt>
                <c:pt idx="5">
                  <c:v>1.6210526315789473</c:v>
                </c:pt>
                <c:pt idx="6">
                  <c:v>1.6210526315789473</c:v>
                </c:pt>
                <c:pt idx="7">
                  <c:v>1.6210526315789473</c:v>
                </c:pt>
                <c:pt idx="8">
                  <c:v>1.6210526315789473</c:v>
                </c:pt>
                <c:pt idx="9">
                  <c:v>1.6210526315789473</c:v>
                </c:pt>
                <c:pt idx="10">
                  <c:v>1.6210526315789473</c:v>
                </c:pt>
                <c:pt idx="11">
                  <c:v>1.6210526315789473</c:v>
                </c:pt>
                <c:pt idx="12">
                  <c:v>1.6210526315789473</c:v>
                </c:pt>
                <c:pt idx="13">
                  <c:v>1.6210526315789473</c:v>
                </c:pt>
                <c:pt idx="14">
                  <c:v>1.6210526315789473</c:v>
                </c:pt>
                <c:pt idx="15">
                  <c:v>1.6210526315789473</c:v>
                </c:pt>
                <c:pt idx="16">
                  <c:v>1.6210526315789473</c:v>
                </c:pt>
                <c:pt idx="17">
                  <c:v>1.6210526315789473</c:v>
                </c:pt>
                <c:pt idx="18">
                  <c:v>1.6210526315789473</c:v>
                </c:pt>
                <c:pt idx="19">
                  <c:v>1.6210526315789473</c:v>
                </c:pt>
                <c:pt idx="20">
                  <c:v>1.6210526315789473</c:v>
                </c:pt>
                <c:pt idx="21">
                  <c:v>1.6210526315789473</c:v>
                </c:pt>
                <c:pt idx="22">
                  <c:v>1.6210526315789473</c:v>
                </c:pt>
                <c:pt idx="23">
                  <c:v>1.6210526315789473</c:v>
                </c:pt>
                <c:pt idx="24">
                  <c:v>1.6210526315789473</c:v>
                </c:pt>
                <c:pt idx="25">
                  <c:v>1.6210526315789473</c:v>
                </c:pt>
                <c:pt idx="26">
                  <c:v>1.6210526315789473</c:v>
                </c:pt>
                <c:pt idx="27">
                  <c:v>1.6210526315789473</c:v>
                </c:pt>
                <c:pt idx="28">
                  <c:v>1.6210526315789473</c:v>
                </c:pt>
                <c:pt idx="29">
                  <c:v>1.6210526315789473</c:v>
                </c:pt>
                <c:pt idx="30">
                  <c:v>1.6210526315789473</c:v>
                </c:pt>
                <c:pt idx="31">
                  <c:v>1.6210526315789473</c:v>
                </c:pt>
                <c:pt idx="32">
                  <c:v>1.6210526315789473</c:v>
                </c:pt>
                <c:pt idx="33">
                  <c:v>1.6210526315789473</c:v>
                </c:pt>
                <c:pt idx="34">
                  <c:v>1.6210526315789473</c:v>
                </c:pt>
                <c:pt idx="35">
                  <c:v>1.6210526315789473</c:v>
                </c:pt>
                <c:pt idx="36">
                  <c:v>1.6210526315789473</c:v>
                </c:pt>
                <c:pt idx="37">
                  <c:v>1.6210526315789473</c:v>
                </c:pt>
                <c:pt idx="38">
                  <c:v>1.6210526315789473</c:v>
                </c:pt>
                <c:pt idx="39">
                  <c:v>1.6210526315789473</c:v>
                </c:pt>
                <c:pt idx="40">
                  <c:v>1.6210526315789473</c:v>
                </c:pt>
                <c:pt idx="41">
                  <c:v>1.6210526315789473</c:v>
                </c:pt>
                <c:pt idx="42">
                  <c:v>1.6210526315789473</c:v>
                </c:pt>
                <c:pt idx="43">
                  <c:v>1.6210526315789473</c:v>
                </c:pt>
                <c:pt idx="44">
                  <c:v>1.6210526315789473</c:v>
                </c:pt>
                <c:pt idx="45">
                  <c:v>1.6210526315789473</c:v>
                </c:pt>
                <c:pt idx="46">
                  <c:v>1.6210526315789473</c:v>
                </c:pt>
                <c:pt idx="47">
                  <c:v>1.6210526315789473</c:v>
                </c:pt>
                <c:pt idx="48">
                  <c:v>1.6210526315789473</c:v>
                </c:pt>
                <c:pt idx="49">
                  <c:v>1.6210526315789473</c:v>
                </c:pt>
                <c:pt idx="50">
                  <c:v>1.6210526315789473</c:v>
                </c:pt>
                <c:pt idx="51">
                  <c:v>1.6210526315789473</c:v>
                </c:pt>
                <c:pt idx="52">
                  <c:v>1.6210526315789473</c:v>
                </c:pt>
                <c:pt idx="53">
                  <c:v>1.6210526315789473</c:v>
                </c:pt>
                <c:pt idx="54">
                  <c:v>1.6210526315789473</c:v>
                </c:pt>
                <c:pt idx="55">
                  <c:v>1.6210526315789473</c:v>
                </c:pt>
                <c:pt idx="56">
                  <c:v>1.6210526315789473</c:v>
                </c:pt>
                <c:pt idx="57">
                  <c:v>1.6210526315789473</c:v>
                </c:pt>
                <c:pt idx="58">
                  <c:v>1.6210526315789473</c:v>
                </c:pt>
                <c:pt idx="59">
                  <c:v>1.6210526315789473</c:v>
                </c:pt>
                <c:pt idx="60">
                  <c:v>1.6210526315789473</c:v>
                </c:pt>
                <c:pt idx="61">
                  <c:v>1.6210526315789473</c:v>
                </c:pt>
                <c:pt idx="62">
                  <c:v>1.6210526315789473</c:v>
                </c:pt>
                <c:pt idx="63">
                  <c:v>1.6210526315789473</c:v>
                </c:pt>
                <c:pt idx="64">
                  <c:v>1.6210526315789473</c:v>
                </c:pt>
                <c:pt idx="65">
                  <c:v>1.6210526315789473</c:v>
                </c:pt>
                <c:pt idx="66">
                  <c:v>1.6210526315789473</c:v>
                </c:pt>
                <c:pt idx="67">
                  <c:v>1.6210526315789473</c:v>
                </c:pt>
                <c:pt idx="68">
                  <c:v>1.6210526315789473</c:v>
                </c:pt>
                <c:pt idx="69">
                  <c:v>1.6210526315789473</c:v>
                </c:pt>
                <c:pt idx="70">
                  <c:v>1.6210526315789473</c:v>
                </c:pt>
                <c:pt idx="71">
                  <c:v>1.6210526315789473</c:v>
                </c:pt>
                <c:pt idx="72">
                  <c:v>1.6210526315789473</c:v>
                </c:pt>
                <c:pt idx="73">
                  <c:v>1.6210526315789473</c:v>
                </c:pt>
                <c:pt idx="74">
                  <c:v>1.6210526315789473</c:v>
                </c:pt>
                <c:pt idx="75">
                  <c:v>1.6210526315789473</c:v>
                </c:pt>
                <c:pt idx="76">
                  <c:v>1.6210526315789473</c:v>
                </c:pt>
                <c:pt idx="77">
                  <c:v>1.6210526315789473</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7-4841-4CDE-A94B-DAB637A53CBE}"/>
            </c:ext>
          </c:extLst>
        </c:ser>
        <c:ser>
          <c:idx val="8"/>
          <c:order val="8"/>
          <c:tx>
            <c:strRef>
              <c:f>Calc!$A$118</c:f>
              <c:strCache>
                <c:ptCount val="1"/>
                <c:pt idx="0">
                  <c:v>Canada &gt;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Calc!$K$221:$GP$221</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8-4841-4CDE-A94B-DAB637A53CBE}"/>
            </c:ext>
          </c:extLst>
        </c:ser>
        <c:ser>
          <c:idx val="9"/>
          <c:order val="9"/>
          <c:tx>
            <c:strRef>
              <c:f>Calc!$A$118</c:f>
              <c:strCache>
                <c:ptCount val="1"/>
                <c:pt idx="0">
                  <c:v>Canada &gt; available now</c:v>
                </c:pt>
              </c:strCache>
            </c:strRef>
          </c:tx>
          <c:spPr>
            <a:solidFill>
              <a:srgbClr val="76C481"/>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Calc!$K$171:$GP$171</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9-4841-4CDE-A94B-DAB637A53CBE}"/>
            </c:ext>
          </c:extLst>
        </c:ser>
        <c:ser>
          <c:idx val="10"/>
          <c:order val="10"/>
          <c:tx>
            <c:strRef>
              <c:f>Calc!$A$119</c:f>
              <c:strCache>
                <c:ptCount val="1"/>
                <c:pt idx="0">
                  <c:v>Other &gt;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Calc!$K$222:$GP$222</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A-4841-4CDE-A94B-DAB637A53CBE}"/>
            </c:ext>
          </c:extLst>
        </c:ser>
        <c:ser>
          <c:idx val="11"/>
          <c:order val="11"/>
          <c:tx>
            <c:strRef>
              <c:f>Calc!$A$119</c:f>
              <c:strCache>
                <c:ptCount val="1"/>
                <c:pt idx="0">
                  <c:v>Other &gt; available now</c:v>
                </c:pt>
              </c:strCache>
            </c:strRef>
          </c:tx>
          <c:spPr>
            <a:solidFill>
              <a:srgbClr val="A4ACBA"/>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Calc!$K$172:$GP$172</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B-4841-4CDE-A94B-DAB637A53CBE}"/>
            </c:ext>
          </c:extLst>
        </c:ser>
        <c:ser>
          <c:idx val="12"/>
          <c:order val="12"/>
          <c:tx>
            <c:strRef>
              <c:f>Calc!$A$120</c:f>
              <c:strCache>
                <c:ptCount val="1"/>
                <c:pt idx="0">
                  <c:v>12
Available now</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Calc!$K$223:$GP$223</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C-4841-4CDE-A94B-DAB637A53CBE}"/>
            </c:ext>
          </c:extLst>
        </c:ser>
        <c:ser>
          <c:idx val="13"/>
          <c:order val="13"/>
          <c:tx>
            <c:strRef>
              <c:f>Calc!$A$120</c:f>
              <c:strCache>
                <c:ptCount val="1"/>
                <c:pt idx="0">
                  <c:v>12
Available now</c:v>
                </c:pt>
              </c:strCache>
            </c:strRef>
          </c:tx>
          <c:spPr>
            <a:solidFill>
              <a:srgbClr val="2F6FDE"/>
            </a:solidFill>
            <a:ln w="0">
              <a:noFill/>
            </a:ln>
          </c:spPr>
          <c:dPt>
            <c:idx val="94"/>
            <c:bubble3D val="0"/>
            <c:extLst>
              <c:ext xmlns:c16="http://schemas.microsoft.com/office/drawing/2014/chart" uri="{C3380CC4-5D6E-409C-BE32-E72D297353CC}">
                <c16:uniqueId val="{0000000E-4841-4CDE-A94B-DAB637A53CBE}"/>
              </c:ext>
            </c:extLst>
          </c:dPt>
          <c:dLbls>
            <c:dLbl>
              <c:idx val="94"/>
              <c:spPr/>
              <c:txPr>
                <a:bodyPr wrap="square"/>
                <a:lstStyle/>
                <a:p>
                  <a:pPr>
                    <a:defRPr sz="1100" b="1" strike="noStrike" spc="-1">
                      <a:solidFill>
                        <a:srgbClr val="FFFFFF"/>
                      </a:solidFill>
                      <a:latin typeface="Arial"/>
                    </a:defRPr>
                  </a:pPr>
                  <a:endParaRPr lang="en-US"/>
                </a:p>
              </c:txPr>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4841-4CDE-A94B-DAB637A53CBE}"/>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Calc!$K$173:$GP$173</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9.7263157894736842</c:v>
                </c:pt>
                <c:pt idx="79">
                  <c:v>9.7263157894736842</c:v>
                </c:pt>
                <c:pt idx="80">
                  <c:v>9.7263157894736842</c:v>
                </c:pt>
                <c:pt idx="81">
                  <c:v>9.7263157894736842</c:v>
                </c:pt>
                <c:pt idx="82">
                  <c:v>9.7263157894736842</c:v>
                </c:pt>
                <c:pt idx="83">
                  <c:v>9.7263157894736842</c:v>
                </c:pt>
                <c:pt idx="84">
                  <c:v>9.7263157894736842</c:v>
                </c:pt>
                <c:pt idx="85">
                  <c:v>9.7263157894736842</c:v>
                </c:pt>
                <c:pt idx="86">
                  <c:v>9.7263157894736842</c:v>
                </c:pt>
                <c:pt idx="87">
                  <c:v>9.7263157894736842</c:v>
                </c:pt>
                <c:pt idx="88">
                  <c:v>9.7263157894736842</c:v>
                </c:pt>
                <c:pt idx="89">
                  <c:v>9.7263157894736842</c:v>
                </c:pt>
                <c:pt idx="90">
                  <c:v>9.7263157894736842</c:v>
                </c:pt>
                <c:pt idx="91">
                  <c:v>9.7263157894736842</c:v>
                </c:pt>
                <c:pt idx="92">
                  <c:v>9.7263157894736842</c:v>
                </c:pt>
                <c:pt idx="93">
                  <c:v>9.7263157894736842</c:v>
                </c:pt>
                <c:pt idx="94">
                  <c:v>9.7263157894736842</c:v>
                </c:pt>
                <c:pt idx="95">
                  <c:v>9.7263157894736842</c:v>
                </c:pt>
                <c:pt idx="96">
                  <c:v>9.7263157894736842</c:v>
                </c:pt>
                <c:pt idx="97">
                  <c:v>9.7263157894736842</c:v>
                </c:pt>
                <c:pt idx="98">
                  <c:v>9.7263157894736842</c:v>
                </c:pt>
                <c:pt idx="99">
                  <c:v>9.7263157894736842</c:v>
                </c:pt>
                <c:pt idx="100">
                  <c:v>9.7263157894736842</c:v>
                </c:pt>
                <c:pt idx="101">
                  <c:v>9.7263157894736842</c:v>
                </c:pt>
                <c:pt idx="102">
                  <c:v>9.7263157894736842</c:v>
                </c:pt>
                <c:pt idx="103">
                  <c:v>9.7263157894736842</c:v>
                </c:pt>
                <c:pt idx="104">
                  <c:v>9.7263157894736842</c:v>
                </c:pt>
                <c:pt idx="105">
                  <c:v>9.7263157894736842</c:v>
                </c:pt>
                <c:pt idx="106">
                  <c:v>9.7263157894736842</c:v>
                </c:pt>
                <c:pt idx="107">
                  <c:v>9.7263157894736842</c:v>
                </c:pt>
                <c:pt idx="108">
                  <c:v>9.7263157894736842</c:v>
                </c:pt>
                <c:pt idx="109">
                  <c:v>9.7263157894736842</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0F-4841-4CDE-A94B-DAB637A53CBE}"/>
            </c:ext>
          </c:extLst>
        </c:ser>
        <c:ser>
          <c:idx val="14"/>
          <c:order val="14"/>
          <c:tx>
            <c:strRef>
              <c:f>Calc!$A$121</c:f>
              <c:strCache>
                <c:ptCount val="1"/>
                <c:pt idx="0">
                  <c:v>Available now &gt; TriNet</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Calc!$K$224:$GP$224</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10-4841-4CDE-A94B-DAB637A53CBE}"/>
            </c:ext>
          </c:extLst>
        </c:ser>
        <c:ser>
          <c:idx val="15"/>
          <c:order val="15"/>
          <c:tx>
            <c:strRef>
              <c:f>Calc!$A$121</c:f>
              <c:strCache>
                <c:ptCount val="1"/>
                <c:pt idx="0">
                  <c:v>Available now &gt; TriNet</c:v>
                </c:pt>
              </c:strCache>
            </c:strRef>
          </c:tx>
          <c:spPr>
            <a:solidFill>
              <a:srgbClr val="4E85E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Calc!$K$174:$GP$174</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3.2421052631578946</c:v>
                </c:pt>
                <c:pt idx="111">
                  <c:v>3.2421052631578946</c:v>
                </c:pt>
                <c:pt idx="112">
                  <c:v>3.2421052631578946</c:v>
                </c:pt>
                <c:pt idx="113">
                  <c:v>3.2421052631578946</c:v>
                </c:pt>
                <c:pt idx="114">
                  <c:v>3.2421052631578946</c:v>
                </c:pt>
                <c:pt idx="115">
                  <c:v>3.2421052631578946</c:v>
                </c:pt>
                <c:pt idx="116">
                  <c:v>3.2421052631578946</c:v>
                </c:pt>
                <c:pt idx="117">
                  <c:v>3.2421052631578946</c:v>
                </c:pt>
                <c:pt idx="118">
                  <c:v>3.2421052631578946</c:v>
                </c:pt>
                <c:pt idx="119">
                  <c:v>3.2421052631578946</c:v>
                </c:pt>
                <c:pt idx="120">
                  <c:v>3.2421052631578946</c:v>
                </c:pt>
                <c:pt idx="121">
                  <c:v>3.2421052631578946</c:v>
                </c:pt>
                <c:pt idx="122">
                  <c:v>3.2421052631578946</c:v>
                </c:pt>
                <c:pt idx="123">
                  <c:v>3.2421052631578946</c:v>
                </c:pt>
                <c:pt idx="124">
                  <c:v>3.2421052631578946</c:v>
                </c:pt>
                <c:pt idx="125">
                  <c:v>3.2421052631578946</c:v>
                </c:pt>
                <c:pt idx="126">
                  <c:v>3.2421052631578946</c:v>
                </c:pt>
                <c:pt idx="127">
                  <c:v>3.2421052631578946</c:v>
                </c:pt>
                <c:pt idx="128">
                  <c:v>3.2421052631578946</c:v>
                </c:pt>
                <c:pt idx="129">
                  <c:v>3.2421052631578946</c:v>
                </c:pt>
                <c:pt idx="130">
                  <c:v>3.2421052631578946</c:v>
                </c:pt>
                <c:pt idx="131">
                  <c:v>3.2421052631578946</c:v>
                </c:pt>
                <c:pt idx="132">
                  <c:v>3.2421052631578946</c:v>
                </c:pt>
                <c:pt idx="133">
                  <c:v>3.2421052631578946</c:v>
                </c:pt>
                <c:pt idx="134">
                  <c:v>3.2421052631578946</c:v>
                </c:pt>
                <c:pt idx="135">
                  <c:v>3.2421052631578946</c:v>
                </c:pt>
                <c:pt idx="136">
                  <c:v>3.2421052631578946</c:v>
                </c:pt>
                <c:pt idx="137">
                  <c:v>3.2421052631578946</c:v>
                </c:pt>
                <c:pt idx="138">
                  <c:v>3.2421052631578946</c:v>
                </c:pt>
                <c:pt idx="139">
                  <c:v>3.2421052631578946</c:v>
                </c:pt>
                <c:pt idx="140">
                  <c:v>3.2421052631578946</c:v>
                </c:pt>
                <c:pt idx="141">
                  <c:v>3.2421052631578946</c:v>
                </c:pt>
                <c:pt idx="142">
                  <c:v>3.2421052631578946</c:v>
                </c:pt>
                <c:pt idx="143">
                  <c:v>3.2421052631578946</c:v>
                </c:pt>
                <c:pt idx="144">
                  <c:v>3.2421052631578946</c:v>
                </c:pt>
                <c:pt idx="145">
                  <c:v>3.2421052631578946</c:v>
                </c:pt>
                <c:pt idx="146">
                  <c:v>3.2421052631578946</c:v>
                </c:pt>
                <c:pt idx="147">
                  <c:v>3.2421052631578946</c:v>
                </c:pt>
                <c:pt idx="148">
                  <c:v>3.2421052631578946</c:v>
                </c:pt>
                <c:pt idx="149">
                  <c:v>3.2421052631578946</c:v>
                </c:pt>
                <c:pt idx="150">
                  <c:v>3.2421052631578946</c:v>
                </c:pt>
                <c:pt idx="151">
                  <c:v>3.2421052631578946</c:v>
                </c:pt>
                <c:pt idx="152">
                  <c:v>3.2421052631578946</c:v>
                </c:pt>
                <c:pt idx="153">
                  <c:v>3.2421052631578946</c:v>
                </c:pt>
                <c:pt idx="154">
                  <c:v>3.2421052631578946</c:v>
                </c:pt>
                <c:pt idx="155">
                  <c:v>3.2421052631578946</c:v>
                </c:pt>
                <c:pt idx="156">
                  <c:v>3.2421052631578946</c:v>
                </c:pt>
                <c:pt idx="157">
                  <c:v>3.2421052631578946</c:v>
                </c:pt>
                <c:pt idx="158">
                  <c:v>3.2421052631578946</c:v>
                </c:pt>
                <c:pt idx="159">
                  <c:v>3.2421052631578946</c:v>
                </c:pt>
                <c:pt idx="160">
                  <c:v>3.2421052631578946</c:v>
                </c:pt>
                <c:pt idx="161">
                  <c:v>3.2421052631578946</c:v>
                </c:pt>
                <c:pt idx="162">
                  <c:v>3.2421052631578946</c:v>
                </c:pt>
                <c:pt idx="163">
                  <c:v>3.2421052631578946</c:v>
                </c:pt>
                <c:pt idx="164">
                  <c:v>3.2421052631578946</c:v>
                </c:pt>
                <c:pt idx="165">
                  <c:v>3.2421052631578946</c:v>
                </c:pt>
                <c:pt idx="166">
                  <c:v>3.2421052631578946</c:v>
                </c:pt>
                <c:pt idx="167">
                  <c:v>3.2421052631578946</c:v>
                </c:pt>
                <c:pt idx="168">
                  <c:v>3.2421052631578946</c:v>
                </c:pt>
                <c:pt idx="169">
                  <c:v>3.2421052631578946</c:v>
                </c:pt>
                <c:pt idx="170">
                  <c:v>3.2421052631578946</c:v>
                </c:pt>
                <c:pt idx="171">
                  <c:v>3.2421052631578946</c:v>
                </c:pt>
                <c:pt idx="172">
                  <c:v>3.2421052631578946</c:v>
                </c:pt>
                <c:pt idx="173">
                  <c:v>3.2421052631578946</c:v>
                </c:pt>
                <c:pt idx="174">
                  <c:v>3.2421052631578946</c:v>
                </c:pt>
                <c:pt idx="175">
                  <c:v>3.2421052631578946</c:v>
                </c:pt>
                <c:pt idx="176">
                  <c:v>3.2421052631578946</c:v>
                </c:pt>
                <c:pt idx="177">
                  <c:v>3.2421052631578946</c:v>
                </c:pt>
                <c:pt idx="178">
                  <c:v>3.2421052631578946</c:v>
                </c:pt>
                <c:pt idx="179">
                  <c:v>3.2421052631578946</c:v>
                </c:pt>
                <c:pt idx="180">
                  <c:v>3.2421052631578946</c:v>
                </c:pt>
                <c:pt idx="181">
                  <c:v>3.2421052631578946</c:v>
                </c:pt>
                <c:pt idx="182">
                  <c:v>3.2421052631578946</c:v>
                </c:pt>
                <c:pt idx="183">
                  <c:v>3.2421052631578946</c:v>
                </c:pt>
                <c:pt idx="184">
                  <c:v>3.2421052631578946</c:v>
                </c:pt>
                <c:pt idx="185">
                  <c:v>3.2421052631578946</c:v>
                </c:pt>
                <c:pt idx="186">
                  <c:v>3.2421052631578946</c:v>
                </c:pt>
                <c:pt idx="187">
                  <c:v>3.2421052631578946</c:v>
                </c:pt>
              </c:numCache>
            </c:numRef>
          </c:val>
          <c:extLst>
            <c:ext xmlns:c16="http://schemas.microsoft.com/office/drawing/2014/chart" uri="{C3380CC4-5D6E-409C-BE32-E72D297353CC}">
              <c16:uniqueId val="{00000011-4841-4CDE-A94B-DAB637A53CBE}"/>
            </c:ext>
          </c:extLst>
        </c:ser>
        <c:ser>
          <c:idx val="16"/>
          <c:order val="16"/>
          <c:tx>
            <c:strRef>
              <c:f>Calc!$A$122</c:f>
              <c:strCache>
                <c:ptCount val="1"/>
                <c:pt idx="0">
                  <c:v>Available now &gt; PMI</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Calc!$K$225:$GP$225</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2.198217028577254E-4</c:v>
                </c:pt>
                <c:pt idx="112">
                  <c:v>8.7880359562042543E-4</c:v>
                </c:pt>
                <c:pt idx="113">
                  <c:v>1.9754970930696558E-3</c:v>
                </c:pt>
                <c:pt idx="114">
                  <c:v>3.5074914248847122E-3</c:v>
                </c:pt>
                <c:pt idx="115">
                  <c:v>5.471418935037331E-3</c:v>
                </c:pt>
                <c:pt idx="116">
                  <c:v>7.862962484631808E-3</c:v>
                </c:pt>
                <c:pt idx="117">
                  <c:v>1.0676864941913333E-2</c:v>
                </c:pt>
                <c:pt idx="118">
                  <c:v>1.3906940738582563E-2</c:v>
                </c:pt>
                <c:pt idx="119">
                  <c:v>1.7546089467020742E-2</c:v>
                </c:pt>
                <c:pt idx="120">
                  <c:v>2.1586311488522636E-2</c:v>
                </c:pt>
                <c:pt idx="121">
                  <c:v>2.6018725518242025E-2</c:v>
                </c:pt>
                <c:pt idx="122">
                  <c:v>3.0833588148180713E-2</c:v>
                </c:pt>
                <c:pt idx="123">
                  <c:v>3.6020315265314906E-2</c:v>
                </c:pt>
                <c:pt idx="124">
                  <c:v>4.1567505317773978E-2</c:v>
                </c:pt>
                <c:pt idx="125">
                  <c:v>4.7462964377923633E-2</c:v>
                </c:pt>
                <c:pt idx="126">
                  <c:v>5.3693732947265982E-2</c:v>
                </c:pt>
                <c:pt idx="127">
                  <c:v>6.0246114444231669E-2</c:v>
                </c:pt>
                <c:pt idx="128">
                  <c:v>6.7105705312235475E-2</c:v>
                </c:pt>
                <c:pt idx="129">
                  <c:v>7.4257426681823002E-2</c:v>
                </c:pt>
                <c:pt idx="130">
                  <c:v>8.168555751729567E-2</c:v>
                </c:pt>
                <c:pt idx="131">
                  <c:v>8.9373769174959872E-2</c:v>
                </c:pt>
                <c:pt idx="132">
                  <c:v>9.7305161297031706E-2</c:v>
                </c:pt>
                <c:pt idx="133">
                  <c:v>0.10546229896228709</c:v>
                </c:pt>
                <c:pt idx="134">
                  <c:v>0.11382725101180569</c:v>
                </c:pt>
                <c:pt idx="135">
                  <c:v>0.1223816294655502</c:v>
                </c:pt>
                <c:pt idx="136">
                  <c:v>0.1311066299431336</c:v>
                </c:pt>
                <c:pt idx="137">
                  <c:v>0.13998307299993185</c:v>
                </c:pt>
                <c:pt idx="138">
                  <c:v>0.1489914462876647</c:v>
                </c:pt>
                <c:pt idx="139">
                  <c:v>0.15811194744677115</c:v>
                </c:pt>
                <c:pt idx="140">
                  <c:v>0.16732452763629402</c:v>
                </c:pt>
                <c:pt idx="141">
                  <c:v>0.17660893560558355</c:v>
                </c:pt>
                <c:pt idx="142">
                  <c:v>0.18594476221094114</c:v>
                </c:pt>
                <c:pt idx="143">
                  <c:v>0.19531148527934805</c:v>
                </c:pt>
                <c:pt idx="144">
                  <c:v>0.20468851472065186</c:v>
                </c:pt>
                <c:pt idx="145">
                  <c:v>0.21405523778905833</c:v>
                </c:pt>
                <c:pt idx="146">
                  <c:v>0.22339106439441636</c:v>
                </c:pt>
                <c:pt idx="147">
                  <c:v>0.23267547236370589</c:v>
                </c:pt>
                <c:pt idx="148">
                  <c:v>0.24188805255322876</c:v>
                </c:pt>
                <c:pt idx="149">
                  <c:v>0.25100855371233521</c:v>
                </c:pt>
                <c:pt idx="150">
                  <c:v>0.26001692700006807</c:v>
                </c:pt>
                <c:pt idx="151">
                  <c:v>0.26889337005686675</c:v>
                </c:pt>
                <c:pt idx="152">
                  <c:v>0.27761837053445015</c:v>
                </c:pt>
                <c:pt idx="153">
                  <c:v>0.28617274898819423</c:v>
                </c:pt>
                <c:pt idx="154">
                  <c:v>0.29453770103771282</c:v>
                </c:pt>
                <c:pt idx="155">
                  <c:v>0.30269483870296821</c:v>
                </c:pt>
                <c:pt idx="156">
                  <c:v>0.3106262308250396</c:v>
                </c:pt>
                <c:pt idx="157">
                  <c:v>0.31831444248270424</c:v>
                </c:pt>
                <c:pt idx="158">
                  <c:v>0.32574257331817691</c:v>
                </c:pt>
                <c:pt idx="159">
                  <c:v>0.33289429468776444</c:v>
                </c:pt>
                <c:pt idx="160">
                  <c:v>0.33975388555576824</c:v>
                </c:pt>
                <c:pt idx="161">
                  <c:v>0.34630626705273349</c:v>
                </c:pt>
                <c:pt idx="162">
                  <c:v>0.35253703562207628</c:v>
                </c:pt>
                <c:pt idx="163">
                  <c:v>0.35843249468222593</c:v>
                </c:pt>
                <c:pt idx="164">
                  <c:v>0.36397968473468501</c:v>
                </c:pt>
                <c:pt idx="165">
                  <c:v>0.3691664118518192</c:v>
                </c:pt>
                <c:pt idx="166">
                  <c:v>0.37398127448175789</c:v>
                </c:pt>
                <c:pt idx="167">
                  <c:v>0.37841368851147728</c:v>
                </c:pt>
                <c:pt idx="168">
                  <c:v>0.38245391053297917</c:v>
                </c:pt>
                <c:pt idx="169">
                  <c:v>0.38609305926141735</c:v>
                </c:pt>
                <c:pt idx="170">
                  <c:v>0.38932313505808658</c:v>
                </c:pt>
                <c:pt idx="171">
                  <c:v>0.3921370375153681</c:v>
                </c:pt>
                <c:pt idx="172">
                  <c:v>0.39452858106496258</c:v>
                </c:pt>
                <c:pt idx="173">
                  <c:v>0.3964925085751152</c:v>
                </c:pt>
                <c:pt idx="174">
                  <c:v>0.39802450290693026</c:v>
                </c:pt>
                <c:pt idx="175">
                  <c:v>0.39912119640437949</c:v>
                </c:pt>
                <c:pt idx="176">
                  <c:v>0.39978017829714219</c:v>
                </c:pt>
                <c:pt idx="177">
                  <c:v>0.39999999999999991</c:v>
                </c:pt>
                <c:pt idx="178">
                  <c:v>0.39999999999999991</c:v>
                </c:pt>
                <c:pt idx="179">
                  <c:v>0.39999999999999991</c:v>
                </c:pt>
                <c:pt idx="180">
                  <c:v>0.39999999999999991</c:v>
                </c:pt>
                <c:pt idx="181">
                  <c:v>0.39999999999999991</c:v>
                </c:pt>
                <c:pt idx="182">
                  <c:v>0.39999999999999991</c:v>
                </c:pt>
                <c:pt idx="183">
                  <c:v>0.39999999999999991</c:v>
                </c:pt>
                <c:pt idx="184">
                  <c:v>0.39999999999999991</c:v>
                </c:pt>
                <c:pt idx="185">
                  <c:v>0.39999999999999991</c:v>
                </c:pt>
                <c:pt idx="186">
                  <c:v>0.39999999999999991</c:v>
                </c:pt>
                <c:pt idx="187">
                  <c:v>0.39999999999999991</c:v>
                </c:pt>
              </c:numCache>
            </c:numRef>
          </c:val>
          <c:extLst>
            <c:ext xmlns:c16="http://schemas.microsoft.com/office/drawing/2014/chart" uri="{C3380CC4-5D6E-409C-BE32-E72D297353CC}">
              <c16:uniqueId val="{00000012-4841-4CDE-A94B-DAB637A53CBE}"/>
            </c:ext>
          </c:extLst>
        </c:ser>
        <c:ser>
          <c:idx val="17"/>
          <c:order val="17"/>
          <c:tx>
            <c:strRef>
              <c:f>Calc!$A$122</c:f>
              <c:strCache>
                <c:ptCount val="1"/>
                <c:pt idx="0">
                  <c:v>Available now &gt; PMI</c:v>
                </c:pt>
              </c:strCache>
            </c:strRef>
          </c:tx>
          <c:spPr>
            <a:solidFill>
              <a:srgbClr val="4E85E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Calc!$K$175:$GP$175</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0.81052631578947365</c:v>
                </c:pt>
                <c:pt idx="111">
                  <c:v>0.81052631578947365</c:v>
                </c:pt>
                <c:pt idx="112">
                  <c:v>0.81052631578947365</c:v>
                </c:pt>
                <c:pt idx="113">
                  <c:v>0.81052631578947365</c:v>
                </c:pt>
                <c:pt idx="114">
                  <c:v>0.81052631578947365</c:v>
                </c:pt>
                <c:pt idx="115">
                  <c:v>0.81052631578947365</c:v>
                </c:pt>
                <c:pt idx="116">
                  <c:v>0.81052631578947365</c:v>
                </c:pt>
                <c:pt idx="117">
                  <c:v>0.81052631578947365</c:v>
                </c:pt>
                <c:pt idx="118">
                  <c:v>0.81052631578947365</c:v>
                </c:pt>
                <c:pt idx="119">
                  <c:v>0.81052631578947365</c:v>
                </c:pt>
                <c:pt idx="120">
                  <c:v>0.81052631578947365</c:v>
                </c:pt>
                <c:pt idx="121">
                  <c:v>0.81052631578947365</c:v>
                </c:pt>
                <c:pt idx="122">
                  <c:v>0.81052631578947365</c:v>
                </c:pt>
                <c:pt idx="123">
                  <c:v>0.81052631578947365</c:v>
                </c:pt>
                <c:pt idx="124">
                  <c:v>0.81052631578947365</c:v>
                </c:pt>
                <c:pt idx="125">
                  <c:v>0.81052631578947365</c:v>
                </c:pt>
                <c:pt idx="126">
                  <c:v>0.81052631578947365</c:v>
                </c:pt>
                <c:pt idx="127">
                  <c:v>0.81052631578947365</c:v>
                </c:pt>
                <c:pt idx="128">
                  <c:v>0.81052631578947365</c:v>
                </c:pt>
                <c:pt idx="129">
                  <c:v>0.81052631578947365</c:v>
                </c:pt>
                <c:pt idx="130">
                  <c:v>0.81052631578947365</c:v>
                </c:pt>
                <c:pt idx="131">
                  <c:v>0.81052631578947365</c:v>
                </c:pt>
                <c:pt idx="132">
                  <c:v>0.81052631578947365</c:v>
                </c:pt>
                <c:pt idx="133">
                  <c:v>0.81052631578947365</c:v>
                </c:pt>
                <c:pt idx="134">
                  <c:v>0.81052631578947365</c:v>
                </c:pt>
                <c:pt idx="135">
                  <c:v>0.81052631578947365</c:v>
                </c:pt>
                <c:pt idx="136">
                  <c:v>0.81052631578947365</c:v>
                </c:pt>
                <c:pt idx="137">
                  <c:v>0.81052631578947365</c:v>
                </c:pt>
                <c:pt idx="138">
                  <c:v>0.81052631578947365</c:v>
                </c:pt>
                <c:pt idx="139">
                  <c:v>0.81052631578947365</c:v>
                </c:pt>
                <c:pt idx="140">
                  <c:v>0.81052631578947365</c:v>
                </c:pt>
                <c:pt idx="141">
                  <c:v>0.81052631578947365</c:v>
                </c:pt>
                <c:pt idx="142">
                  <c:v>0.81052631578947365</c:v>
                </c:pt>
                <c:pt idx="143">
                  <c:v>0.81052631578947365</c:v>
                </c:pt>
                <c:pt idx="144">
                  <c:v>0.81052631578947365</c:v>
                </c:pt>
                <c:pt idx="145">
                  <c:v>0.81052631578947365</c:v>
                </c:pt>
                <c:pt idx="146">
                  <c:v>0.81052631578947365</c:v>
                </c:pt>
                <c:pt idx="147">
                  <c:v>0.81052631578947365</c:v>
                </c:pt>
                <c:pt idx="148">
                  <c:v>0.81052631578947365</c:v>
                </c:pt>
                <c:pt idx="149">
                  <c:v>0.81052631578947365</c:v>
                </c:pt>
                <c:pt idx="150">
                  <c:v>0.81052631578947365</c:v>
                </c:pt>
                <c:pt idx="151">
                  <c:v>0.81052631578947365</c:v>
                </c:pt>
                <c:pt idx="152">
                  <c:v>0.81052631578947365</c:v>
                </c:pt>
                <c:pt idx="153">
                  <c:v>0.81052631578947365</c:v>
                </c:pt>
                <c:pt idx="154">
                  <c:v>0.81052631578947365</c:v>
                </c:pt>
                <c:pt idx="155">
                  <c:v>0.81052631578947365</c:v>
                </c:pt>
                <c:pt idx="156">
                  <c:v>0.81052631578947365</c:v>
                </c:pt>
                <c:pt idx="157">
                  <c:v>0.81052631578947365</c:v>
                </c:pt>
                <c:pt idx="158">
                  <c:v>0.81052631578947365</c:v>
                </c:pt>
                <c:pt idx="159">
                  <c:v>0.81052631578947365</c:v>
                </c:pt>
                <c:pt idx="160">
                  <c:v>0.81052631578947365</c:v>
                </c:pt>
                <c:pt idx="161">
                  <c:v>0.81052631578947365</c:v>
                </c:pt>
                <c:pt idx="162">
                  <c:v>0.81052631578947365</c:v>
                </c:pt>
                <c:pt idx="163">
                  <c:v>0.81052631578947365</c:v>
                </c:pt>
                <c:pt idx="164">
                  <c:v>0.81052631578947365</c:v>
                </c:pt>
                <c:pt idx="165">
                  <c:v>0.81052631578947365</c:v>
                </c:pt>
                <c:pt idx="166">
                  <c:v>0.81052631578947365</c:v>
                </c:pt>
                <c:pt idx="167">
                  <c:v>0.81052631578947365</c:v>
                </c:pt>
                <c:pt idx="168">
                  <c:v>0.81052631578947365</c:v>
                </c:pt>
                <c:pt idx="169">
                  <c:v>0.81052631578947365</c:v>
                </c:pt>
                <c:pt idx="170">
                  <c:v>0.81052631578947365</c:v>
                </c:pt>
                <c:pt idx="171">
                  <c:v>0.81052631578947365</c:v>
                </c:pt>
                <c:pt idx="172">
                  <c:v>0.81052631578947365</c:v>
                </c:pt>
                <c:pt idx="173">
                  <c:v>0.81052631578947365</c:v>
                </c:pt>
                <c:pt idx="174">
                  <c:v>0.81052631578947365</c:v>
                </c:pt>
                <c:pt idx="175">
                  <c:v>0.81052631578947365</c:v>
                </c:pt>
                <c:pt idx="176">
                  <c:v>0.81052631578947365</c:v>
                </c:pt>
                <c:pt idx="177">
                  <c:v>0.81052631578947365</c:v>
                </c:pt>
                <c:pt idx="178">
                  <c:v>0.81052631578947365</c:v>
                </c:pt>
                <c:pt idx="179">
                  <c:v>0.81052631578947365</c:v>
                </c:pt>
                <c:pt idx="180">
                  <c:v>0.81052631578947365</c:v>
                </c:pt>
                <c:pt idx="181">
                  <c:v>0.81052631578947365</c:v>
                </c:pt>
                <c:pt idx="182">
                  <c:v>0.81052631578947365</c:v>
                </c:pt>
                <c:pt idx="183">
                  <c:v>0.81052631578947365</c:v>
                </c:pt>
                <c:pt idx="184">
                  <c:v>0.81052631578947365</c:v>
                </c:pt>
                <c:pt idx="185">
                  <c:v>0.81052631578947365</c:v>
                </c:pt>
                <c:pt idx="186">
                  <c:v>0.81052631578947365</c:v>
                </c:pt>
                <c:pt idx="187">
                  <c:v>0.81052631578947365</c:v>
                </c:pt>
              </c:numCache>
            </c:numRef>
          </c:val>
          <c:extLst>
            <c:ext xmlns:c16="http://schemas.microsoft.com/office/drawing/2014/chart" uri="{C3380CC4-5D6E-409C-BE32-E72D297353CC}">
              <c16:uniqueId val="{00000013-4841-4CDE-A94B-DAB637A53CBE}"/>
            </c:ext>
          </c:extLst>
        </c:ser>
        <c:ser>
          <c:idx val="18"/>
          <c:order val="18"/>
          <c:tx>
            <c:strRef>
              <c:f>Calc!$A$123</c:f>
              <c:strCache>
                <c:ptCount val="1"/>
                <c:pt idx="0">
                  <c:v>Available now &gt; Hiscox</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Calc!$K$226:$GP$226</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2.1982170285728131E-4</c:v>
                </c:pt>
                <c:pt idx="112">
                  <c:v>8.7880359562042543E-4</c:v>
                </c:pt>
                <c:pt idx="113">
                  <c:v>1.9754970930696558E-3</c:v>
                </c:pt>
                <c:pt idx="114">
                  <c:v>3.5074914248847122E-3</c:v>
                </c:pt>
                <c:pt idx="115">
                  <c:v>5.4714189350368869E-3</c:v>
                </c:pt>
                <c:pt idx="116">
                  <c:v>7.862962484631808E-3</c:v>
                </c:pt>
                <c:pt idx="117">
                  <c:v>1.0676864941912889E-2</c:v>
                </c:pt>
                <c:pt idx="118">
                  <c:v>1.3906940738582563E-2</c:v>
                </c:pt>
                <c:pt idx="119">
                  <c:v>1.7546089467020742E-2</c:v>
                </c:pt>
                <c:pt idx="120">
                  <c:v>2.1586311488522192E-2</c:v>
                </c:pt>
                <c:pt idx="121">
                  <c:v>2.6018725518241581E-2</c:v>
                </c:pt>
                <c:pt idx="122">
                  <c:v>3.0833588148180269E-2</c:v>
                </c:pt>
                <c:pt idx="123">
                  <c:v>3.6020315265314906E-2</c:v>
                </c:pt>
                <c:pt idx="124">
                  <c:v>4.1567505317773978E-2</c:v>
                </c:pt>
                <c:pt idx="125">
                  <c:v>4.7462964377923633E-2</c:v>
                </c:pt>
                <c:pt idx="126">
                  <c:v>5.3693732947266426E-2</c:v>
                </c:pt>
                <c:pt idx="127">
                  <c:v>6.0246114444231225E-2</c:v>
                </c:pt>
                <c:pt idx="128">
                  <c:v>6.7105705312235919E-2</c:v>
                </c:pt>
                <c:pt idx="129">
                  <c:v>7.4257426681822558E-2</c:v>
                </c:pt>
                <c:pt idx="130">
                  <c:v>8.168555751729567E-2</c:v>
                </c:pt>
                <c:pt idx="131">
                  <c:v>8.9373769174960316E-2</c:v>
                </c:pt>
                <c:pt idx="132">
                  <c:v>9.7305161297031262E-2</c:v>
                </c:pt>
                <c:pt idx="133">
                  <c:v>0.10546229896228709</c:v>
                </c:pt>
                <c:pt idx="134">
                  <c:v>0.11382725101180657</c:v>
                </c:pt>
                <c:pt idx="135">
                  <c:v>0.12238162946554976</c:v>
                </c:pt>
                <c:pt idx="136">
                  <c:v>0.13110662994313316</c:v>
                </c:pt>
                <c:pt idx="137">
                  <c:v>0.1399830729999314</c:v>
                </c:pt>
                <c:pt idx="138">
                  <c:v>0.14899144628766425</c:v>
                </c:pt>
                <c:pt idx="139">
                  <c:v>0.15811194744677071</c:v>
                </c:pt>
                <c:pt idx="140">
                  <c:v>0.16732452763629357</c:v>
                </c:pt>
                <c:pt idx="141">
                  <c:v>0.17660893560558311</c:v>
                </c:pt>
                <c:pt idx="142">
                  <c:v>0.18594476221094158</c:v>
                </c:pt>
                <c:pt idx="143">
                  <c:v>0.19531148527934761</c:v>
                </c:pt>
                <c:pt idx="144">
                  <c:v>0.20468851472065275</c:v>
                </c:pt>
                <c:pt idx="145">
                  <c:v>0.21405523778905877</c:v>
                </c:pt>
                <c:pt idx="146">
                  <c:v>0.22339106439441725</c:v>
                </c:pt>
                <c:pt idx="147">
                  <c:v>0.23267547236370678</c:v>
                </c:pt>
                <c:pt idx="148">
                  <c:v>0.24188805255322965</c:v>
                </c:pt>
                <c:pt idx="149">
                  <c:v>0.2510085537123361</c:v>
                </c:pt>
                <c:pt idx="150">
                  <c:v>0.26001692700006895</c:v>
                </c:pt>
                <c:pt idx="151">
                  <c:v>0.26889337005686631</c:v>
                </c:pt>
                <c:pt idx="152">
                  <c:v>0.27761837053444971</c:v>
                </c:pt>
                <c:pt idx="153">
                  <c:v>0.28617274898819378</c:v>
                </c:pt>
                <c:pt idx="154">
                  <c:v>0.29453770103771326</c:v>
                </c:pt>
                <c:pt idx="155">
                  <c:v>0.30269483870296909</c:v>
                </c:pt>
                <c:pt idx="156">
                  <c:v>0.31062623082504004</c:v>
                </c:pt>
                <c:pt idx="157">
                  <c:v>0.31831444248270468</c:v>
                </c:pt>
                <c:pt idx="158">
                  <c:v>0.3257425733181778</c:v>
                </c:pt>
                <c:pt idx="159">
                  <c:v>0.33289429468776444</c:v>
                </c:pt>
                <c:pt idx="160">
                  <c:v>0.33975388555576913</c:v>
                </c:pt>
                <c:pt idx="161">
                  <c:v>0.34630626705273393</c:v>
                </c:pt>
                <c:pt idx="162">
                  <c:v>0.35253703562207672</c:v>
                </c:pt>
                <c:pt idx="163">
                  <c:v>0.35843249468222638</c:v>
                </c:pt>
                <c:pt idx="164">
                  <c:v>0.36397968473468545</c:v>
                </c:pt>
                <c:pt idx="165">
                  <c:v>0.36916641185182009</c:v>
                </c:pt>
                <c:pt idx="166">
                  <c:v>0.37398127448175877</c:v>
                </c:pt>
                <c:pt idx="167">
                  <c:v>0.37841368851147816</c:v>
                </c:pt>
                <c:pt idx="168">
                  <c:v>0.38245391053297961</c:v>
                </c:pt>
                <c:pt idx="169">
                  <c:v>0.38609305926141779</c:v>
                </c:pt>
                <c:pt idx="170">
                  <c:v>0.38932313505808747</c:v>
                </c:pt>
                <c:pt idx="171">
                  <c:v>0.39213703751536855</c:v>
                </c:pt>
                <c:pt idx="172">
                  <c:v>0.39452858106496347</c:v>
                </c:pt>
                <c:pt idx="173">
                  <c:v>0.39649250857511564</c:v>
                </c:pt>
                <c:pt idx="174">
                  <c:v>0.3980245029069307</c:v>
                </c:pt>
                <c:pt idx="175">
                  <c:v>0.39912119640437993</c:v>
                </c:pt>
                <c:pt idx="176">
                  <c:v>0.39978017829714307</c:v>
                </c:pt>
                <c:pt idx="177">
                  <c:v>0.40000000000000036</c:v>
                </c:pt>
                <c:pt idx="178">
                  <c:v>0.40000000000000036</c:v>
                </c:pt>
                <c:pt idx="179">
                  <c:v>0.40000000000000036</c:v>
                </c:pt>
                <c:pt idx="180">
                  <c:v>0.40000000000000036</c:v>
                </c:pt>
                <c:pt idx="181">
                  <c:v>0.40000000000000036</c:v>
                </c:pt>
                <c:pt idx="182">
                  <c:v>0.40000000000000036</c:v>
                </c:pt>
                <c:pt idx="183">
                  <c:v>0.40000000000000036</c:v>
                </c:pt>
                <c:pt idx="184">
                  <c:v>0.40000000000000036</c:v>
                </c:pt>
                <c:pt idx="185">
                  <c:v>0.40000000000000036</c:v>
                </c:pt>
                <c:pt idx="186">
                  <c:v>0.40000000000000036</c:v>
                </c:pt>
                <c:pt idx="187">
                  <c:v>0.40000000000000036</c:v>
                </c:pt>
              </c:numCache>
            </c:numRef>
          </c:val>
          <c:extLst>
            <c:ext xmlns:c16="http://schemas.microsoft.com/office/drawing/2014/chart" uri="{C3380CC4-5D6E-409C-BE32-E72D297353CC}">
              <c16:uniqueId val="{00000014-4841-4CDE-A94B-DAB637A53CBE}"/>
            </c:ext>
          </c:extLst>
        </c:ser>
        <c:ser>
          <c:idx val="19"/>
          <c:order val="19"/>
          <c:tx>
            <c:strRef>
              <c:f>Calc!$A$123</c:f>
              <c:strCache>
                <c:ptCount val="1"/>
                <c:pt idx="0">
                  <c:v>Available now &gt; Hiscox</c:v>
                </c:pt>
              </c:strCache>
            </c:strRef>
          </c:tx>
          <c:spPr>
            <a:solidFill>
              <a:srgbClr val="4E85E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Calc!$K$176:$GP$176</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0.81052631578947365</c:v>
                </c:pt>
                <c:pt idx="111">
                  <c:v>0.81052631578947365</c:v>
                </c:pt>
                <c:pt idx="112">
                  <c:v>0.81052631578947365</c:v>
                </c:pt>
                <c:pt idx="113">
                  <c:v>0.81052631578947365</c:v>
                </c:pt>
                <c:pt idx="114">
                  <c:v>0.81052631578947365</c:v>
                </c:pt>
                <c:pt idx="115">
                  <c:v>0.81052631578947365</c:v>
                </c:pt>
                <c:pt idx="116">
                  <c:v>0.81052631578947365</c:v>
                </c:pt>
                <c:pt idx="117">
                  <c:v>0.81052631578947365</c:v>
                </c:pt>
                <c:pt idx="118">
                  <c:v>0.81052631578947365</c:v>
                </c:pt>
                <c:pt idx="119">
                  <c:v>0.81052631578947365</c:v>
                </c:pt>
                <c:pt idx="120">
                  <c:v>0.81052631578947365</c:v>
                </c:pt>
                <c:pt idx="121">
                  <c:v>0.81052631578947365</c:v>
                </c:pt>
                <c:pt idx="122">
                  <c:v>0.81052631578947365</c:v>
                </c:pt>
                <c:pt idx="123">
                  <c:v>0.81052631578947365</c:v>
                </c:pt>
                <c:pt idx="124">
                  <c:v>0.81052631578947365</c:v>
                </c:pt>
                <c:pt idx="125">
                  <c:v>0.81052631578947365</c:v>
                </c:pt>
                <c:pt idx="126">
                  <c:v>0.81052631578947365</c:v>
                </c:pt>
                <c:pt idx="127">
                  <c:v>0.81052631578947365</c:v>
                </c:pt>
                <c:pt idx="128">
                  <c:v>0.81052631578947365</c:v>
                </c:pt>
                <c:pt idx="129">
                  <c:v>0.81052631578947365</c:v>
                </c:pt>
                <c:pt idx="130">
                  <c:v>0.81052631578947365</c:v>
                </c:pt>
                <c:pt idx="131">
                  <c:v>0.81052631578947365</c:v>
                </c:pt>
                <c:pt idx="132">
                  <c:v>0.81052631578947365</c:v>
                </c:pt>
                <c:pt idx="133">
                  <c:v>0.81052631578947365</c:v>
                </c:pt>
                <c:pt idx="134">
                  <c:v>0.81052631578947365</c:v>
                </c:pt>
                <c:pt idx="135">
                  <c:v>0.81052631578947365</c:v>
                </c:pt>
                <c:pt idx="136">
                  <c:v>0.81052631578947365</c:v>
                </c:pt>
                <c:pt idx="137">
                  <c:v>0.81052631578947365</c:v>
                </c:pt>
                <c:pt idx="138">
                  <c:v>0.81052631578947365</c:v>
                </c:pt>
                <c:pt idx="139">
                  <c:v>0.81052631578947365</c:v>
                </c:pt>
                <c:pt idx="140">
                  <c:v>0.81052631578947365</c:v>
                </c:pt>
                <c:pt idx="141">
                  <c:v>0.81052631578947365</c:v>
                </c:pt>
                <c:pt idx="142">
                  <c:v>0.81052631578947365</c:v>
                </c:pt>
                <c:pt idx="143">
                  <c:v>0.81052631578947365</c:v>
                </c:pt>
                <c:pt idx="144">
                  <c:v>0.81052631578947365</c:v>
                </c:pt>
                <c:pt idx="145">
                  <c:v>0.81052631578947365</c:v>
                </c:pt>
                <c:pt idx="146">
                  <c:v>0.81052631578947365</c:v>
                </c:pt>
                <c:pt idx="147">
                  <c:v>0.81052631578947365</c:v>
                </c:pt>
                <c:pt idx="148">
                  <c:v>0.81052631578947365</c:v>
                </c:pt>
                <c:pt idx="149">
                  <c:v>0.81052631578947365</c:v>
                </c:pt>
                <c:pt idx="150">
                  <c:v>0.81052631578947365</c:v>
                </c:pt>
                <c:pt idx="151">
                  <c:v>0.81052631578947365</c:v>
                </c:pt>
                <c:pt idx="152">
                  <c:v>0.81052631578947365</c:v>
                </c:pt>
                <c:pt idx="153">
                  <c:v>0.81052631578947365</c:v>
                </c:pt>
                <c:pt idx="154">
                  <c:v>0.81052631578947365</c:v>
                </c:pt>
                <c:pt idx="155">
                  <c:v>0.81052631578947365</c:v>
                </c:pt>
                <c:pt idx="156">
                  <c:v>0.81052631578947365</c:v>
                </c:pt>
                <c:pt idx="157">
                  <c:v>0.81052631578947365</c:v>
                </c:pt>
                <c:pt idx="158">
                  <c:v>0.81052631578947365</c:v>
                </c:pt>
                <c:pt idx="159">
                  <c:v>0.81052631578947365</c:v>
                </c:pt>
                <c:pt idx="160">
                  <c:v>0.81052631578947365</c:v>
                </c:pt>
                <c:pt idx="161">
                  <c:v>0.81052631578947365</c:v>
                </c:pt>
                <c:pt idx="162">
                  <c:v>0.81052631578947365</c:v>
                </c:pt>
                <c:pt idx="163">
                  <c:v>0.81052631578947365</c:v>
                </c:pt>
                <c:pt idx="164">
                  <c:v>0.81052631578947365</c:v>
                </c:pt>
                <c:pt idx="165">
                  <c:v>0.81052631578947365</c:v>
                </c:pt>
                <c:pt idx="166">
                  <c:v>0.81052631578947365</c:v>
                </c:pt>
                <c:pt idx="167">
                  <c:v>0.81052631578947365</c:v>
                </c:pt>
                <c:pt idx="168">
                  <c:v>0.81052631578947365</c:v>
                </c:pt>
                <c:pt idx="169">
                  <c:v>0.81052631578947365</c:v>
                </c:pt>
                <c:pt idx="170">
                  <c:v>0.81052631578947365</c:v>
                </c:pt>
                <c:pt idx="171">
                  <c:v>0.81052631578947365</c:v>
                </c:pt>
                <c:pt idx="172">
                  <c:v>0.81052631578947365</c:v>
                </c:pt>
                <c:pt idx="173">
                  <c:v>0.81052631578947365</c:v>
                </c:pt>
                <c:pt idx="174">
                  <c:v>0.81052631578947365</c:v>
                </c:pt>
                <c:pt idx="175">
                  <c:v>0.81052631578947365</c:v>
                </c:pt>
                <c:pt idx="176">
                  <c:v>0.81052631578947365</c:v>
                </c:pt>
                <c:pt idx="177">
                  <c:v>0.81052631578947365</c:v>
                </c:pt>
                <c:pt idx="178">
                  <c:v>0.81052631578947365</c:v>
                </c:pt>
                <c:pt idx="179">
                  <c:v>0.81052631578947365</c:v>
                </c:pt>
                <c:pt idx="180">
                  <c:v>0.81052631578947365</c:v>
                </c:pt>
                <c:pt idx="181">
                  <c:v>0.81052631578947365</c:v>
                </c:pt>
                <c:pt idx="182">
                  <c:v>0.81052631578947365</c:v>
                </c:pt>
                <c:pt idx="183">
                  <c:v>0.81052631578947365</c:v>
                </c:pt>
                <c:pt idx="184">
                  <c:v>0.81052631578947365</c:v>
                </c:pt>
                <c:pt idx="185">
                  <c:v>0.81052631578947365</c:v>
                </c:pt>
                <c:pt idx="186">
                  <c:v>0.81052631578947365</c:v>
                </c:pt>
                <c:pt idx="187">
                  <c:v>0.81052631578947365</c:v>
                </c:pt>
              </c:numCache>
            </c:numRef>
          </c:val>
          <c:extLst>
            <c:ext xmlns:c16="http://schemas.microsoft.com/office/drawing/2014/chart" uri="{C3380CC4-5D6E-409C-BE32-E72D297353CC}">
              <c16:uniqueId val="{00000015-4841-4CDE-A94B-DAB637A53CBE}"/>
            </c:ext>
          </c:extLst>
        </c:ser>
        <c:ser>
          <c:idx val="20"/>
          <c:order val="20"/>
          <c:tx>
            <c:strRef>
              <c:f>Calc!$A$124</c:f>
              <c:strCache>
                <c:ptCount val="1"/>
                <c:pt idx="0">
                  <c:v>Available now &gt; SEI</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Calc!$K$227:$GP$227</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2.1982170285728131E-4</c:v>
                </c:pt>
                <c:pt idx="112">
                  <c:v>8.7880359562042543E-4</c:v>
                </c:pt>
                <c:pt idx="113">
                  <c:v>1.975497093070544E-3</c:v>
                </c:pt>
                <c:pt idx="114">
                  <c:v>3.5074914248847122E-3</c:v>
                </c:pt>
                <c:pt idx="115">
                  <c:v>5.4714189350377751E-3</c:v>
                </c:pt>
                <c:pt idx="116">
                  <c:v>7.8629624846326962E-3</c:v>
                </c:pt>
                <c:pt idx="117">
                  <c:v>1.0676864941912889E-2</c:v>
                </c:pt>
                <c:pt idx="118">
                  <c:v>1.3906940738582563E-2</c:v>
                </c:pt>
                <c:pt idx="119">
                  <c:v>1.7546089467020742E-2</c:v>
                </c:pt>
                <c:pt idx="120">
                  <c:v>2.158631148852308E-2</c:v>
                </c:pt>
                <c:pt idx="121">
                  <c:v>2.6018725518241581E-2</c:v>
                </c:pt>
                <c:pt idx="122">
                  <c:v>3.0833588148180269E-2</c:v>
                </c:pt>
                <c:pt idx="123">
                  <c:v>3.6020315265315794E-2</c:v>
                </c:pt>
                <c:pt idx="124">
                  <c:v>4.1567505317774867E-2</c:v>
                </c:pt>
                <c:pt idx="125">
                  <c:v>4.7462964377923633E-2</c:v>
                </c:pt>
                <c:pt idx="126">
                  <c:v>5.3693732947265538E-2</c:v>
                </c:pt>
                <c:pt idx="127">
                  <c:v>6.0246114444232113E-2</c:v>
                </c:pt>
                <c:pt idx="128">
                  <c:v>6.7105705312235031E-2</c:v>
                </c:pt>
                <c:pt idx="129">
                  <c:v>7.4257426681823446E-2</c:v>
                </c:pt>
                <c:pt idx="130">
                  <c:v>8.168555751729567E-2</c:v>
                </c:pt>
                <c:pt idx="131">
                  <c:v>8.9373769174960316E-2</c:v>
                </c:pt>
                <c:pt idx="132">
                  <c:v>9.730516129703215E-2</c:v>
                </c:pt>
                <c:pt idx="133">
                  <c:v>0.10546229896228709</c:v>
                </c:pt>
                <c:pt idx="134">
                  <c:v>0.11382725101180569</c:v>
                </c:pt>
                <c:pt idx="135">
                  <c:v>0.12238162946554976</c:v>
                </c:pt>
                <c:pt idx="136">
                  <c:v>0.13110662994313316</c:v>
                </c:pt>
                <c:pt idx="137">
                  <c:v>0.13998307299993229</c:v>
                </c:pt>
                <c:pt idx="138">
                  <c:v>0.14899144628766514</c:v>
                </c:pt>
                <c:pt idx="139">
                  <c:v>0.15811194744677159</c:v>
                </c:pt>
                <c:pt idx="140">
                  <c:v>0.16732452763629446</c:v>
                </c:pt>
                <c:pt idx="141">
                  <c:v>0.17660893560558399</c:v>
                </c:pt>
                <c:pt idx="142">
                  <c:v>0.18594476221094158</c:v>
                </c:pt>
                <c:pt idx="143">
                  <c:v>0.1953114852793485</c:v>
                </c:pt>
                <c:pt idx="144">
                  <c:v>0.20468851472065186</c:v>
                </c:pt>
                <c:pt idx="145">
                  <c:v>0.21405523778905877</c:v>
                </c:pt>
                <c:pt idx="146">
                  <c:v>0.22339106439441636</c:v>
                </c:pt>
                <c:pt idx="147">
                  <c:v>0.23267547236370589</c:v>
                </c:pt>
                <c:pt idx="148">
                  <c:v>0.24188805255322876</c:v>
                </c:pt>
                <c:pt idx="149">
                  <c:v>0.25100855371233521</c:v>
                </c:pt>
                <c:pt idx="150">
                  <c:v>0.26001692700006807</c:v>
                </c:pt>
                <c:pt idx="151">
                  <c:v>0.2688933700568672</c:v>
                </c:pt>
                <c:pt idx="152">
                  <c:v>0.2776183705344506</c:v>
                </c:pt>
                <c:pt idx="153">
                  <c:v>0.28617274898819467</c:v>
                </c:pt>
                <c:pt idx="154">
                  <c:v>0.29453770103771326</c:v>
                </c:pt>
                <c:pt idx="155">
                  <c:v>0.30269483870296909</c:v>
                </c:pt>
                <c:pt idx="156">
                  <c:v>0.31062623082504004</c:v>
                </c:pt>
                <c:pt idx="157">
                  <c:v>0.31831444248270468</c:v>
                </c:pt>
                <c:pt idx="158">
                  <c:v>0.32574257331817691</c:v>
                </c:pt>
                <c:pt idx="159">
                  <c:v>0.33289429468776532</c:v>
                </c:pt>
                <c:pt idx="160">
                  <c:v>0.33975388555576824</c:v>
                </c:pt>
                <c:pt idx="161">
                  <c:v>0.34630626705273393</c:v>
                </c:pt>
                <c:pt idx="162">
                  <c:v>0.35253703562207672</c:v>
                </c:pt>
                <c:pt idx="163">
                  <c:v>0.35843249468222549</c:v>
                </c:pt>
                <c:pt idx="164">
                  <c:v>0.36397968473468456</c:v>
                </c:pt>
                <c:pt idx="165">
                  <c:v>0.36916641185182009</c:v>
                </c:pt>
                <c:pt idx="166">
                  <c:v>0.37398127448175877</c:v>
                </c:pt>
                <c:pt idx="167">
                  <c:v>0.37841368851147728</c:v>
                </c:pt>
                <c:pt idx="168">
                  <c:v>0.38245391053297961</c:v>
                </c:pt>
                <c:pt idx="169">
                  <c:v>0.38609305926141779</c:v>
                </c:pt>
                <c:pt idx="170">
                  <c:v>0.38932313505808747</c:v>
                </c:pt>
                <c:pt idx="171">
                  <c:v>0.39213703751536855</c:v>
                </c:pt>
                <c:pt idx="172">
                  <c:v>0.39452858106496258</c:v>
                </c:pt>
                <c:pt idx="173">
                  <c:v>0.39649250857511564</c:v>
                </c:pt>
                <c:pt idx="174">
                  <c:v>0.39802450290692981</c:v>
                </c:pt>
                <c:pt idx="175">
                  <c:v>0.39912119640437993</c:v>
                </c:pt>
                <c:pt idx="176">
                  <c:v>0.39978017829714307</c:v>
                </c:pt>
                <c:pt idx="177">
                  <c:v>0.40000000000000036</c:v>
                </c:pt>
                <c:pt idx="178">
                  <c:v>0.40000000000000036</c:v>
                </c:pt>
                <c:pt idx="179">
                  <c:v>0.40000000000000036</c:v>
                </c:pt>
                <c:pt idx="180">
                  <c:v>0.40000000000000036</c:v>
                </c:pt>
                <c:pt idx="181">
                  <c:v>0.40000000000000036</c:v>
                </c:pt>
                <c:pt idx="182">
                  <c:v>0.40000000000000036</c:v>
                </c:pt>
                <c:pt idx="183">
                  <c:v>0.40000000000000036</c:v>
                </c:pt>
                <c:pt idx="184">
                  <c:v>0.40000000000000036</c:v>
                </c:pt>
                <c:pt idx="185">
                  <c:v>0.40000000000000036</c:v>
                </c:pt>
                <c:pt idx="186">
                  <c:v>0.40000000000000036</c:v>
                </c:pt>
                <c:pt idx="187">
                  <c:v>0.40000000000000036</c:v>
                </c:pt>
              </c:numCache>
            </c:numRef>
          </c:val>
          <c:extLst>
            <c:ext xmlns:c16="http://schemas.microsoft.com/office/drawing/2014/chart" uri="{C3380CC4-5D6E-409C-BE32-E72D297353CC}">
              <c16:uniqueId val="{00000016-4841-4CDE-A94B-DAB637A53CBE}"/>
            </c:ext>
          </c:extLst>
        </c:ser>
        <c:ser>
          <c:idx val="21"/>
          <c:order val="21"/>
          <c:tx>
            <c:strRef>
              <c:f>Calc!$A$124</c:f>
              <c:strCache>
                <c:ptCount val="1"/>
                <c:pt idx="0">
                  <c:v>Available now &gt; SEI</c:v>
                </c:pt>
              </c:strCache>
            </c:strRef>
          </c:tx>
          <c:spPr>
            <a:solidFill>
              <a:srgbClr val="4E85E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Calc!$K$177:$GP$177</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1.6210526315789473</c:v>
                </c:pt>
                <c:pt idx="111">
                  <c:v>1.6210526315789473</c:v>
                </c:pt>
                <c:pt idx="112">
                  <c:v>1.6210526315789473</c:v>
                </c:pt>
                <c:pt idx="113">
                  <c:v>1.6210526315789473</c:v>
                </c:pt>
                <c:pt idx="114">
                  <c:v>1.6210526315789473</c:v>
                </c:pt>
                <c:pt idx="115">
                  <c:v>1.6210526315789473</c:v>
                </c:pt>
                <c:pt idx="116">
                  <c:v>1.6210526315789473</c:v>
                </c:pt>
                <c:pt idx="117">
                  <c:v>1.6210526315789473</c:v>
                </c:pt>
                <c:pt idx="118">
                  <c:v>1.6210526315789473</c:v>
                </c:pt>
                <c:pt idx="119">
                  <c:v>1.6210526315789473</c:v>
                </c:pt>
                <c:pt idx="120">
                  <c:v>1.6210526315789473</c:v>
                </c:pt>
                <c:pt idx="121">
                  <c:v>1.6210526315789473</c:v>
                </c:pt>
                <c:pt idx="122">
                  <c:v>1.6210526315789473</c:v>
                </c:pt>
                <c:pt idx="123">
                  <c:v>1.6210526315789473</c:v>
                </c:pt>
                <c:pt idx="124">
                  <c:v>1.6210526315789473</c:v>
                </c:pt>
                <c:pt idx="125">
                  <c:v>1.6210526315789473</c:v>
                </c:pt>
                <c:pt idx="126">
                  <c:v>1.6210526315789473</c:v>
                </c:pt>
                <c:pt idx="127">
                  <c:v>1.6210526315789473</c:v>
                </c:pt>
                <c:pt idx="128">
                  <c:v>1.6210526315789473</c:v>
                </c:pt>
                <c:pt idx="129">
                  <c:v>1.6210526315789473</c:v>
                </c:pt>
                <c:pt idx="130">
                  <c:v>1.6210526315789473</c:v>
                </c:pt>
                <c:pt idx="131">
                  <c:v>1.6210526315789473</c:v>
                </c:pt>
                <c:pt idx="132">
                  <c:v>1.6210526315789473</c:v>
                </c:pt>
                <c:pt idx="133">
                  <c:v>1.6210526315789473</c:v>
                </c:pt>
                <c:pt idx="134">
                  <c:v>1.6210526315789473</c:v>
                </c:pt>
                <c:pt idx="135">
                  <c:v>1.6210526315789473</c:v>
                </c:pt>
                <c:pt idx="136">
                  <c:v>1.6210526315789473</c:v>
                </c:pt>
                <c:pt idx="137">
                  <c:v>1.6210526315789473</c:v>
                </c:pt>
                <c:pt idx="138">
                  <c:v>1.6210526315789473</c:v>
                </c:pt>
                <c:pt idx="139">
                  <c:v>1.6210526315789473</c:v>
                </c:pt>
                <c:pt idx="140">
                  <c:v>1.6210526315789473</c:v>
                </c:pt>
                <c:pt idx="141">
                  <c:v>1.6210526315789473</c:v>
                </c:pt>
                <c:pt idx="142">
                  <c:v>1.6210526315789473</c:v>
                </c:pt>
                <c:pt idx="143">
                  <c:v>1.6210526315789473</c:v>
                </c:pt>
                <c:pt idx="144">
                  <c:v>1.6210526315789473</c:v>
                </c:pt>
                <c:pt idx="145">
                  <c:v>1.6210526315789473</c:v>
                </c:pt>
                <c:pt idx="146">
                  <c:v>1.6210526315789473</c:v>
                </c:pt>
                <c:pt idx="147">
                  <c:v>1.6210526315789473</c:v>
                </c:pt>
                <c:pt idx="148">
                  <c:v>1.6210526315789473</c:v>
                </c:pt>
                <c:pt idx="149">
                  <c:v>1.6210526315789473</c:v>
                </c:pt>
                <c:pt idx="150">
                  <c:v>1.6210526315789473</c:v>
                </c:pt>
                <c:pt idx="151">
                  <c:v>1.6210526315789473</c:v>
                </c:pt>
                <c:pt idx="152">
                  <c:v>1.6210526315789473</c:v>
                </c:pt>
                <c:pt idx="153">
                  <c:v>1.6210526315789473</c:v>
                </c:pt>
                <c:pt idx="154">
                  <c:v>1.6210526315789473</c:v>
                </c:pt>
                <c:pt idx="155">
                  <c:v>1.6210526315789473</c:v>
                </c:pt>
                <c:pt idx="156">
                  <c:v>1.6210526315789473</c:v>
                </c:pt>
                <c:pt idx="157">
                  <c:v>1.6210526315789473</c:v>
                </c:pt>
                <c:pt idx="158">
                  <c:v>1.6210526315789473</c:v>
                </c:pt>
                <c:pt idx="159">
                  <c:v>1.6210526315789473</c:v>
                </c:pt>
                <c:pt idx="160">
                  <c:v>1.6210526315789473</c:v>
                </c:pt>
                <c:pt idx="161">
                  <c:v>1.6210526315789473</c:v>
                </c:pt>
                <c:pt idx="162">
                  <c:v>1.6210526315789473</c:v>
                </c:pt>
                <c:pt idx="163">
                  <c:v>1.6210526315789473</c:v>
                </c:pt>
                <c:pt idx="164">
                  <c:v>1.6210526315789473</c:v>
                </c:pt>
                <c:pt idx="165">
                  <c:v>1.6210526315789473</c:v>
                </c:pt>
                <c:pt idx="166">
                  <c:v>1.6210526315789473</c:v>
                </c:pt>
                <c:pt idx="167">
                  <c:v>1.6210526315789473</c:v>
                </c:pt>
                <c:pt idx="168">
                  <c:v>1.6210526315789473</c:v>
                </c:pt>
                <c:pt idx="169">
                  <c:v>1.6210526315789473</c:v>
                </c:pt>
                <c:pt idx="170">
                  <c:v>1.6210526315789473</c:v>
                </c:pt>
                <c:pt idx="171">
                  <c:v>1.6210526315789473</c:v>
                </c:pt>
                <c:pt idx="172">
                  <c:v>1.6210526315789473</c:v>
                </c:pt>
                <c:pt idx="173">
                  <c:v>1.6210526315789473</c:v>
                </c:pt>
                <c:pt idx="174">
                  <c:v>1.6210526315789473</c:v>
                </c:pt>
                <c:pt idx="175">
                  <c:v>1.6210526315789473</c:v>
                </c:pt>
                <c:pt idx="176">
                  <c:v>1.6210526315789473</c:v>
                </c:pt>
                <c:pt idx="177">
                  <c:v>1.6210526315789473</c:v>
                </c:pt>
                <c:pt idx="178">
                  <c:v>1.6210526315789473</c:v>
                </c:pt>
                <c:pt idx="179">
                  <c:v>1.6210526315789473</c:v>
                </c:pt>
                <c:pt idx="180">
                  <c:v>1.6210526315789473</c:v>
                </c:pt>
                <c:pt idx="181">
                  <c:v>1.6210526315789473</c:v>
                </c:pt>
                <c:pt idx="182">
                  <c:v>1.6210526315789473</c:v>
                </c:pt>
                <c:pt idx="183">
                  <c:v>1.6210526315789473</c:v>
                </c:pt>
                <c:pt idx="184">
                  <c:v>1.6210526315789473</c:v>
                </c:pt>
                <c:pt idx="185">
                  <c:v>1.6210526315789473</c:v>
                </c:pt>
                <c:pt idx="186">
                  <c:v>1.6210526315789473</c:v>
                </c:pt>
                <c:pt idx="187">
                  <c:v>1.6210526315789473</c:v>
                </c:pt>
              </c:numCache>
            </c:numRef>
          </c:val>
          <c:extLst>
            <c:ext xmlns:c16="http://schemas.microsoft.com/office/drawing/2014/chart" uri="{C3380CC4-5D6E-409C-BE32-E72D297353CC}">
              <c16:uniqueId val="{00000017-4841-4CDE-A94B-DAB637A53CBE}"/>
            </c:ext>
          </c:extLst>
        </c:ser>
        <c:ser>
          <c:idx val="22"/>
          <c:order val="22"/>
          <c:tx>
            <c:strRef>
              <c:f>Calc!$A$125</c:f>
              <c:strCache>
                <c:ptCount val="1"/>
                <c:pt idx="0">
                  <c:v>Available now &gt; M&amp;T Bank</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Calc!$K$228:$GP$228</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2.1982170285816949E-4</c:v>
                </c:pt>
                <c:pt idx="112">
                  <c:v>8.7880359562042543E-4</c:v>
                </c:pt>
                <c:pt idx="113">
                  <c:v>1.9754970930696558E-3</c:v>
                </c:pt>
                <c:pt idx="114">
                  <c:v>3.5074914248847122E-3</c:v>
                </c:pt>
                <c:pt idx="115">
                  <c:v>5.4714189350368869E-3</c:v>
                </c:pt>
                <c:pt idx="116">
                  <c:v>7.862962484631808E-3</c:v>
                </c:pt>
                <c:pt idx="117">
                  <c:v>1.0676864941912889E-2</c:v>
                </c:pt>
                <c:pt idx="118">
                  <c:v>1.3906940738583451E-2</c:v>
                </c:pt>
                <c:pt idx="119">
                  <c:v>1.7546089467020742E-2</c:v>
                </c:pt>
                <c:pt idx="120">
                  <c:v>2.1586311488522192E-2</c:v>
                </c:pt>
                <c:pt idx="121">
                  <c:v>2.6018725518242469E-2</c:v>
                </c:pt>
                <c:pt idx="122">
                  <c:v>3.0833588148180269E-2</c:v>
                </c:pt>
                <c:pt idx="123">
                  <c:v>3.6020315265314906E-2</c:v>
                </c:pt>
                <c:pt idx="124">
                  <c:v>4.1567505317773978E-2</c:v>
                </c:pt>
                <c:pt idx="125">
                  <c:v>4.7462964377923633E-2</c:v>
                </c:pt>
                <c:pt idx="126">
                  <c:v>5.3693732947266426E-2</c:v>
                </c:pt>
                <c:pt idx="127">
                  <c:v>6.0246114444231225E-2</c:v>
                </c:pt>
                <c:pt idx="128">
                  <c:v>6.7105705312235919E-2</c:v>
                </c:pt>
                <c:pt idx="129">
                  <c:v>7.4257426681822558E-2</c:v>
                </c:pt>
                <c:pt idx="130">
                  <c:v>8.1685557517294782E-2</c:v>
                </c:pt>
                <c:pt idx="131">
                  <c:v>8.9373769174959428E-2</c:v>
                </c:pt>
                <c:pt idx="132">
                  <c:v>9.7305161297031262E-2</c:v>
                </c:pt>
                <c:pt idx="133">
                  <c:v>0.10546229896228709</c:v>
                </c:pt>
                <c:pt idx="134">
                  <c:v>0.11382725101180569</c:v>
                </c:pt>
                <c:pt idx="135">
                  <c:v>0.12238162946555065</c:v>
                </c:pt>
                <c:pt idx="136">
                  <c:v>0.13110662994313316</c:v>
                </c:pt>
                <c:pt idx="137">
                  <c:v>0.1399830729999314</c:v>
                </c:pt>
                <c:pt idx="138">
                  <c:v>0.14899144628766425</c:v>
                </c:pt>
                <c:pt idx="139">
                  <c:v>0.15811194744677071</c:v>
                </c:pt>
                <c:pt idx="140">
                  <c:v>0.16732452763629357</c:v>
                </c:pt>
                <c:pt idx="141">
                  <c:v>0.17660893560558311</c:v>
                </c:pt>
                <c:pt idx="142">
                  <c:v>0.1859447622109407</c:v>
                </c:pt>
                <c:pt idx="143">
                  <c:v>0.19531148527934761</c:v>
                </c:pt>
                <c:pt idx="144">
                  <c:v>0.20468851472065186</c:v>
                </c:pt>
                <c:pt idx="145">
                  <c:v>0.21405523778905788</c:v>
                </c:pt>
                <c:pt idx="146">
                  <c:v>0.22339106439441636</c:v>
                </c:pt>
                <c:pt idx="147">
                  <c:v>0.23267547236370589</c:v>
                </c:pt>
                <c:pt idx="148">
                  <c:v>0.24188805255322876</c:v>
                </c:pt>
                <c:pt idx="149">
                  <c:v>0.25100855371233521</c:v>
                </c:pt>
                <c:pt idx="150">
                  <c:v>0.26001692700006807</c:v>
                </c:pt>
                <c:pt idx="151">
                  <c:v>0.26889337005686542</c:v>
                </c:pt>
                <c:pt idx="152">
                  <c:v>0.27761837053444882</c:v>
                </c:pt>
                <c:pt idx="153">
                  <c:v>0.28617274898819378</c:v>
                </c:pt>
                <c:pt idx="154">
                  <c:v>0.29453770103771326</c:v>
                </c:pt>
                <c:pt idx="155">
                  <c:v>0.30269483870296732</c:v>
                </c:pt>
                <c:pt idx="156">
                  <c:v>0.31062623082504004</c:v>
                </c:pt>
                <c:pt idx="157">
                  <c:v>0.31831444248270468</c:v>
                </c:pt>
                <c:pt idx="158">
                  <c:v>0.32574257331817691</c:v>
                </c:pt>
                <c:pt idx="159">
                  <c:v>0.33289429468776355</c:v>
                </c:pt>
                <c:pt idx="160">
                  <c:v>0.33975388555576824</c:v>
                </c:pt>
                <c:pt idx="161">
                  <c:v>0.34630626705273393</c:v>
                </c:pt>
                <c:pt idx="162">
                  <c:v>0.35253703562207583</c:v>
                </c:pt>
                <c:pt idx="163">
                  <c:v>0.35843249468222549</c:v>
                </c:pt>
                <c:pt idx="164">
                  <c:v>0.36397968473468456</c:v>
                </c:pt>
                <c:pt idx="165">
                  <c:v>0.3691664118518192</c:v>
                </c:pt>
                <c:pt idx="166">
                  <c:v>0.373981274481757</c:v>
                </c:pt>
                <c:pt idx="167">
                  <c:v>0.37841368851147728</c:v>
                </c:pt>
                <c:pt idx="168">
                  <c:v>0.38245391053297872</c:v>
                </c:pt>
                <c:pt idx="169">
                  <c:v>0.3860930592614169</c:v>
                </c:pt>
                <c:pt idx="170">
                  <c:v>0.38932313505808569</c:v>
                </c:pt>
                <c:pt idx="171">
                  <c:v>0.39213703751536766</c:v>
                </c:pt>
                <c:pt idx="172">
                  <c:v>0.39452858106496258</c:v>
                </c:pt>
                <c:pt idx="173">
                  <c:v>0.39649250857511475</c:v>
                </c:pt>
                <c:pt idx="174">
                  <c:v>0.3980245029069307</c:v>
                </c:pt>
                <c:pt idx="175">
                  <c:v>0.39912119640437904</c:v>
                </c:pt>
                <c:pt idx="176">
                  <c:v>0.3997801782971413</c:v>
                </c:pt>
                <c:pt idx="177">
                  <c:v>0.39999999999999947</c:v>
                </c:pt>
                <c:pt idx="178">
                  <c:v>0.39999999999999947</c:v>
                </c:pt>
                <c:pt idx="179">
                  <c:v>0.39999999999999947</c:v>
                </c:pt>
                <c:pt idx="180">
                  <c:v>0.39999999999999947</c:v>
                </c:pt>
                <c:pt idx="181">
                  <c:v>0.39999999999999947</c:v>
                </c:pt>
                <c:pt idx="182">
                  <c:v>0.39999999999999947</c:v>
                </c:pt>
                <c:pt idx="183">
                  <c:v>0.39999999999999947</c:v>
                </c:pt>
                <c:pt idx="184">
                  <c:v>0.39999999999999947</c:v>
                </c:pt>
                <c:pt idx="185">
                  <c:v>0.39999999999999947</c:v>
                </c:pt>
                <c:pt idx="186">
                  <c:v>0.39999999999999947</c:v>
                </c:pt>
                <c:pt idx="187">
                  <c:v>0.39999999999999947</c:v>
                </c:pt>
              </c:numCache>
            </c:numRef>
          </c:val>
          <c:extLst>
            <c:ext xmlns:c16="http://schemas.microsoft.com/office/drawing/2014/chart" uri="{C3380CC4-5D6E-409C-BE32-E72D297353CC}">
              <c16:uniqueId val="{00000018-4841-4CDE-A94B-DAB637A53CBE}"/>
            </c:ext>
          </c:extLst>
        </c:ser>
        <c:ser>
          <c:idx val="23"/>
          <c:order val="23"/>
          <c:tx>
            <c:strRef>
              <c:f>Calc!$A$125</c:f>
              <c:strCache>
                <c:ptCount val="1"/>
                <c:pt idx="0">
                  <c:v>Available now &gt; M&amp;T Bank</c:v>
                </c:pt>
              </c:strCache>
            </c:strRef>
          </c:tx>
          <c:spPr>
            <a:solidFill>
              <a:srgbClr val="4E85E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Calc!$K$178:$GP$178</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0.81052631578947365</c:v>
                </c:pt>
                <c:pt idx="111">
                  <c:v>0.81052631578947365</c:v>
                </c:pt>
                <c:pt idx="112">
                  <c:v>0.81052631578947365</c:v>
                </c:pt>
                <c:pt idx="113">
                  <c:v>0.81052631578947365</c:v>
                </c:pt>
                <c:pt idx="114">
                  <c:v>0.81052631578947365</c:v>
                </c:pt>
                <c:pt idx="115">
                  <c:v>0.81052631578947365</c:v>
                </c:pt>
                <c:pt idx="116">
                  <c:v>0.81052631578947365</c:v>
                </c:pt>
                <c:pt idx="117">
                  <c:v>0.81052631578947365</c:v>
                </c:pt>
                <c:pt idx="118">
                  <c:v>0.81052631578947365</c:v>
                </c:pt>
                <c:pt idx="119">
                  <c:v>0.81052631578947365</c:v>
                </c:pt>
                <c:pt idx="120">
                  <c:v>0.81052631578947365</c:v>
                </c:pt>
                <c:pt idx="121">
                  <c:v>0.81052631578947365</c:v>
                </c:pt>
                <c:pt idx="122">
                  <c:v>0.81052631578947365</c:v>
                </c:pt>
                <c:pt idx="123">
                  <c:v>0.81052631578947365</c:v>
                </c:pt>
                <c:pt idx="124">
                  <c:v>0.81052631578947365</c:v>
                </c:pt>
                <c:pt idx="125">
                  <c:v>0.81052631578947365</c:v>
                </c:pt>
                <c:pt idx="126">
                  <c:v>0.81052631578947365</c:v>
                </c:pt>
                <c:pt idx="127">
                  <c:v>0.81052631578947365</c:v>
                </c:pt>
                <c:pt idx="128">
                  <c:v>0.81052631578947365</c:v>
                </c:pt>
                <c:pt idx="129">
                  <c:v>0.81052631578947365</c:v>
                </c:pt>
                <c:pt idx="130">
                  <c:v>0.81052631578947365</c:v>
                </c:pt>
                <c:pt idx="131">
                  <c:v>0.81052631578947365</c:v>
                </c:pt>
                <c:pt idx="132">
                  <c:v>0.81052631578947365</c:v>
                </c:pt>
                <c:pt idx="133">
                  <c:v>0.81052631578947365</c:v>
                </c:pt>
                <c:pt idx="134">
                  <c:v>0.81052631578947365</c:v>
                </c:pt>
                <c:pt idx="135">
                  <c:v>0.81052631578947365</c:v>
                </c:pt>
                <c:pt idx="136">
                  <c:v>0.81052631578947365</c:v>
                </c:pt>
                <c:pt idx="137">
                  <c:v>0.81052631578947365</c:v>
                </c:pt>
                <c:pt idx="138">
                  <c:v>0.81052631578947365</c:v>
                </c:pt>
                <c:pt idx="139">
                  <c:v>0.81052631578947365</c:v>
                </c:pt>
                <c:pt idx="140">
                  <c:v>0.81052631578947365</c:v>
                </c:pt>
                <c:pt idx="141">
                  <c:v>0.81052631578947365</c:v>
                </c:pt>
                <c:pt idx="142">
                  <c:v>0.81052631578947365</c:v>
                </c:pt>
                <c:pt idx="143">
                  <c:v>0.81052631578947365</c:v>
                </c:pt>
                <c:pt idx="144">
                  <c:v>0.81052631578947365</c:v>
                </c:pt>
                <c:pt idx="145">
                  <c:v>0.81052631578947365</c:v>
                </c:pt>
                <c:pt idx="146">
                  <c:v>0.81052631578947365</c:v>
                </c:pt>
                <c:pt idx="147">
                  <c:v>0.81052631578947365</c:v>
                </c:pt>
                <c:pt idx="148">
                  <c:v>0.81052631578947365</c:v>
                </c:pt>
                <c:pt idx="149">
                  <c:v>0.81052631578947365</c:v>
                </c:pt>
                <c:pt idx="150">
                  <c:v>0.81052631578947365</c:v>
                </c:pt>
                <c:pt idx="151">
                  <c:v>0.81052631578947365</c:v>
                </c:pt>
                <c:pt idx="152">
                  <c:v>0.81052631578947365</c:v>
                </c:pt>
                <c:pt idx="153">
                  <c:v>0.81052631578947365</c:v>
                </c:pt>
                <c:pt idx="154">
                  <c:v>0.81052631578947365</c:v>
                </c:pt>
                <c:pt idx="155">
                  <c:v>0.81052631578947365</c:v>
                </c:pt>
                <c:pt idx="156">
                  <c:v>0.81052631578947365</c:v>
                </c:pt>
                <c:pt idx="157">
                  <c:v>0.81052631578947365</c:v>
                </c:pt>
                <c:pt idx="158">
                  <c:v>0.81052631578947365</c:v>
                </c:pt>
                <c:pt idx="159">
                  <c:v>0.81052631578947365</c:v>
                </c:pt>
                <c:pt idx="160">
                  <c:v>0.81052631578947365</c:v>
                </c:pt>
                <c:pt idx="161">
                  <c:v>0.81052631578947365</c:v>
                </c:pt>
                <c:pt idx="162">
                  <c:v>0.81052631578947365</c:v>
                </c:pt>
                <c:pt idx="163">
                  <c:v>0.81052631578947365</c:v>
                </c:pt>
                <c:pt idx="164">
                  <c:v>0.81052631578947365</c:v>
                </c:pt>
                <c:pt idx="165">
                  <c:v>0.81052631578947365</c:v>
                </c:pt>
                <c:pt idx="166">
                  <c:v>0.81052631578947365</c:v>
                </c:pt>
                <c:pt idx="167">
                  <c:v>0.81052631578947365</c:v>
                </c:pt>
                <c:pt idx="168">
                  <c:v>0.81052631578947365</c:v>
                </c:pt>
                <c:pt idx="169">
                  <c:v>0.81052631578947365</c:v>
                </c:pt>
                <c:pt idx="170">
                  <c:v>0.81052631578947365</c:v>
                </c:pt>
                <c:pt idx="171">
                  <c:v>0.81052631578947365</c:v>
                </c:pt>
                <c:pt idx="172">
                  <c:v>0.81052631578947365</c:v>
                </c:pt>
                <c:pt idx="173">
                  <c:v>0.81052631578947365</c:v>
                </c:pt>
                <c:pt idx="174">
                  <c:v>0.81052631578947365</c:v>
                </c:pt>
                <c:pt idx="175">
                  <c:v>0.81052631578947365</c:v>
                </c:pt>
                <c:pt idx="176">
                  <c:v>0.81052631578947365</c:v>
                </c:pt>
                <c:pt idx="177">
                  <c:v>0.81052631578947365</c:v>
                </c:pt>
                <c:pt idx="178">
                  <c:v>0.81052631578947365</c:v>
                </c:pt>
                <c:pt idx="179">
                  <c:v>0.81052631578947365</c:v>
                </c:pt>
                <c:pt idx="180">
                  <c:v>0.81052631578947365</c:v>
                </c:pt>
                <c:pt idx="181">
                  <c:v>0.81052631578947365</c:v>
                </c:pt>
                <c:pt idx="182">
                  <c:v>0.81052631578947365</c:v>
                </c:pt>
                <c:pt idx="183">
                  <c:v>0.81052631578947365</c:v>
                </c:pt>
                <c:pt idx="184">
                  <c:v>0.81052631578947365</c:v>
                </c:pt>
                <c:pt idx="185">
                  <c:v>0.81052631578947365</c:v>
                </c:pt>
                <c:pt idx="186">
                  <c:v>0.81052631578947365</c:v>
                </c:pt>
                <c:pt idx="187">
                  <c:v>0.81052631578947365</c:v>
                </c:pt>
              </c:numCache>
            </c:numRef>
          </c:val>
          <c:extLst>
            <c:ext xmlns:c16="http://schemas.microsoft.com/office/drawing/2014/chart" uri="{C3380CC4-5D6E-409C-BE32-E72D297353CC}">
              <c16:uniqueId val="{00000019-4841-4CDE-A94B-DAB637A53CBE}"/>
            </c:ext>
          </c:extLst>
        </c:ser>
        <c:ser>
          <c:idx val="24"/>
          <c:order val="24"/>
          <c:tx>
            <c:strRef>
              <c:f>Calc!$A$126</c:f>
              <c:strCache>
                <c:ptCount val="1"/>
                <c:pt idx="0">
                  <c:v>Available now &gt; Peabody</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Calc!$K$229:$GP$229</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2.1982170285728131E-4</c:v>
                </c:pt>
                <c:pt idx="112">
                  <c:v>8.7880359562042543E-4</c:v>
                </c:pt>
                <c:pt idx="113">
                  <c:v>1.9754970930696558E-3</c:v>
                </c:pt>
                <c:pt idx="114">
                  <c:v>3.5074914248847122E-3</c:v>
                </c:pt>
                <c:pt idx="115">
                  <c:v>5.4714189350377751E-3</c:v>
                </c:pt>
                <c:pt idx="116">
                  <c:v>7.862962484631808E-3</c:v>
                </c:pt>
                <c:pt idx="117">
                  <c:v>1.0676864941913777E-2</c:v>
                </c:pt>
                <c:pt idx="118">
                  <c:v>1.3906940738582563E-2</c:v>
                </c:pt>
                <c:pt idx="119">
                  <c:v>1.7546089467020742E-2</c:v>
                </c:pt>
                <c:pt idx="120">
                  <c:v>2.158631148852308E-2</c:v>
                </c:pt>
                <c:pt idx="121">
                  <c:v>2.6018725518241581E-2</c:v>
                </c:pt>
                <c:pt idx="122">
                  <c:v>3.0833588148180269E-2</c:v>
                </c:pt>
                <c:pt idx="123">
                  <c:v>3.6020315265314906E-2</c:v>
                </c:pt>
                <c:pt idx="124">
                  <c:v>4.1567505317773978E-2</c:v>
                </c:pt>
                <c:pt idx="125">
                  <c:v>4.7462964377923633E-2</c:v>
                </c:pt>
                <c:pt idx="126">
                  <c:v>5.3693732947266426E-2</c:v>
                </c:pt>
                <c:pt idx="127">
                  <c:v>6.0246114444232113E-2</c:v>
                </c:pt>
                <c:pt idx="128">
                  <c:v>6.7105705312235919E-2</c:v>
                </c:pt>
                <c:pt idx="129">
                  <c:v>7.4257426681823446E-2</c:v>
                </c:pt>
                <c:pt idx="130">
                  <c:v>8.168555751729567E-2</c:v>
                </c:pt>
                <c:pt idx="131">
                  <c:v>8.9373769174960316E-2</c:v>
                </c:pt>
                <c:pt idx="132">
                  <c:v>9.7305161297031262E-2</c:v>
                </c:pt>
                <c:pt idx="133">
                  <c:v>0.10546229896228621</c:v>
                </c:pt>
                <c:pt idx="134">
                  <c:v>0.11382725101180569</c:v>
                </c:pt>
                <c:pt idx="135">
                  <c:v>0.12238162946554976</c:v>
                </c:pt>
                <c:pt idx="136">
                  <c:v>0.13110662994313405</c:v>
                </c:pt>
                <c:pt idx="137">
                  <c:v>0.13998307299993229</c:v>
                </c:pt>
                <c:pt idx="138">
                  <c:v>0.14899144628766425</c:v>
                </c:pt>
                <c:pt idx="139">
                  <c:v>0.15811194744677071</c:v>
                </c:pt>
                <c:pt idx="140">
                  <c:v>0.16732452763629357</c:v>
                </c:pt>
                <c:pt idx="141">
                  <c:v>0.17660893560558399</c:v>
                </c:pt>
                <c:pt idx="142">
                  <c:v>0.18594476221094247</c:v>
                </c:pt>
                <c:pt idx="143">
                  <c:v>0.19531148527934938</c:v>
                </c:pt>
                <c:pt idx="144">
                  <c:v>0.20468851472065275</c:v>
                </c:pt>
                <c:pt idx="145">
                  <c:v>0.21405523778905966</c:v>
                </c:pt>
                <c:pt idx="146">
                  <c:v>0.22339106439441636</c:v>
                </c:pt>
                <c:pt idx="147">
                  <c:v>0.23267547236370589</c:v>
                </c:pt>
                <c:pt idx="148">
                  <c:v>0.24188805255322876</c:v>
                </c:pt>
                <c:pt idx="149">
                  <c:v>0.25100855371233521</c:v>
                </c:pt>
                <c:pt idx="150">
                  <c:v>0.26001692700006807</c:v>
                </c:pt>
                <c:pt idx="151">
                  <c:v>0.2688933700568672</c:v>
                </c:pt>
                <c:pt idx="152">
                  <c:v>0.27761837053445149</c:v>
                </c:pt>
                <c:pt idx="153">
                  <c:v>0.28617274898819467</c:v>
                </c:pt>
                <c:pt idx="154">
                  <c:v>0.29453770103771326</c:v>
                </c:pt>
                <c:pt idx="155">
                  <c:v>0.30269483870296909</c:v>
                </c:pt>
                <c:pt idx="156">
                  <c:v>0.31062623082504004</c:v>
                </c:pt>
                <c:pt idx="157">
                  <c:v>0.31831444248270557</c:v>
                </c:pt>
                <c:pt idx="158">
                  <c:v>0.32574257331817691</c:v>
                </c:pt>
                <c:pt idx="159">
                  <c:v>0.33289429468776532</c:v>
                </c:pt>
                <c:pt idx="160">
                  <c:v>0.33975388555576913</c:v>
                </c:pt>
                <c:pt idx="161">
                  <c:v>0.34630626705273393</c:v>
                </c:pt>
                <c:pt idx="162">
                  <c:v>0.35253703562207761</c:v>
                </c:pt>
                <c:pt idx="163">
                  <c:v>0.35843249468222815</c:v>
                </c:pt>
                <c:pt idx="164">
                  <c:v>0.36397968473468545</c:v>
                </c:pt>
                <c:pt idx="165">
                  <c:v>0.36916641185182009</c:v>
                </c:pt>
                <c:pt idx="166">
                  <c:v>0.37398127448175877</c:v>
                </c:pt>
                <c:pt idx="167">
                  <c:v>0.37841368851147728</c:v>
                </c:pt>
                <c:pt idx="168">
                  <c:v>0.3824539105329805</c:v>
                </c:pt>
                <c:pt idx="169">
                  <c:v>0.38609305926141779</c:v>
                </c:pt>
                <c:pt idx="170">
                  <c:v>0.38932313505808835</c:v>
                </c:pt>
                <c:pt idx="171">
                  <c:v>0.39213703751536855</c:v>
                </c:pt>
                <c:pt idx="172">
                  <c:v>0.39452858106496258</c:v>
                </c:pt>
                <c:pt idx="173">
                  <c:v>0.39649250857511475</c:v>
                </c:pt>
                <c:pt idx="174">
                  <c:v>0.39802450290692981</c:v>
                </c:pt>
                <c:pt idx="175">
                  <c:v>0.39912119640437993</c:v>
                </c:pt>
                <c:pt idx="176">
                  <c:v>0.39978017829714219</c:v>
                </c:pt>
                <c:pt idx="177">
                  <c:v>0.40000000000000036</c:v>
                </c:pt>
                <c:pt idx="178">
                  <c:v>0.40000000000000036</c:v>
                </c:pt>
                <c:pt idx="179">
                  <c:v>0.40000000000000036</c:v>
                </c:pt>
                <c:pt idx="180">
                  <c:v>0.40000000000000036</c:v>
                </c:pt>
                <c:pt idx="181">
                  <c:v>0.40000000000000036</c:v>
                </c:pt>
                <c:pt idx="182">
                  <c:v>0.40000000000000036</c:v>
                </c:pt>
                <c:pt idx="183">
                  <c:v>0.40000000000000036</c:v>
                </c:pt>
                <c:pt idx="184">
                  <c:v>0.40000000000000036</c:v>
                </c:pt>
                <c:pt idx="185">
                  <c:v>0.40000000000000036</c:v>
                </c:pt>
                <c:pt idx="186">
                  <c:v>0.40000000000000036</c:v>
                </c:pt>
                <c:pt idx="187">
                  <c:v>0.40000000000000036</c:v>
                </c:pt>
              </c:numCache>
            </c:numRef>
          </c:val>
          <c:extLst>
            <c:ext xmlns:c16="http://schemas.microsoft.com/office/drawing/2014/chart" uri="{C3380CC4-5D6E-409C-BE32-E72D297353CC}">
              <c16:uniqueId val="{0000001A-4841-4CDE-A94B-DAB637A53CBE}"/>
            </c:ext>
          </c:extLst>
        </c:ser>
        <c:ser>
          <c:idx val="25"/>
          <c:order val="25"/>
          <c:tx>
            <c:strRef>
              <c:f>Calc!$A$126</c:f>
              <c:strCache>
                <c:ptCount val="1"/>
                <c:pt idx="0">
                  <c:v>Available now &gt; Peabody</c:v>
                </c:pt>
              </c:strCache>
            </c:strRef>
          </c:tx>
          <c:spPr>
            <a:solidFill>
              <a:srgbClr val="4E85E3"/>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Calc!$K$179:$GP$179</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0.81052631578947365</c:v>
                </c:pt>
                <c:pt idx="111">
                  <c:v>0.81052631578947365</c:v>
                </c:pt>
                <c:pt idx="112">
                  <c:v>0.81052631578947365</c:v>
                </c:pt>
                <c:pt idx="113">
                  <c:v>0.81052631578947365</c:v>
                </c:pt>
                <c:pt idx="114">
                  <c:v>0.81052631578947365</c:v>
                </c:pt>
                <c:pt idx="115">
                  <c:v>0.81052631578947365</c:v>
                </c:pt>
                <c:pt idx="116">
                  <c:v>0.81052631578947365</c:v>
                </c:pt>
                <c:pt idx="117">
                  <c:v>0.81052631578947365</c:v>
                </c:pt>
                <c:pt idx="118">
                  <c:v>0.81052631578947365</c:v>
                </c:pt>
                <c:pt idx="119">
                  <c:v>0.81052631578947365</c:v>
                </c:pt>
                <c:pt idx="120">
                  <c:v>0.81052631578947365</c:v>
                </c:pt>
                <c:pt idx="121">
                  <c:v>0.81052631578947365</c:v>
                </c:pt>
                <c:pt idx="122">
                  <c:v>0.81052631578947365</c:v>
                </c:pt>
                <c:pt idx="123">
                  <c:v>0.81052631578947365</c:v>
                </c:pt>
                <c:pt idx="124">
                  <c:v>0.81052631578947365</c:v>
                </c:pt>
                <c:pt idx="125">
                  <c:v>0.81052631578947365</c:v>
                </c:pt>
                <c:pt idx="126">
                  <c:v>0.81052631578947365</c:v>
                </c:pt>
                <c:pt idx="127">
                  <c:v>0.81052631578947365</c:v>
                </c:pt>
                <c:pt idx="128">
                  <c:v>0.81052631578947365</c:v>
                </c:pt>
                <c:pt idx="129">
                  <c:v>0.81052631578947365</c:v>
                </c:pt>
                <c:pt idx="130">
                  <c:v>0.81052631578947365</c:v>
                </c:pt>
                <c:pt idx="131">
                  <c:v>0.81052631578947365</c:v>
                </c:pt>
                <c:pt idx="132">
                  <c:v>0.81052631578947365</c:v>
                </c:pt>
                <c:pt idx="133">
                  <c:v>0.81052631578947365</c:v>
                </c:pt>
                <c:pt idx="134">
                  <c:v>0.81052631578947365</c:v>
                </c:pt>
                <c:pt idx="135">
                  <c:v>0.81052631578947365</c:v>
                </c:pt>
                <c:pt idx="136">
                  <c:v>0.81052631578947365</c:v>
                </c:pt>
                <c:pt idx="137">
                  <c:v>0.81052631578947365</c:v>
                </c:pt>
                <c:pt idx="138">
                  <c:v>0.81052631578947365</c:v>
                </c:pt>
                <c:pt idx="139">
                  <c:v>0.81052631578947365</c:v>
                </c:pt>
                <c:pt idx="140">
                  <c:v>0.81052631578947365</c:v>
                </c:pt>
                <c:pt idx="141">
                  <c:v>0.81052631578947365</c:v>
                </c:pt>
                <c:pt idx="142">
                  <c:v>0.81052631578947365</c:v>
                </c:pt>
                <c:pt idx="143">
                  <c:v>0.81052631578947365</c:v>
                </c:pt>
                <c:pt idx="144">
                  <c:v>0.81052631578947365</c:v>
                </c:pt>
                <c:pt idx="145">
                  <c:v>0.81052631578947365</c:v>
                </c:pt>
                <c:pt idx="146">
                  <c:v>0.81052631578947365</c:v>
                </c:pt>
                <c:pt idx="147">
                  <c:v>0.81052631578947365</c:v>
                </c:pt>
                <c:pt idx="148">
                  <c:v>0.81052631578947365</c:v>
                </c:pt>
                <c:pt idx="149">
                  <c:v>0.81052631578947365</c:v>
                </c:pt>
                <c:pt idx="150">
                  <c:v>0.81052631578947365</c:v>
                </c:pt>
                <c:pt idx="151">
                  <c:v>0.81052631578947365</c:v>
                </c:pt>
                <c:pt idx="152">
                  <c:v>0.81052631578947365</c:v>
                </c:pt>
                <c:pt idx="153">
                  <c:v>0.81052631578947365</c:v>
                </c:pt>
                <c:pt idx="154">
                  <c:v>0.81052631578947365</c:v>
                </c:pt>
                <c:pt idx="155">
                  <c:v>0.81052631578947365</c:v>
                </c:pt>
                <c:pt idx="156">
                  <c:v>0.81052631578947365</c:v>
                </c:pt>
                <c:pt idx="157">
                  <c:v>0.81052631578947365</c:v>
                </c:pt>
                <c:pt idx="158">
                  <c:v>0.81052631578947365</c:v>
                </c:pt>
                <c:pt idx="159">
                  <c:v>0.81052631578947365</c:v>
                </c:pt>
                <c:pt idx="160">
                  <c:v>0.81052631578947365</c:v>
                </c:pt>
                <c:pt idx="161">
                  <c:v>0.81052631578947365</c:v>
                </c:pt>
                <c:pt idx="162">
                  <c:v>0.81052631578947365</c:v>
                </c:pt>
                <c:pt idx="163">
                  <c:v>0.81052631578947365</c:v>
                </c:pt>
                <c:pt idx="164">
                  <c:v>0.81052631578947365</c:v>
                </c:pt>
                <c:pt idx="165">
                  <c:v>0.81052631578947365</c:v>
                </c:pt>
                <c:pt idx="166">
                  <c:v>0.81052631578947365</c:v>
                </c:pt>
                <c:pt idx="167">
                  <c:v>0.81052631578947365</c:v>
                </c:pt>
                <c:pt idx="168">
                  <c:v>0.81052631578947365</c:v>
                </c:pt>
                <c:pt idx="169">
                  <c:v>0.81052631578947365</c:v>
                </c:pt>
                <c:pt idx="170">
                  <c:v>0.81052631578947365</c:v>
                </c:pt>
                <c:pt idx="171">
                  <c:v>0.81052631578947365</c:v>
                </c:pt>
                <c:pt idx="172">
                  <c:v>0.81052631578947365</c:v>
                </c:pt>
                <c:pt idx="173">
                  <c:v>0.81052631578947365</c:v>
                </c:pt>
                <c:pt idx="174">
                  <c:v>0.81052631578947365</c:v>
                </c:pt>
                <c:pt idx="175">
                  <c:v>0.81052631578947365</c:v>
                </c:pt>
                <c:pt idx="176">
                  <c:v>0.81052631578947365</c:v>
                </c:pt>
                <c:pt idx="177">
                  <c:v>0.81052631578947365</c:v>
                </c:pt>
                <c:pt idx="178">
                  <c:v>0.81052631578947365</c:v>
                </c:pt>
                <c:pt idx="179">
                  <c:v>0.81052631578947365</c:v>
                </c:pt>
                <c:pt idx="180">
                  <c:v>0.81052631578947365</c:v>
                </c:pt>
                <c:pt idx="181">
                  <c:v>0.81052631578947365</c:v>
                </c:pt>
                <c:pt idx="182">
                  <c:v>0.81052631578947365</c:v>
                </c:pt>
                <c:pt idx="183">
                  <c:v>0.81052631578947365</c:v>
                </c:pt>
                <c:pt idx="184">
                  <c:v>0.81052631578947365</c:v>
                </c:pt>
                <c:pt idx="185">
                  <c:v>0.81052631578947365</c:v>
                </c:pt>
                <c:pt idx="186">
                  <c:v>0.81052631578947365</c:v>
                </c:pt>
                <c:pt idx="187">
                  <c:v>0.81052631578947365</c:v>
                </c:pt>
              </c:numCache>
            </c:numRef>
          </c:val>
          <c:extLst>
            <c:ext xmlns:c16="http://schemas.microsoft.com/office/drawing/2014/chart" uri="{C3380CC4-5D6E-409C-BE32-E72D297353CC}">
              <c16:uniqueId val="{0000001B-4841-4CDE-A94B-DAB637A53CBE}"/>
            </c:ext>
          </c:extLst>
        </c:ser>
        <c:ser>
          <c:idx val="26"/>
          <c:order val="26"/>
          <c:tx>
            <c:strRef>
              <c:f>Calc!$A$127</c:f>
              <c:strCache>
                <c:ptCount val="1"/>
                <c:pt idx="0">
                  <c:v>Available now &gt; Other clients</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Calc!$K$230:$GP$230</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1C-4841-4CDE-A94B-DAB637A53CBE}"/>
            </c:ext>
          </c:extLst>
        </c:ser>
        <c:ser>
          <c:idx val="27"/>
          <c:order val="27"/>
          <c:tx>
            <c:strRef>
              <c:f>Calc!$A$127</c:f>
              <c:strCache>
                <c:ptCount val="1"/>
                <c:pt idx="0">
                  <c:v>Available now &gt; Other clients</c:v>
                </c:pt>
              </c:strCache>
            </c:strRef>
          </c:tx>
          <c:spPr>
            <a:solidFill>
              <a:srgbClr val="8995A6"/>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Calc!$K$180:$GP$180</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numCache>
            </c:numRef>
          </c:val>
          <c:extLst>
            <c:ext xmlns:c16="http://schemas.microsoft.com/office/drawing/2014/chart" uri="{C3380CC4-5D6E-409C-BE32-E72D297353CC}">
              <c16:uniqueId val="{0000001D-4841-4CDE-A94B-DAB637A53CBE}"/>
            </c:ext>
          </c:extLst>
        </c:ser>
        <c:ser>
          <c:idx val="28"/>
          <c:order val="28"/>
          <c:tx>
            <c:strRef>
              <c:f>Calc!$A$128</c:f>
              <c:strCache>
                <c:ptCount val="1"/>
                <c:pt idx="0">
                  <c:v>Available now &gt; Current bench</c:v>
                </c:pt>
              </c:strCache>
            </c:strRef>
          </c:tx>
          <c:spPr>
            <a:no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Calc!$K$231:$GP$231</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2.1982170285639313E-4</c:v>
                </c:pt>
                <c:pt idx="112">
                  <c:v>8.7880359562042543E-4</c:v>
                </c:pt>
                <c:pt idx="113">
                  <c:v>1.975497093070544E-3</c:v>
                </c:pt>
                <c:pt idx="114">
                  <c:v>3.507491424883824E-3</c:v>
                </c:pt>
                <c:pt idx="115">
                  <c:v>5.4714189350377751E-3</c:v>
                </c:pt>
                <c:pt idx="116">
                  <c:v>7.862962484631808E-3</c:v>
                </c:pt>
                <c:pt idx="117">
                  <c:v>1.0676864941912001E-2</c:v>
                </c:pt>
                <c:pt idx="118">
                  <c:v>1.3906940738580786E-2</c:v>
                </c:pt>
                <c:pt idx="119">
                  <c:v>1.7546089467019854E-2</c:v>
                </c:pt>
                <c:pt idx="120">
                  <c:v>2.158631148852308E-2</c:v>
                </c:pt>
                <c:pt idx="121">
                  <c:v>2.6018725518241581E-2</c:v>
                </c:pt>
                <c:pt idx="122">
                  <c:v>3.0833588148180269E-2</c:v>
                </c:pt>
                <c:pt idx="123">
                  <c:v>3.6020315265314906E-2</c:v>
                </c:pt>
                <c:pt idx="124">
                  <c:v>4.1567505317773978E-2</c:v>
                </c:pt>
                <c:pt idx="125">
                  <c:v>4.7462964377922745E-2</c:v>
                </c:pt>
                <c:pt idx="126">
                  <c:v>5.369373294726465E-2</c:v>
                </c:pt>
                <c:pt idx="127">
                  <c:v>6.0246114444231225E-2</c:v>
                </c:pt>
                <c:pt idx="128">
                  <c:v>6.7105705312235031E-2</c:v>
                </c:pt>
                <c:pt idx="129">
                  <c:v>7.4257426681823446E-2</c:v>
                </c:pt>
                <c:pt idx="130">
                  <c:v>8.1685557517296559E-2</c:v>
                </c:pt>
                <c:pt idx="131">
                  <c:v>8.9373769174960316E-2</c:v>
                </c:pt>
                <c:pt idx="132">
                  <c:v>9.7305161297033038E-2</c:v>
                </c:pt>
                <c:pt idx="133">
                  <c:v>0.10546229896228709</c:v>
                </c:pt>
                <c:pt idx="134">
                  <c:v>0.11382725101180569</c:v>
                </c:pt>
                <c:pt idx="135">
                  <c:v>0.12238162946554887</c:v>
                </c:pt>
                <c:pt idx="136">
                  <c:v>0.13110662994313316</c:v>
                </c:pt>
                <c:pt idx="137">
                  <c:v>0.13998307299993229</c:v>
                </c:pt>
                <c:pt idx="138">
                  <c:v>0.14899144628766514</c:v>
                </c:pt>
                <c:pt idx="139">
                  <c:v>0.15811194744677159</c:v>
                </c:pt>
                <c:pt idx="140">
                  <c:v>0.16732452763629446</c:v>
                </c:pt>
                <c:pt idx="141">
                  <c:v>0.17660893560558399</c:v>
                </c:pt>
                <c:pt idx="142">
                  <c:v>0.1859447622109407</c:v>
                </c:pt>
                <c:pt idx="143">
                  <c:v>0.19531148527934761</c:v>
                </c:pt>
                <c:pt idx="144">
                  <c:v>0.20468851472065097</c:v>
                </c:pt>
                <c:pt idx="145">
                  <c:v>0.21405523778905788</c:v>
                </c:pt>
                <c:pt idx="146">
                  <c:v>0.22339106439441636</c:v>
                </c:pt>
                <c:pt idx="147">
                  <c:v>0.23267547236370589</c:v>
                </c:pt>
                <c:pt idx="148">
                  <c:v>0.24188805255322876</c:v>
                </c:pt>
                <c:pt idx="149">
                  <c:v>0.25100855371233521</c:v>
                </c:pt>
                <c:pt idx="150">
                  <c:v>0.26001692700006807</c:v>
                </c:pt>
                <c:pt idx="151">
                  <c:v>0.2688933700568672</c:v>
                </c:pt>
                <c:pt idx="152">
                  <c:v>0.27761837053444971</c:v>
                </c:pt>
                <c:pt idx="153">
                  <c:v>0.28617274898819467</c:v>
                </c:pt>
                <c:pt idx="154">
                  <c:v>0.29453770103771326</c:v>
                </c:pt>
                <c:pt idx="155">
                  <c:v>0.30269483870296909</c:v>
                </c:pt>
                <c:pt idx="156">
                  <c:v>0.31062623082504004</c:v>
                </c:pt>
                <c:pt idx="157">
                  <c:v>0.3183144424827038</c:v>
                </c:pt>
                <c:pt idx="158">
                  <c:v>0.32574257331817691</c:v>
                </c:pt>
                <c:pt idx="159">
                  <c:v>0.33289429468776532</c:v>
                </c:pt>
                <c:pt idx="160">
                  <c:v>0.33975388555576735</c:v>
                </c:pt>
                <c:pt idx="161">
                  <c:v>0.34630626705273393</c:v>
                </c:pt>
                <c:pt idx="162">
                  <c:v>0.35253703562207583</c:v>
                </c:pt>
                <c:pt idx="163">
                  <c:v>0.3584324946822246</c:v>
                </c:pt>
                <c:pt idx="164">
                  <c:v>0.36397968473468545</c:v>
                </c:pt>
                <c:pt idx="165">
                  <c:v>0.36916641185182009</c:v>
                </c:pt>
                <c:pt idx="166">
                  <c:v>0.37398127448175877</c:v>
                </c:pt>
                <c:pt idx="167">
                  <c:v>0.37841368851147728</c:v>
                </c:pt>
                <c:pt idx="168">
                  <c:v>0.38245391053297872</c:v>
                </c:pt>
                <c:pt idx="169">
                  <c:v>0.38609305926141779</c:v>
                </c:pt>
                <c:pt idx="170">
                  <c:v>0.38932313505808658</c:v>
                </c:pt>
                <c:pt idx="171">
                  <c:v>0.39213703751536855</c:v>
                </c:pt>
                <c:pt idx="172">
                  <c:v>0.39452858106496258</c:v>
                </c:pt>
                <c:pt idx="173">
                  <c:v>0.39649250857511653</c:v>
                </c:pt>
                <c:pt idx="174">
                  <c:v>0.39802450290692981</c:v>
                </c:pt>
                <c:pt idx="175">
                  <c:v>0.39912119640437993</c:v>
                </c:pt>
                <c:pt idx="176">
                  <c:v>0.39978017829714396</c:v>
                </c:pt>
                <c:pt idx="177">
                  <c:v>0.40000000000000036</c:v>
                </c:pt>
                <c:pt idx="178">
                  <c:v>0.40000000000000036</c:v>
                </c:pt>
                <c:pt idx="179">
                  <c:v>0.40000000000000036</c:v>
                </c:pt>
                <c:pt idx="180">
                  <c:v>0.40000000000000036</c:v>
                </c:pt>
                <c:pt idx="181">
                  <c:v>0.40000000000000036</c:v>
                </c:pt>
                <c:pt idx="182">
                  <c:v>0.40000000000000036</c:v>
                </c:pt>
                <c:pt idx="183">
                  <c:v>0.40000000000000036</c:v>
                </c:pt>
                <c:pt idx="184">
                  <c:v>0.40000000000000036</c:v>
                </c:pt>
                <c:pt idx="185">
                  <c:v>0.40000000000000036</c:v>
                </c:pt>
                <c:pt idx="186">
                  <c:v>0.40000000000000036</c:v>
                </c:pt>
                <c:pt idx="187">
                  <c:v>0.40000000000000036</c:v>
                </c:pt>
              </c:numCache>
            </c:numRef>
          </c:val>
          <c:extLst>
            <c:ext xmlns:c16="http://schemas.microsoft.com/office/drawing/2014/chart" uri="{C3380CC4-5D6E-409C-BE32-E72D297353CC}">
              <c16:uniqueId val="{0000001E-4841-4CDE-A94B-DAB637A53CBE}"/>
            </c:ext>
          </c:extLst>
        </c:ser>
        <c:ser>
          <c:idx val="29"/>
          <c:order val="29"/>
          <c:tx>
            <c:strRef>
              <c:f>Calc!$A$128</c:f>
              <c:strCache>
                <c:ptCount val="1"/>
                <c:pt idx="0">
                  <c:v>Available now &gt; Current bench</c:v>
                </c:pt>
              </c:strCache>
            </c:strRef>
          </c:tx>
          <c:spPr>
            <a:solidFill>
              <a:srgbClr val="E96368"/>
            </a:solidFill>
            <a:ln w="0">
              <a:noFill/>
            </a:ln>
          </c:spP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Calc!$K$139:$GP$139</c:f>
              <c:numCache>
                <c:formatCode>General</c:formatCode>
                <c:ptCount val="18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numCache>
            </c:numRef>
          </c:cat>
          <c:val>
            <c:numRef>
              <c:f>Calc!$K$181:$GP$181</c:f>
              <c:numCache>
                <c:formatCode>0.00</c:formatCode>
                <c:ptCount val="1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1.6210526315789473</c:v>
                </c:pt>
                <c:pt idx="111">
                  <c:v>1.6210526315789473</c:v>
                </c:pt>
                <c:pt idx="112">
                  <c:v>1.6210526315789473</c:v>
                </c:pt>
                <c:pt idx="113">
                  <c:v>1.6210526315789473</c:v>
                </c:pt>
                <c:pt idx="114">
                  <c:v>1.6210526315789473</c:v>
                </c:pt>
                <c:pt idx="115">
                  <c:v>1.6210526315789473</c:v>
                </c:pt>
                <c:pt idx="116">
                  <c:v>1.6210526315789473</c:v>
                </c:pt>
                <c:pt idx="117">
                  <c:v>1.6210526315789473</c:v>
                </c:pt>
                <c:pt idx="118">
                  <c:v>1.6210526315789473</c:v>
                </c:pt>
                <c:pt idx="119">
                  <c:v>1.6210526315789473</c:v>
                </c:pt>
                <c:pt idx="120">
                  <c:v>1.6210526315789473</c:v>
                </c:pt>
                <c:pt idx="121">
                  <c:v>1.6210526315789473</c:v>
                </c:pt>
                <c:pt idx="122">
                  <c:v>1.6210526315789473</c:v>
                </c:pt>
                <c:pt idx="123">
                  <c:v>1.6210526315789473</c:v>
                </c:pt>
                <c:pt idx="124">
                  <c:v>1.6210526315789473</c:v>
                </c:pt>
                <c:pt idx="125">
                  <c:v>1.6210526315789473</c:v>
                </c:pt>
                <c:pt idx="126">
                  <c:v>1.6210526315789473</c:v>
                </c:pt>
                <c:pt idx="127">
                  <c:v>1.6210526315789473</c:v>
                </c:pt>
                <c:pt idx="128">
                  <c:v>1.6210526315789473</c:v>
                </c:pt>
                <c:pt idx="129">
                  <c:v>1.6210526315789473</c:v>
                </c:pt>
                <c:pt idx="130">
                  <c:v>1.6210526315789473</c:v>
                </c:pt>
                <c:pt idx="131">
                  <c:v>1.6210526315789473</c:v>
                </c:pt>
                <c:pt idx="132">
                  <c:v>1.6210526315789473</c:v>
                </c:pt>
                <c:pt idx="133">
                  <c:v>1.6210526315789473</c:v>
                </c:pt>
                <c:pt idx="134">
                  <c:v>1.6210526315789473</c:v>
                </c:pt>
                <c:pt idx="135">
                  <c:v>1.6210526315789473</c:v>
                </c:pt>
                <c:pt idx="136">
                  <c:v>1.6210526315789473</c:v>
                </c:pt>
                <c:pt idx="137">
                  <c:v>1.6210526315789473</c:v>
                </c:pt>
                <c:pt idx="138">
                  <c:v>1.6210526315789473</c:v>
                </c:pt>
                <c:pt idx="139">
                  <c:v>1.6210526315789473</c:v>
                </c:pt>
                <c:pt idx="140">
                  <c:v>1.6210526315789473</c:v>
                </c:pt>
                <c:pt idx="141">
                  <c:v>1.6210526315789473</c:v>
                </c:pt>
                <c:pt idx="142">
                  <c:v>1.6210526315789473</c:v>
                </c:pt>
                <c:pt idx="143">
                  <c:v>1.6210526315789473</c:v>
                </c:pt>
                <c:pt idx="144">
                  <c:v>1.6210526315789473</c:v>
                </c:pt>
                <c:pt idx="145">
                  <c:v>1.6210526315789473</c:v>
                </c:pt>
                <c:pt idx="146">
                  <c:v>1.6210526315789473</c:v>
                </c:pt>
                <c:pt idx="147">
                  <c:v>1.6210526315789473</c:v>
                </c:pt>
                <c:pt idx="148">
                  <c:v>1.6210526315789473</c:v>
                </c:pt>
                <c:pt idx="149">
                  <c:v>1.6210526315789473</c:v>
                </c:pt>
                <c:pt idx="150">
                  <c:v>1.6210526315789473</c:v>
                </c:pt>
                <c:pt idx="151">
                  <c:v>1.6210526315789473</c:v>
                </c:pt>
                <c:pt idx="152">
                  <c:v>1.6210526315789473</c:v>
                </c:pt>
                <c:pt idx="153">
                  <c:v>1.6210526315789473</c:v>
                </c:pt>
                <c:pt idx="154">
                  <c:v>1.6210526315789473</c:v>
                </c:pt>
                <c:pt idx="155">
                  <c:v>1.6210526315789473</c:v>
                </c:pt>
                <c:pt idx="156">
                  <c:v>1.6210526315789473</c:v>
                </c:pt>
                <c:pt idx="157">
                  <c:v>1.6210526315789473</c:v>
                </c:pt>
                <c:pt idx="158">
                  <c:v>1.6210526315789473</c:v>
                </c:pt>
                <c:pt idx="159">
                  <c:v>1.6210526315789473</c:v>
                </c:pt>
                <c:pt idx="160">
                  <c:v>1.6210526315789473</c:v>
                </c:pt>
                <c:pt idx="161">
                  <c:v>1.6210526315789473</c:v>
                </c:pt>
                <c:pt idx="162">
                  <c:v>1.6210526315789473</c:v>
                </c:pt>
                <c:pt idx="163">
                  <c:v>1.6210526315789473</c:v>
                </c:pt>
                <c:pt idx="164">
                  <c:v>1.6210526315789473</c:v>
                </c:pt>
                <c:pt idx="165">
                  <c:v>1.6210526315789473</c:v>
                </c:pt>
                <c:pt idx="166">
                  <c:v>1.6210526315789473</c:v>
                </c:pt>
                <c:pt idx="167">
                  <c:v>1.6210526315789473</c:v>
                </c:pt>
                <c:pt idx="168">
                  <c:v>1.6210526315789473</c:v>
                </c:pt>
                <c:pt idx="169">
                  <c:v>1.6210526315789473</c:v>
                </c:pt>
                <c:pt idx="170">
                  <c:v>1.6210526315789473</c:v>
                </c:pt>
                <c:pt idx="171">
                  <c:v>1.6210526315789473</c:v>
                </c:pt>
                <c:pt idx="172">
                  <c:v>1.6210526315789473</c:v>
                </c:pt>
                <c:pt idx="173">
                  <c:v>1.6210526315789473</c:v>
                </c:pt>
                <c:pt idx="174">
                  <c:v>1.6210526315789473</c:v>
                </c:pt>
                <c:pt idx="175">
                  <c:v>1.6210526315789473</c:v>
                </c:pt>
                <c:pt idx="176">
                  <c:v>1.6210526315789473</c:v>
                </c:pt>
                <c:pt idx="177">
                  <c:v>1.6210526315789473</c:v>
                </c:pt>
                <c:pt idx="178">
                  <c:v>1.6210526315789473</c:v>
                </c:pt>
                <c:pt idx="179">
                  <c:v>1.6210526315789473</c:v>
                </c:pt>
                <c:pt idx="180">
                  <c:v>1.6210526315789473</c:v>
                </c:pt>
                <c:pt idx="181">
                  <c:v>1.6210526315789473</c:v>
                </c:pt>
                <c:pt idx="182">
                  <c:v>1.6210526315789473</c:v>
                </c:pt>
                <c:pt idx="183">
                  <c:v>1.6210526315789473</c:v>
                </c:pt>
                <c:pt idx="184">
                  <c:v>1.6210526315789473</c:v>
                </c:pt>
                <c:pt idx="185">
                  <c:v>1.6210526315789473</c:v>
                </c:pt>
                <c:pt idx="186">
                  <c:v>1.6210526315789473</c:v>
                </c:pt>
                <c:pt idx="187">
                  <c:v>1.6210526315789473</c:v>
                </c:pt>
              </c:numCache>
            </c:numRef>
          </c:val>
          <c:extLst>
            <c:ext xmlns:c16="http://schemas.microsoft.com/office/drawing/2014/chart" uri="{C3380CC4-5D6E-409C-BE32-E72D297353CC}">
              <c16:uniqueId val="{0000001F-4841-4CDE-A94B-DAB637A53CBE}"/>
            </c:ext>
          </c:extLst>
        </c:ser>
        <c:dLbls>
          <c:showLegendKey val="0"/>
          <c:showVal val="0"/>
          <c:showCatName val="0"/>
          <c:showSerName val="0"/>
          <c:showPercent val="0"/>
          <c:showBubbleSize val="0"/>
        </c:dLbls>
        <c:axId val="75298345"/>
        <c:axId val="28753888"/>
      </c:areaChart>
      <c:catAx>
        <c:axId val="75298345"/>
        <c:scaling>
          <c:orientation val="minMax"/>
        </c:scaling>
        <c:delete val="1"/>
        <c:axPos val="t"/>
        <c:numFmt formatCode="General" sourceLinked="1"/>
        <c:majorTickMark val="none"/>
        <c:minorTickMark val="none"/>
        <c:tickLblPos val="nextTo"/>
        <c:crossAx val="28753888"/>
        <c:crosses val="autoZero"/>
        <c:auto val="1"/>
        <c:lblAlgn val="ctr"/>
        <c:lblOffset val="100"/>
        <c:noMultiLvlLbl val="0"/>
      </c:catAx>
      <c:valAx>
        <c:axId val="28753888"/>
        <c:scaling>
          <c:orientation val="maxMin"/>
          <c:max val="34"/>
          <c:min val="0"/>
        </c:scaling>
        <c:delete val="1"/>
        <c:axPos val="l"/>
        <c:numFmt formatCode="0.00" sourceLinked="1"/>
        <c:majorTickMark val="none"/>
        <c:minorTickMark val="none"/>
        <c:tickLblPos val="nextTo"/>
        <c:crossAx val="75298345"/>
        <c:crosses val="autoZero"/>
        <c:crossBetween val="midCat"/>
      </c:valAx>
      <c:spPr>
        <a:noFill/>
        <a:ln w="0">
          <a:noFill/>
        </a:ln>
      </c:spPr>
    </c:plotArea>
    <c:plotVisOnly val="1"/>
    <c:dispBlanksAs val="gap"/>
    <c:showDLblsOverMax val="1"/>
  </c:chart>
  <c:spPr>
    <a:no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1F3A5F"/>
                </a:solidFill>
                <a:latin typeface="Arial"/>
              </a:defRPr>
            </a:pPr>
            <a:r>
              <a:rPr lang="en-IN" sz="1200" b="1" strike="noStrike" spc="-1">
                <a:solidFill>
                  <a:srgbClr val="1F3A5F"/>
                </a:solidFill>
                <a:latin typeface="Arial"/>
              </a:rPr>
              <a:t>Cohort 1: candidates in each round (pending and cuml)</a:t>
            </a:r>
          </a:p>
        </c:rich>
      </c:tx>
      <c:overlay val="0"/>
      <c:spPr>
        <a:noFill/>
        <a:ln w="0">
          <a:noFill/>
        </a:ln>
      </c:spPr>
    </c:title>
    <c:autoTitleDeleted val="0"/>
    <c:plotArea>
      <c:layout/>
      <c:barChart>
        <c:barDir val="bar"/>
        <c:grouping val="stacked"/>
        <c:varyColors val="0"/>
        <c:ser>
          <c:idx val="0"/>
          <c:order val="0"/>
          <c:tx>
            <c:v>Associate FDE</c:v>
          </c:tx>
          <c:spPr>
            <a:solidFill>
              <a:srgbClr val="2A7F9E"/>
            </a:solidFill>
            <a:ln w="0">
              <a:noFill/>
            </a:ln>
          </c:spPr>
          <c:invertIfNegative val="0"/>
          <c:dLbls>
            <c:numFmt formatCode="0;;;" sourceLinked="0"/>
            <c:spPr>
              <a:noFill/>
              <a:ln>
                <a:noFill/>
              </a:ln>
              <a:effectLst/>
            </c:spPr>
            <c:txPr>
              <a:bodyPr wrap="square"/>
              <a:lstStyle/>
              <a:p>
                <a:pPr>
                  <a:defRPr sz="11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'Recruitement Dashboard'!$H$10:$H$19</c:f>
              <c:strCache>
                <c:ptCount val="10"/>
                <c:pt idx="0">
                  <c:v>Screening pending</c:v>
                </c:pt>
                <c:pt idx="1">
                  <c:v>Screening cleared (cuml)</c:v>
                </c:pt>
                <c:pt idx="2">
                  <c:v>L1 cleared (cuml)</c:v>
                </c:pt>
                <c:pt idx="3">
                  <c:v>Berribot assessment cleared (cuml)</c:v>
                </c:pt>
                <c:pt idx="4">
                  <c:v>L2 cleared (cuml)</c:v>
                </c:pt>
                <c:pt idx="5">
                  <c:v>L3 cleared (cuml)</c:v>
                </c:pt>
                <c:pt idx="6">
                  <c:v>CTO round cleared (cuml)</c:v>
                </c:pt>
                <c:pt idx="7">
                  <c:v>Offer extended (pending)</c:v>
                </c:pt>
                <c:pt idx="8">
                  <c:v>Offers accepted (cuml)</c:v>
                </c:pt>
                <c:pt idx="9">
                  <c:v>Joined (cuml)</c:v>
                </c:pt>
              </c:strCache>
            </c:strRef>
          </c:cat>
          <c:val>
            <c:numRef>
              <c:f>'Recruitement Dashboard'!$J$10:$J$19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355-4CEF-8466-15082D9B3C86}"/>
            </c:ext>
          </c:extLst>
        </c:ser>
        <c:ser>
          <c:idx val="1"/>
          <c:order val="1"/>
          <c:tx>
            <c:v>FDE</c:v>
          </c:tx>
          <c:spPr>
            <a:solidFill>
              <a:srgbClr val="E08E45"/>
            </a:solidFill>
            <a:ln w="0">
              <a:noFill/>
            </a:ln>
          </c:spPr>
          <c:invertIfNegative val="0"/>
          <c:dLbls>
            <c:numFmt formatCode="0;;;" sourceLinked="0"/>
            <c:spPr>
              <a:noFill/>
              <a:ln>
                <a:noFill/>
              </a:ln>
              <a:effectLst/>
            </c:spPr>
            <c:txPr>
              <a:bodyPr wrap="square"/>
              <a:lstStyle/>
              <a:p>
                <a:pPr>
                  <a:defRPr sz="11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'Recruitement Dashboard'!$H$10:$H$19</c:f>
              <c:strCache>
                <c:ptCount val="10"/>
                <c:pt idx="0">
                  <c:v>Screening pending</c:v>
                </c:pt>
                <c:pt idx="1">
                  <c:v>Screening cleared (cuml)</c:v>
                </c:pt>
                <c:pt idx="2">
                  <c:v>L1 cleared (cuml)</c:v>
                </c:pt>
                <c:pt idx="3">
                  <c:v>Berribot assessment cleared (cuml)</c:v>
                </c:pt>
                <c:pt idx="4">
                  <c:v>L2 cleared (cuml)</c:v>
                </c:pt>
                <c:pt idx="5">
                  <c:v>L3 cleared (cuml)</c:v>
                </c:pt>
                <c:pt idx="6">
                  <c:v>CTO round cleared (cuml)</c:v>
                </c:pt>
                <c:pt idx="7">
                  <c:v>Offer extended (pending)</c:v>
                </c:pt>
                <c:pt idx="8">
                  <c:v>Offers accepted (cuml)</c:v>
                </c:pt>
                <c:pt idx="9">
                  <c:v>Joined (cuml)</c:v>
                </c:pt>
              </c:strCache>
            </c:strRef>
          </c:cat>
          <c:val>
            <c:numRef>
              <c:f>'Recruitement Dashboard'!$K$10:$K$19</c:f>
              <c:numCache>
                <c:formatCode>General</c:formatCode>
                <c:ptCount val="10"/>
                <c:pt idx="0">
                  <c:v>0</c:v>
                </c:pt>
                <c:pt idx="1">
                  <c:v>0</c:v>
                </c:pt>
                <c:pt idx="2">
                  <c:v>0</c:v>
                </c:pt>
                <c:pt idx="3">
                  <c:v>0</c:v>
                </c:pt>
                <c:pt idx="4">
                  <c:v>0</c:v>
                </c:pt>
                <c:pt idx="5">
                  <c:v>0</c:v>
                </c:pt>
                <c:pt idx="6">
                  <c:v>0</c:v>
                </c:pt>
                <c:pt idx="7">
                  <c:v>0</c:v>
                </c:pt>
                <c:pt idx="8">
                  <c:v>3</c:v>
                </c:pt>
                <c:pt idx="9">
                  <c:v>0</c:v>
                </c:pt>
              </c:numCache>
            </c:numRef>
          </c:val>
          <c:extLst>
            <c:ext xmlns:c16="http://schemas.microsoft.com/office/drawing/2014/chart" uri="{C3380CC4-5D6E-409C-BE32-E72D297353CC}">
              <c16:uniqueId val="{00000001-5355-4CEF-8466-15082D9B3C86}"/>
            </c:ext>
          </c:extLst>
        </c:ser>
        <c:ser>
          <c:idx val="2"/>
          <c:order val="2"/>
          <c:tx>
            <c:v>Senior FDE</c:v>
          </c:tx>
          <c:spPr>
            <a:solidFill>
              <a:srgbClr val="1F3A5F"/>
            </a:solidFill>
            <a:ln w="0">
              <a:noFill/>
            </a:ln>
          </c:spPr>
          <c:invertIfNegative val="0"/>
          <c:dLbls>
            <c:numFmt formatCode="0;;;" sourceLinked="0"/>
            <c:spPr>
              <a:noFill/>
              <a:ln>
                <a:noFill/>
              </a:ln>
              <a:effectLst/>
            </c:spPr>
            <c:txPr>
              <a:bodyPr wrap="square"/>
              <a:lstStyle/>
              <a:p>
                <a:pPr>
                  <a:defRPr sz="11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'Recruitement Dashboard'!$H$10:$H$19</c:f>
              <c:strCache>
                <c:ptCount val="10"/>
                <c:pt idx="0">
                  <c:v>Screening pending</c:v>
                </c:pt>
                <c:pt idx="1">
                  <c:v>Screening cleared (cuml)</c:v>
                </c:pt>
                <c:pt idx="2">
                  <c:v>L1 cleared (cuml)</c:v>
                </c:pt>
                <c:pt idx="3">
                  <c:v>Berribot assessment cleared (cuml)</c:v>
                </c:pt>
                <c:pt idx="4">
                  <c:v>L2 cleared (cuml)</c:v>
                </c:pt>
                <c:pt idx="5">
                  <c:v>L3 cleared (cuml)</c:v>
                </c:pt>
                <c:pt idx="6">
                  <c:v>CTO round cleared (cuml)</c:v>
                </c:pt>
                <c:pt idx="7">
                  <c:v>Offer extended (pending)</c:v>
                </c:pt>
                <c:pt idx="8">
                  <c:v>Offers accepted (cuml)</c:v>
                </c:pt>
                <c:pt idx="9">
                  <c:v>Joined (cuml)</c:v>
                </c:pt>
              </c:strCache>
            </c:strRef>
          </c:cat>
          <c:val>
            <c:numRef>
              <c:f>'Recruitement Dashboard'!$L$10:$L$19</c:f>
              <c:numCache>
                <c:formatCode>General</c:formatCode>
                <c:ptCount val="10"/>
                <c:pt idx="0">
                  <c:v>6</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5355-4CEF-8466-15082D9B3C86}"/>
            </c:ext>
          </c:extLst>
        </c:ser>
        <c:dLbls>
          <c:showLegendKey val="0"/>
          <c:showVal val="0"/>
          <c:showCatName val="0"/>
          <c:showSerName val="0"/>
          <c:showPercent val="0"/>
          <c:showBubbleSize val="0"/>
        </c:dLbls>
        <c:gapWidth val="40"/>
        <c:overlap val="100"/>
        <c:axId val="12045364"/>
        <c:axId val="43356327"/>
      </c:barChart>
      <c:catAx>
        <c:axId val="12045364"/>
        <c:scaling>
          <c:orientation val="maxMin"/>
        </c:scaling>
        <c:delete val="0"/>
        <c:axPos val="l"/>
        <c:numFmt formatCode="General" sourceLinked="1"/>
        <c:majorTickMark val="none"/>
        <c:minorTickMark val="none"/>
        <c:tickLblPos val="nextTo"/>
        <c:spPr>
          <a:ln w="0">
            <a:solidFill>
              <a:srgbClr val="B3B3B3"/>
            </a:solidFill>
          </a:ln>
        </c:spPr>
        <c:txPr>
          <a:bodyPr/>
          <a:lstStyle/>
          <a:p>
            <a:pPr>
              <a:defRPr sz="900" b="0" strike="noStrike" spc="-1">
                <a:solidFill>
                  <a:srgbClr val="2B3A4A"/>
                </a:solidFill>
                <a:latin typeface="Arial"/>
              </a:defRPr>
            </a:pPr>
            <a:endParaRPr lang="en-US"/>
          </a:p>
        </c:txPr>
        <c:crossAx val="43356327"/>
        <c:crosses val="autoZero"/>
        <c:auto val="1"/>
        <c:lblAlgn val="ctr"/>
        <c:lblOffset val="100"/>
        <c:noMultiLvlLbl val="0"/>
      </c:catAx>
      <c:valAx>
        <c:axId val="43356327"/>
        <c:scaling>
          <c:orientation val="minMax"/>
        </c:scaling>
        <c:delete val="1"/>
        <c:axPos val="t"/>
        <c:numFmt formatCode="General" sourceLinked="1"/>
        <c:majorTickMark val="none"/>
        <c:minorTickMark val="none"/>
        <c:tickLblPos val="nextTo"/>
        <c:crossAx val="12045364"/>
        <c:crosses val="autoZero"/>
        <c:crossBetween val="between"/>
      </c:valAx>
      <c:spPr>
        <a:noFill/>
        <a:ln w="0">
          <a:noFill/>
        </a:ln>
      </c:spPr>
    </c:plotArea>
    <c:legend>
      <c:legendPos val="b"/>
      <c:overlay val="0"/>
      <c:spPr>
        <a:noFill/>
        <a:ln w="0">
          <a:noFill/>
        </a:ln>
      </c:spPr>
      <c:txPr>
        <a:bodyPr/>
        <a:lstStyle/>
        <a:p>
          <a:pPr>
            <a:defRPr sz="1000" b="0" strike="noStrike" spc="-1">
              <a:solidFill>
                <a:srgbClr val="2B3A4A"/>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1F3A5F"/>
                </a:solidFill>
                <a:latin typeface="Arial"/>
              </a:defRPr>
            </a:pPr>
            <a:r>
              <a:rPr lang="en-US" sz="1200" b="1" strike="noStrike" spc="-1">
                <a:solidFill>
                  <a:srgbClr val="1F3A5F"/>
                </a:solidFill>
                <a:latin typeface="Arial"/>
              </a:rPr>
              <a:t>Cohort 2: candidates in each round (pending and cuml)</a:t>
            </a:r>
          </a:p>
        </c:rich>
      </c:tx>
      <c:overlay val="0"/>
      <c:spPr>
        <a:noFill/>
        <a:ln w="0">
          <a:noFill/>
        </a:ln>
      </c:spPr>
    </c:title>
    <c:autoTitleDeleted val="0"/>
    <c:plotArea>
      <c:layout/>
      <c:barChart>
        <c:barDir val="bar"/>
        <c:grouping val="stacked"/>
        <c:varyColors val="0"/>
        <c:ser>
          <c:idx val="0"/>
          <c:order val="0"/>
          <c:tx>
            <c:v>Associate FDE</c:v>
          </c:tx>
          <c:spPr>
            <a:solidFill>
              <a:srgbClr val="2A7F9E"/>
            </a:solidFill>
            <a:ln w="0">
              <a:noFill/>
            </a:ln>
          </c:spPr>
          <c:invertIfNegative val="0"/>
          <c:dLbls>
            <c:numFmt formatCode="0;;;" sourceLinked="0"/>
            <c:spPr>
              <a:noFill/>
              <a:ln>
                <a:noFill/>
              </a:ln>
              <a:effectLst/>
            </c:spPr>
            <c:txPr>
              <a:bodyPr wrap="square"/>
              <a:lstStyle/>
              <a:p>
                <a:pPr>
                  <a:defRPr sz="11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'Recruitement Dashboard'!$H$38:$H$47</c:f>
              <c:strCache>
                <c:ptCount val="10"/>
                <c:pt idx="0">
                  <c:v>Screening pending</c:v>
                </c:pt>
                <c:pt idx="1">
                  <c:v>Screening cleared (cuml)</c:v>
                </c:pt>
                <c:pt idx="2">
                  <c:v>L1 cleared (cuml)</c:v>
                </c:pt>
                <c:pt idx="3">
                  <c:v>Berribot assessment cleared (cuml)</c:v>
                </c:pt>
                <c:pt idx="4">
                  <c:v>L2 cleared (cuml)</c:v>
                </c:pt>
                <c:pt idx="5">
                  <c:v>L3 cleared (cuml)</c:v>
                </c:pt>
                <c:pt idx="6">
                  <c:v>CTO round cleared (cuml)</c:v>
                </c:pt>
                <c:pt idx="7">
                  <c:v>Offer extended (pending)</c:v>
                </c:pt>
                <c:pt idx="8">
                  <c:v>Offers accepted (cuml)</c:v>
                </c:pt>
                <c:pt idx="9">
                  <c:v>Joined (cuml)</c:v>
                </c:pt>
              </c:strCache>
            </c:strRef>
          </c:cat>
          <c:val>
            <c:numRef>
              <c:f>'Recruitement Dashboard'!$J$38:$J$47</c:f>
              <c:numCache>
                <c:formatCode>General</c:formatCode>
                <c:ptCount val="10"/>
                <c:pt idx="0">
                  <c:v>0</c:v>
                </c:pt>
                <c:pt idx="1">
                  <c:v>0</c:v>
                </c:pt>
                <c:pt idx="2">
                  <c:v>0</c:v>
                </c:pt>
                <c:pt idx="3">
                  <c:v>0</c:v>
                </c:pt>
                <c:pt idx="4">
                  <c:v>0</c:v>
                </c:pt>
                <c:pt idx="5">
                  <c:v>0</c:v>
                </c:pt>
                <c:pt idx="6">
                  <c:v>0</c:v>
                </c:pt>
                <c:pt idx="7">
                  <c:v>0</c:v>
                </c:pt>
                <c:pt idx="8">
                  <c:v>14</c:v>
                </c:pt>
                <c:pt idx="9">
                  <c:v>0</c:v>
                </c:pt>
              </c:numCache>
            </c:numRef>
          </c:val>
          <c:extLst>
            <c:ext xmlns:c16="http://schemas.microsoft.com/office/drawing/2014/chart" uri="{C3380CC4-5D6E-409C-BE32-E72D297353CC}">
              <c16:uniqueId val="{00000000-A76B-4EE0-9AA4-AE60744B7046}"/>
            </c:ext>
          </c:extLst>
        </c:ser>
        <c:ser>
          <c:idx val="1"/>
          <c:order val="1"/>
          <c:tx>
            <c:v>FDE</c:v>
          </c:tx>
          <c:spPr>
            <a:solidFill>
              <a:srgbClr val="E08E45"/>
            </a:solidFill>
            <a:ln w="0">
              <a:noFill/>
            </a:ln>
          </c:spPr>
          <c:invertIfNegative val="0"/>
          <c:dLbls>
            <c:numFmt formatCode="0;;;" sourceLinked="0"/>
            <c:spPr>
              <a:noFill/>
              <a:ln>
                <a:noFill/>
              </a:ln>
              <a:effectLst/>
            </c:spPr>
            <c:txPr>
              <a:bodyPr wrap="square"/>
              <a:lstStyle/>
              <a:p>
                <a:pPr>
                  <a:defRPr sz="11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'Recruitement Dashboard'!$H$38:$H$47</c:f>
              <c:strCache>
                <c:ptCount val="10"/>
                <c:pt idx="0">
                  <c:v>Screening pending</c:v>
                </c:pt>
                <c:pt idx="1">
                  <c:v>Screening cleared (cuml)</c:v>
                </c:pt>
                <c:pt idx="2">
                  <c:v>L1 cleared (cuml)</c:v>
                </c:pt>
                <c:pt idx="3">
                  <c:v>Berribot assessment cleared (cuml)</c:v>
                </c:pt>
                <c:pt idx="4">
                  <c:v>L2 cleared (cuml)</c:v>
                </c:pt>
                <c:pt idx="5">
                  <c:v>L3 cleared (cuml)</c:v>
                </c:pt>
                <c:pt idx="6">
                  <c:v>CTO round cleared (cuml)</c:v>
                </c:pt>
                <c:pt idx="7">
                  <c:v>Offer extended (pending)</c:v>
                </c:pt>
                <c:pt idx="8">
                  <c:v>Offers accepted (cuml)</c:v>
                </c:pt>
                <c:pt idx="9">
                  <c:v>Joined (cuml)</c:v>
                </c:pt>
              </c:strCache>
            </c:strRef>
          </c:cat>
          <c:val>
            <c:numRef>
              <c:f>'Recruitement Dashboard'!$K$38:$K$47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A76B-4EE0-9AA4-AE60744B7046}"/>
            </c:ext>
          </c:extLst>
        </c:ser>
        <c:ser>
          <c:idx val="2"/>
          <c:order val="2"/>
          <c:tx>
            <c:v>Senior FDE</c:v>
          </c:tx>
          <c:spPr>
            <a:solidFill>
              <a:srgbClr val="1F3A5F"/>
            </a:solidFill>
            <a:ln w="0">
              <a:noFill/>
            </a:ln>
          </c:spPr>
          <c:invertIfNegative val="0"/>
          <c:dLbls>
            <c:numFmt formatCode="0;;;" sourceLinked="0"/>
            <c:spPr>
              <a:noFill/>
              <a:ln>
                <a:noFill/>
              </a:ln>
              <a:effectLst/>
            </c:spPr>
            <c:txPr>
              <a:bodyPr wrap="square"/>
              <a:lstStyle/>
              <a:p>
                <a:pPr>
                  <a:defRPr sz="11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'Recruitement Dashboard'!$H$38:$H$47</c:f>
              <c:strCache>
                <c:ptCount val="10"/>
                <c:pt idx="0">
                  <c:v>Screening pending</c:v>
                </c:pt>
                <c:pt idx="1">
                  <c:v>Screening cleared (cuml)</c:v>
                </c:pt>
                <c:pt idx="2">
                  <c:v>L1 cleared (cuml)</c:v>
                </c:pt>
                <c:pt idx="3">
                  <c:v>Berribot assessment cleared (cuml)</c:v>
                </c:pt>
                <c:pt idx="4">
                  <c:v>L2 cleared (cuml)</c:v>
                </c:pt>
                <c:pt idx="5">
                  <c:v>L3 cleared (cuml)</c:v>
                </c:pt>
                <c:pt idx="6">
                  <c:v>CTO round cleared (cuml)</c:v>
                </c:pt>
                <c:pt idx="7">
                  <c:v>Offer extended (pending)</c:v>
                </c:pt>
                <c:pt idx="8">
                  <c:v>Offers accepted (cuml)</c:v>
                </c:pt>
                <c:pt idx="9">
                  <c:v>Joined (cuml)</c:v>
                </c:pt>
              </c:strCache>
            </c:strRef>
          </c:cat>
          <c:val>
            <c:numRef>
              <c:f>'Recruitement Dashboard'!$L$38:$L$47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A76B-4EE0-9AA4-AE60744B7046}"/>
            </c:ext>
          </c:extLst>
        </c:ser>
        <c:dLbls>
          <c:showLegendKey val="0"/>
          <c:showVal val="0"/>
          <c:showCatName val="0"/>
          <c:showSerName val="0"/>
          <c:showPercent val="0"/>
          <c:showBubbleSize val="0"/>
        </c:dLbls>
        <c:gapWidth val="40"/>
        <c:overlap val="100"/>
        <c:axId val="30405073"/>
        <c:axId val="98326949"/>
      </c:barChart>
      <c:catAx>
        <c:axId val="30405073"/>
        <c:scaling>
          <c:orientation val="maxMin"/>
        </c:scaling>
        <c:delete val="0"/>
        <c:axPos val="l"/>
        <c:numFmt formatCode="General" sourceLinked="1"/>
        <c:majorTickMark val="none"/>
        <c:minorTickMark val="none"/>
        <c:tickLblPos val="nextTo"/>
        <c:spPr>
          <a:ln w="0">
            <a:solidFill>
              <a:srgbClr val="B3B3B3"/>
            </a:solidFill>
          </a:ln>
        </c:spPr>
        <c:txPr>
          <a:bodyPr/>
          <a:lstStyle/>
          <a:p>
            <a:pPr>
              <a:defRPr sz="900" b="0" strike="noStrike" spc="-1">
                <a:solidFill>
                  <a:srgbClr val="2B3A4A"/>
                </a:solidFill>
                <a:latin typeface="Arial"/>
              </a:defRPr>
            </a:pPr>
            <a:endParaRPr lang="en-US"/>
          </a:p>
        </c:txPr>
        <c:crossAx val="98326949"/>
        <c:crosses val="autoZero"/>
        <c:auto val="1"/>
        <c:lblAlgn val="ctr"/>
        <c:lblOffset val="100"/>
        <c:noMultiLvlLbl val="0"/>
      </c:catAx>
      <c:valAx>
        <c:axId val="98326949"/>
        <c:scaling>
          <c:orientation val="minMax"/>
        </c:scaling>
        <c:delete val="1"/>
        <c:axPos val="t"/>
        <c:numFmt formatCode="General" sourceLinked="1"/>
        <c:majorTickMark val="none"/>
        <c:minorTickMark val="none"/>
        <c:tickLblPos val="nextTo"/>
        <c:crossAx val="30405073"/>
        <c:crosses val="autoZero"/>
        <c:crossBetween val="between"/>
      </c:valAx>
      <c:spPr>
        <a:noFill/>
        <a:ln w="0">
          <a:noFill/>
        </a:ln>
      </c:spPr>
    </c:plotArea>
    <c:legend>
      <c:legendPos val="b"/>
      <c:overlay val="0"/>
      <c:spPr>
        <a:noFill/>
        <a:ln w="0">
          <a:noFill/>
        </a:ln>
      </c:spPr>
      <c:txPr>
        <a:bodyPr/>
        <a:lstStyle/>
        <a:p>
          <a:pPr>
            <a:defRPr sz="1000" b="0" strike="noStrike" spc="-1">
              <a:solidFill>
                <a:srgbClr val="2B3A4A"/>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Weekly score trend</a:t>
            </a:r>
          </a:p>
        </c:rich>
      </c:tx>
      <c:overlay val="0"/>
      <c:spPr>
        <a:noFill/>
        <a:ln w="0">
          <a:noFill/>
        </a:ln>
      </c:spPr>
    </c:title>
    <c:autoTitleDeleted val="0"/>
    <c:plotArea>
      <c:layout/>
      <c:lineChart>
        <c:grouping val="standard"/>
        <c:varyColors val="0"/>
        <c:ser>
          <c:idx val="0"/>
          <c:order val="0"/>
          <c:tx>
            <c:v>Hands-on assignments</c:v>
          </c:tx>
          <c:spPr>
            <a:ln w="21960" cap="rnd">
              <a:solidFill>
                <a:srgbClr val="2A7F9E"/>
              </a:solidFill>
              <a:round/>
            </a:ln>
          </c:spPr>
          <c:marker>
            <c:symbol val="square"/>
            <c:size val="6"/>
            <c:spPr>
              <a:solidFill>
                <a:srgbClr val="2A7F9E"/>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'Input - Trainers'!$A$2:$A$13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'Input - Trainers'!$B$2:$B$13</c:f>
              <c:numCache>
                <c:formatCode>0%</c:formatCode>
                <c:ptCount val="12"/>
                <c:pt idx="5">
                  <c:v>0.95</c:v>
                </c:pt>
              </c:numCache>
            </c:numRef>
          </c:val>
          <c:smooth val="0"/>
          <c:extLst>
            <c:ext xmlns:c16="http://schemas.microsoft.com/office/drawing/2014/chart" uri="{C3380CC4-5D6E-409C-BE32-E72D297353CC}">
              <c16:uniqueId val="{00000000-1D60-40D8-A7D3-2C5CDBDB17C2}"/>
            </c:ext>
          </c:extLst>
        </c:ser>
        <c:ser>
          <c:idx val="1"/>
          <c:order val="1"/>
          <c:tx>
            <c:v>Proctored assessment</c:v>
          </c:tx>
          <c:spPr>
            <a:ln w="21960">
              <a:solidFill>
                <a:srgbClr val="E08E45"/>
              </a:solidFill>
              <a:round/>
            </a:ln>
          </c:spPr>
          <c:marker>
            <c:symbol val="triangle"/>
            <c:size val="7"/>
            <c:spPr>
              <a:solidFill>
                <a:srgbClr val="E08E45"/>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'Input - Trainers'!$A$2:$A$13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'Input - Trainers'!$C$2:$C$13</c:f>
              <c:numCache>
                <c:formatCode>0%</c:formatCode>
                <c:ptCount val="12"/>
                <c:pt idx="5">
                  <c:v>0.97</c:v>
                </c:pt>
              </c:numCache>
            </c:numRef>
          </c:val>
          <c:smooth val="0"/>
          <c:extLst>
            <c:ext xmlns:c16="http://schemas.microsoft.com/office/drawing/2014/chart" uri="{C3380CC4-5D6E-409C-BE32-E72D297353CC}">
              <c16:uniqueId val="{00000001-1D60-40D8-A7D3-2C5CDBDB17C2}"/>
            </c:ext>
          </c:extLst>
        </c:ser>
        <c:ser>
          <c:idx val="2"/>
          <c:order val="2"/>
          <c:tx>
            <c:v>Overall week average</c:v>
          </c:tx>
          <c:spPr>
            <a:ln w="33840">
              <a:solidFill>
                <a:srgbClr val="1F3A5F"/>
              </a:solidFill>
              <a:round/>
            </a:ln>
          </c:spPr>
          <c:marker>
            <c:symbol val="circle"/>
            <c:size val="7"/>
            <c:spPr>
              <a:solidFill>
                <a:srgbClr val="1F3A5F"/>
              </a:solidFill>
            </c:spPr>
          </c:marker>
          <c:dPt>
            <c:idx val="5"/>
            <c:bubble3D val="0"/>
            <c:extLst>
              <c:ext xmlns:c16="http://schemas.microsoft.com/office/drawing/2014/chart" uri="{C3380CC4-5D6E-409C-BE32-E72D297353CC}">
                <c16:uniqueId val="{00000002-1D60-40D8-A7D3-2C5CDBDB17C2}"/>
              </c:ext>
            </c:extLst>
          </c:dPt>
          <c:dLbls>
            <c:dLbl>
              <c:idx val="5"/>
              <c:spPr/>
              <c:txPr>
                <a:bodyPr wrap="square"/>
                <a:lstStyle/>
                <a:p>
                  <a:pPr>
                    <a:defRPr sz="1000" b="1" strike="noStrike" spc="-1">
                      <a:solidFill>
                        <a:srgbClr val="1F3A5F"/>
                      </a:solidFill>
                      <a:latin typeface="Arial"/>
                    </a:defRPr>
                  </a:pPr>
                  <a:endParaRPr lang="en-US"/>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1D60-40D8-A7D3-2C5CDBDB17C2}"/>
                </c:ext>
              </c:extLst>
            </c:dLbl>
            <c:spPr>
              <a:noFill/>
              <a:ln>
                <a:noFill/>
              </a:ln>
              <a:effectLst/>
            </c:spPr>
            <c:txPr>
              <a:bodyPr wrap="square"/>
              <a:lstStyle/>
              <a:p>
                <a:pPr>
                  <a:defRPr sz="1000" b="1" strike="noStrike" spc="-1">
                    <a:solidFill>
                      <a:srgbClr val="1F3A5F"/>
                    </a:solidFill>
                    <a:latin typeface="Arial"/>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'Input - Trainers'!$A$2:$A$13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'Input - Trainers'!$D$2:$D$13</c:f>
              <c:numCache>
                <c:formatCode>0%</c:formatCode>
                <c:ptCount val="12"/>
                <c:pt idx="5">
                  <c:v>0.96</c:v>
                </c:pt>
              </c:numCache>
            </c:numRef>
          </c:val>
          <c:smooth val="0"/>
          <c:extLst>
            <c:ext xmlns:c16="http://schemas.microsoft.com/office/drawing/2014/chart" uri="{C3380CC4-5D6E-409C-BE32-E72D297353CC}">
              <c16:uniqueId val="{00000003-1D60-40D8-A7D3-2C5CDBDB17C2}"/>
            </c:ext>
          </c:extLst>
        </c:ser>
        <c:dLbls>
          <c:showLegendKey val="0"/>
          <c:showVal val="0"/>
          <c:showCatName val="0"/>
          <c:showSerName val="0"/>
          <c:showPercent val="0"/>
          <c:showBubbleSize val="0"/>
        </c:dLbls>
        <c:hiLowLines>
          <c:spPr>
            <a:ln w="0">
              <a:noFill/>
            </a:ln>
          </c:spPr>
        </c:hiLowLines>
        <c:marker val="1"/>
        <c:smooth val="0"/>
        <c:axId val="93681674"/>
        <c:axId val="18144308"/>
      </c:lineChart>
      <c:catAx>
        <c:axId val="93681674"/>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Week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2B3A4A"/>
                </a:solidFill>
                <a:latin typeface="Arial"/>
              </a:defRPr>
            </a:pPr>
            <a:endParaRPr lang="en-US"/>
          </a:p>
        </c:txPr>
        <c:crossAx val="18144308"/>
        <c:crosses val="autoZero"/>
        <c:auto val="1"/>
        <c:lblAlgn val="ctr"/>
        <c:lblOffset val="100"/>
        <c:noMultiLvlLbl val="0"/>
      </c:catAx>
      <c:valAx>
        <c:axId val="18144308"/>
        <c:scaling>
          <c:orientation val="minMax"/>
        </c:scaling>
        <c:delete val="0"/>
        <c:axPos val="l"/>
        <c:majorGridlines>
          <c:spPr>
            <a:ln w="9360">
              <a:solidFill>
                <a:srgbClr val="E3E7EB"/>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2B3A4A"/>
                </a:solidFill>
                <a:latin typeface="Arial"/>
              </a:defRPr>
            </a:pPr>
            <a:endParaRPr lang="en-US"/>
          </a:p>
        </c:txPr>
        <c:crossAx val="93681674"/>
        <c:crosses val="autoZero"/>
        <c:crossBetween val="between"/>
      </c:valAx>
      <c:spPr>
        <a:noFill/>
        <a:ln w="0">
          <a:noFill/>
        </a:ln>
      </c:spPr>
    </c:plotArea>
    <c:legend>
      <c:legendPos val="b"/>
      <c:overlay val="0"/>
      <c:spPr>
        <a:noFill/>
        <a:ln w="0">
          <a:noFill/>
        </a:ln>
      </c:spPr>
      <c:txPr>
        <a:bodyPr/>
        <a:lstStyle/>
        <a:p>
          <a:pPr>
            <a:defRPr sz="1000" b="0" strike="noStrike" spc="-1">
              <a:solidFill>
                <a:srgbClr val="2B3A4A"/>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Active students by week</a:t>
            </a:r>
          </a:p>
        </c:rich>
      </c:tx>
      <c:overlay val="0"/>
      <c:spPr>
        <a:noFill/>
        <a:ln w="0">
          <a:noFill/>
        </a:ln>
      </c:spPr>
    </c:title>
    <c:autoTitleDeleted val="0"/>
    <c:plotArea>
      <c:layout/>
      <c:barChart>
        <c:barDir val="col"/>
        <c:grouping val="clustered"/>
        <c:varyColors val="0"/>
        <c:ser>
          <c:idx val="0"/>
          <c:order val="0"/>
          <c:tx>
            <c:v>Active students</c:v>
          </c:tx>
          <c:spPr>
            <a:solidFill>
              <a:srgbClr val="2A7F9E"/>
            </a:solidFill>
            <a:ln w="9360">
              <a:noFill/>
            </a:ln>
          </c:spPr>
          <c:invertIfNegative val="0"/>
          <c:dLbls>
            <c:spPr>
              <a:noFill/>
              <a:ln>
                <a:noFill/>
              </a:ln>
              <a:effectLst/>
            </c:spPr>
            <c:txPr>
              <a:bodyPr wrap="square"/>
              <a:lstStyle/>
              <a:p>
                <a:pPr>
                  <a:defRPr sz="1100" b="1" strike="noStrike" spc="-1">
                    <a:solidFill>
                      <a:srgbClr val="2B3A4A"/>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'Input - Trainers'!$A$2:$A$13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'Input - Trainers'!$E$2:$E$13</c:f>
              <c:numCache>
                <c:formatCode>General</c:formatCode>
                <c:ptCount val="12"/>
                <c:pt idx="5">
                  <c:v>20</c:v>
                </c:pt>
              </c:numCache>
            </c:numRef>
          </c:val>
          <c:extLst>
            <c:ext xmlns:c16="http://schemas.microsoft.com/office/drawing/2014/chart" uri="{C3380CC4-5D6E-409C-BE32-E72D297353CC}">
              <c16:uniqueId val="{00000000-CB83-4F4F-9DC4-82A98E29AF5D}"/>
            </c:ext>
          </c:extLst>
        </c:ser>
        <c:dLbls>
          <c:showLegendKey val="0"/>
          <c:showVal val="0"/>
          <c:showCatName val="0"/>
          <c:showSerName val="0"/>
          <c:showPercent val="0"/>
          <c:showBubbleSize val="0"/>
        </c:dLbls>
        <c:gapWidth val="50"/>
        <c:axId val="20164953"/>
        <c:axId val="53779093"/>
      </c:barChart>
      <c:catAx>
        <c:axId val="20164953"/>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Week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2B3A4A"/>
                </a:solidFill>
                <a:latin typeface="Arial"/>
              </a:defRPr>
            </a:pPr>
            <a:endParaRPr lang="en-US"/>
          </a:p>
        </c:txPr>
        <c:crossAx val="53779093"/>
        <c:crosses val="autoZero"/>
        <c:auto val="1"/>
        <c:lblAlgn val="ctr"/>
        <c:lblOffset val="100"/>
        <c:noMultiLvlLbl val="0"/>
      </c:catAx>
      <c:valAx>
        <c:axId val="53779093"/>
        <c:scaling>
          <c:orientation val="minMax"/>
        </c:scaling>
        <c:delete val="1"/>
        <c:axPos val="l"/>
        <c:numFmt formatCode="General" sourceLinked="1"/>
        <c:majorTickMark val="none"/>
        <c:minorTickMark val="none"/>
        <c:tickLblPos val="nextTo"/>
        <c:crossAx val="2016495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Headcount by career stage and source</a:t>
            </a:r>
          </a:p>
        </c:rich>
      </c:tx>
      <c:overlay val="0"/>
      <c:spPr>
        <a:noFill/>
        <a:ln w="0">
          <a:noFill/>
        </a:ln>
      </c:spPr>
    </c:title>
    <c:autoTitleDeleted val="0"/>
    <c:plotArea>
      <c:layout/>
      <c:barChart>
        <c:barDir val="col"/>
        <c:grouping val="stacked"/>
        <c:varyColors val="0"/>
        <c:ser>
          <c:idx val="0"/>
          <c:order val="0"/>
          <c:tx>
            <c:strRef>
              <c:f>Calc!$B$3</c:f>
              <c:strCache>
                <c:ptCount val="1"/>
                <c:pt idx="0">
                  <c:v>Internal</c:v>
                </c:pt>
              </c:strCache>
            </c:strRef>
          </c:tx>
          <c:spPr>
            <a:solidFill>
              <a:srgbClr val="2A7F9E"/>
            </a:solidFill>
            <a:ln w="9360">
              <a:noFill/>
            </a:ln>
          </c:spPr>
          <c:invertIfNegative val="0"/>
          <c:dLbls>
            <c:numFmt formatCode="0;;;" sourceLinked="0"/>
            <c:spPr>
              <a:noFill/>
              <a:ln>
                <a:noFill/>
              </a:ln>
              <a:effectLst/>
            </c:spPr>
            <c:txPr>
              <a:bodyPr wrap="square"/>
              <a:lstStyle/>
              <a:p>
                <a:pPr>
                  <a:defRPr sz="12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Calc!$A$4:$A$6</c:f>
              <c:strCache>
                <c:ptCount val="3"/>
                <c:pt idx="0">
                  <c:v>Senior FDE</c:v>
                </c:pt>
                <c:pt idx="1">
                  <c:v>FDE</c:v>
                </c:pt>
                <c:pt idx="2">
                  <c:v>Trainee</c:v>
                </c:pt>
              </c:strCache>
            </c:strRef>
          </c:cat>
          <c:val>
            <c:numRef>
              <c:f>Calc!$B$4:$B$6</c:f>
              <c:numCache>
                <c:formatCode>General</c:formatCode>
                <c:ptCount val="3"/>
                <c:pt idx="0">
                  <c:v>15</c:v>
                </c:pt>
                <c:pt idx="1">
                  <c:v>0</c:v>
                </c:pt>
                <c:pt idx="2">
                  <c:v>0</c:v>
                </c:pt>
              </c:numCache>
            </c:numRef>
          </c:val>
          <c:extLst>
            <c:ext xmlns:c16="http://schemas.microsoft.com/office/drawing/2014/chart" uri="{C3380CC4-5D6E-409C-BE32-E72D297353CC}">
              <c16:uniqueId val="{00000000-CF71-438D-9A2B-56373B1B3524}"/>
            </c:ext>
          </c:extLst>
        </c:ser>
        <c:ser>
          <c:idx val="1"/>
          <c:order val="1"/>
          <c:tx>
            <c:strRef>
              <c:f>Calc!$C$3</c:f>
              <c:strCache>
                <c:ptCount val="1"/>
                <c:pt idx="0">
                  <c:v>External</c:v>
                </c:pt>
              </c:strCache>
            </c:strRef>
          </c:tx>
          <c:spPr>
            <a:solidFill>
              <a:srgbClr val="E08E45"/>
            </a:solidFill>
            <a:ln w="9360">
              <a:noFill/>
            </a:ln>
          </c:spPr>
          <c:invertIfNegative val="0"/>
          <c:dLbls>
            <c:numFmt formatCode="0;;;" sourceLinked="0"/>
            <c:spPr>
              <a:noFill/>
              <a:ln>
                <a:noFill/>
              </a:ln>
              <a:effectLst/>
            </c:spPr>
            <c:txPr>
              <a:bodyPr wrap="square"/>
              <a:lstStyle/>
              <a:p>
                <a:pPr>
                  <a:defRPr sz="12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Calc!$A$4:$A$6</c:f>
              <c:strCache>
                <c:ptCount val="3"/>
                <c:pt idx="0">
                  <c:v>Senior FDE</c:v>
                </c:pt>
                <c:pt idx="1">
                  <c:v>FDE</c:v>
                </c:pt>
                <c:pt idx="2">
                  <c:v>Trainee</c:v>
                </c:pt>
              </c:strCache>
            </c:strRef>
          </c:cat>
          <c:val>
            <c:numRef>
              <c:f>Calc!$C$4:$C$6</c:f>
              <c:numCache>
                <c:formatCode>General</c:formatCode>
                <c:ptCount val="3"/>
                <c:pt idx="0">
                  <c:v>0</c:v>
                </c:pt>
                <c:pt idx="1">
                  <c:v>3</c:v>
                </c:pt>
                <c:pt idx="2">
                  <c:v>20</c:v>
                </c:pt>
              </c:numCache>
            </c:numRef>
          </c:val>
          <c:extLst>
            <c:ext xmlns:c16="http://schemas.microsoft.com/office/drawing/2014/chart" uri="{C3380CC4-5D6E-409C-BE32-E72D297353CC}">
              <c16:uniqueId val="{00000001-CF71-438D-9A2B-56373B1B3524}"/>
            </c:ext>
          </c:extLst>
        </c:ser>
        <c:dLbls>
          <c:showLegendKey val="0"/>
          <c:showVal val="0"/>
          <c:showCatName val="0"/>
          <c:showSerName val="0"/>
          <c:showPercent val="0"/>
          <c:showBubbleSize val="0"/>
        </c:dLbls>
        <c:gapWidth val="45"/>
        <c:overlap val="100"/>
        <c:axId val="54536061"/>
        <c:axId val="8410421"/>
      </c:barChart>
      <c:catAx>
        <c:axId val="5453606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8410421"/>
        <c:crosses val="autoZero"/>
        <c:auto val="1"/>
        <c:lblAlgn val="ctr"/>
        <c:lblOffset val="100"/>
        <c:noMultiLvlLbl val="0"/>
      </c:catAx>
      <c:valAx>
        <c:axId val="8410421"/>
        <c:scaling>
          <c:orientation val="minMax"/>
        </c:scaling>
        <c:delete val="1"/>
        <c:axPos val="l"/>
        <c:numFmt formatCode="General" sourceLinked="1"/>
        <c:majorTickMark val="none"/>
        <c:minorTickMark val="none"/>
        <c:tickLblPos val="nextTo"/>
        <c:crossAx val="54536061"/>
        <c:crosses val="autoZero"/>
        <c:crossBetween val="between"/>
      </c:valAx>
      <c:spPr>
        <a:noFill/>
        <a:ln w="0">
          <a:noFill/>
        </a:ln>
      </c:spPr>
    </c:plotArea>
    <c:legend>
      <c:legendPos val="b"/>
      <c:overlay val="0"/>
      <c:spPr>
        <a:noFill/>
        <a:ln w="0">
          <a:noFill/>
        </a:ln>
      </c:spPr>
      <c:txPr>
        <a:bodyPr/>
        <a:lstStyle/>
        <a:p>
          <a:pPr>
            <a:defRPr sz="1000" b="0" strike="noStrike" spc="-1">
              <a:solidFill>
                <a:srgbClr val="2B3A4A"/>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Where is everyone today</a:t>
            </a:r>
          </a:p>
        </c:rich>
      </c:tx>
      <c:overlay val="0"/>
      <c:spPr>
        <a:noFill/>
        <a:ln w="0">
          <a:noFill/>
        </a:ln>
      </c:spPr>
    </c:title>
    <c:autoTitleDeleted val="0"/>
    <c:plotArea>
      <c:layout/>
      <c:barChart>
        <c:barDir val="bar"/>
        <c:grouping val="clustered"/>
        <c:varyColors val="0"/>
        <c:ser>
          <c:idx val="0"/>
          <c:order val="0"/>
          <c:tx>
            <c:strRef>
              <c:f>Calc!$B$19</c:f>
              <c:strCache>
                <c:ptCount val="1"/>
                <c:pt idx="0">
                  <c:v>People</c:v>
                </c:pt>
              </c:strCache>
            </c:strRef>
          </c:tx>
          <c:spPr>
            <a:solidFill>
              <a:srgbClr val="2A7F9E"/>
            </a:solidFill>
            <a:ln w="9360">
              <a:noFill/>
            </a:ln>
          </c:spPr>
          <c:invertIfNegative val="0"/>
          <c:dPt>
            <c:idx val="3"/>
            <c:invertIfNegative val="0"/>
            <c:bubble3D val="0"/>
            <c:spPr>
              <a:solidFill>
                <a:srgbClr val="C0504D"/>
              </a:solidFill>
              <a:ln w="9360">
                <a:noFill/>
              </a:ln>
            </c:spPr>
            <c:extLst>
              <c:ext xmlns:c16="http://schemas.microsoft.com/office/drawing/2014/chart" uri="{C3380CC4-5D6E-409C-BE32-E72D297353CC}">
                <c16:uniqueId val="{00000001-76FC-47FC-AF49-325DA83894D8}"/>
              </c:ext>
            </c:extLst>
          </c:dPt>
          <c:dPt>
            <c:idx val="4"/>
            <c:invertIfNegative val="0"/>
            <c:bubble3D val="0"/>
            <c:spPr>
              <a:solidFill>
                <a:srgbClr val="C3CAD2"/>
              </a:solidFill>
              <a:ln w="9360">
                <a:noFill/>
              </a:ln>
            </c:spPr>
            <c:extLst>
              <c:ext xmlns:c16="http://schemas.microsoft.com/office/drawing/2014/chart" uri="{C3380CC4-5D6E-409C-BE32-E72D297353CC}">
                <c16:uniqueId val="{00000003-76FC-47FC-AF49-325DA83894D8}"/>
              </c:ext>
            </c:extLst>
          </c:dPt>
          <c:dPt>
            <c:idx val="5"/>
            <c:invertIfNegative val="0"/>
            <c:bubble3D val="0"/>
            <c:spPr>
              <a:solidFill>
                <a:srgbClr val="C3CAD2"/>
              </a:solidFill>
              <a:ln w="9360">
                <a:noFill/>
              </a:ln>
            </c:spPr>
            <c:extLst>
              <c:ext xmlns:c16="http://schemas.microsoft.com/office/drawing/2014/chart" uri="{C3380CC4-5D6E-409C-BE32-E72D297353CC}">
                <c16:uniqueId val="{00000005-76FC-47FC-AF49-325DA83894D8}"/>
              </c:ext>
            </c:extLst>
          </c:dPt>
          <c:dLbls>
            <c:dLbl>
              <c:idx val="3"/>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6FC-47FC-AF49-325DA83894D8}"/>
                </c:ext>
              </c:extLst>
            </c:dLbl>
            <c:dLbl>
              <c:idx val="4"/>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6FC-47FC-AF49-325DA83894D8}"/>
                </c:ext>
              </c:extLst>
            </c:dLbl>
            <c:dLbl>
              <c:idx val="5"/>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6FC-47FC-AF49-325DA83894D8}"/>
                </c:ext>
              </c:extLst>
            </c:dLbl>
            <c:spPr>
              <a:noFill/>
              <a:ln>
                <a:noFill/>
              </a:ln>
              <a:effectLst/>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Calc!$A$20:$A$25</c:f>
              <c:strCache>
                <c:ptCount val="6"/>
                <c:pt idx="0">
                  <c:v>Active at client</c:v>
                </c:pt>
                <c:pt idx="1">
                  <c:v>Client starting soon</c:v>
                </c:pt>
                <c:pt idx="2">
                  <c:v>Client contract ended</c:v>
                </c:pt>
                <c:pt idx="3">
                  <c:v>On bench (joined, unassigned)</c:v>
                </c:pt>
                <c:pt idx="4">
                  <c:v>In training (Trainees)</c:v>
                </c:pt>
                <c:pt idx="5">
                  <c:v>Yet to join</c:v>
                </c:pt>
              </c:strCache>
            </c:strRef>
          </c:cat>
          <c:val>
            <c:numRef>
              <c:f>Calc!$B$20:$B$25</c:f>
              <c:numCache>
                <c:formatCode>General</c:formatCode>
                <c:ptCount val="6"/>
                <c:pt idx="0">
                  <c:v>10</c:v>
                </c:pt>
                <c:pt idx="1">
                  <c:v>0</c:v>
                </c:pt>
                <c:pt idx="2">
                  <c:v>0</c:v>
                </c:pt>
                <c:pt idx="3">
                  <c:v>2</c:v>
                </c:pt>
                <c:pt idx="4">
                  <c:v>20</c:v>
                </c:pt>
                <c:pt idx="5">
                  <c:v>6</c:v>
                </c:pt>
              </c:numCache>
            </c:numRef>
          </c:val>
          <c:extLst>
            <c:ext xmlns:c16="http://schemas.microsoft.com/office/drawing/2014/chart" uri="{C3380CC4-5D6E-409C-BE32-E72D297353CC}">
              <c16:uniqueId val="{00000006-76FC-47FC-AF49-325DA83894D8}"/>
            </c:ext>
          </c:extLst>
        </c:ser>
        <c:dLbls>
          <c:showLegendKey val="0"/>
          <c:showVal val="0"/>
          <c:showCatName val="0"/>
          <c:showSerName val="0"/>
          <c:showPercent val="0"/>
          <c:showBubbleSize val="0"/>
        </c:dLbls>
        <c:gapWidth val="45"/>
        <c:axId val="60950243"/>
        <c:axId val="70291300"/>
      </c:barChart>
      <c:catAx>
        <c:axId val="60950243"/>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70291300"/>
        <c:crosses val="autoZero"/>
        <c:auto val="1"/>
        <c:lblAlgn val="ctr"/>
        <c:lblOffset val="100"/>
        <c:noMultiLvlLbl val="0"/>
      </c:catAx>
      <c:valAx>
        <c:axId val="70291300"/>
        <c:scaling>
          <c:orientation val="minMax"/>
        </c:scaling>
        <c:delete val="1"/>
        <c:axPos val="t"/>
        <c:numFmt formatCode="General" sourceLinked="1"/>
        <c:majorTickMark val="none"/>
        <c:minorTickMark val="none"/>
        <c:tickLblPos val="nextTo"/>
        <c:crossAx val="609502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Headcount by location</a:t>
            </a:r>
          </a:p>
        </c:rich>
      </c:tx>
      <c:overlay val="0"/>
      <c:spPr>
        <a:noFill/>
        <a:ln w="0">
          <a:noFill/>
        </a:ln>
      </c:spPr>
    </c:title>
    <c:autoTitleDeleted val="0"/>
    <c:plotArea>
      <c:layout/>
      <c:barChart>
        <c:barDir val="col"/>
        <c:grouping val="clustered"/>
        <c:varyColors val="0"/>
        <c:ser>
          <c:idx val="0"/>
          <c:order val="0"/>
          <c:tx>
            <c:strRef>
              <c:f>Calc!$B$10</c:f>
              <c:strCache>
                <c:ptCount val="1"/>
                <c:pt idx="0">
                  <c:v>Headcount</c:v>
                </c:pt>
              </c:strCache>
            </c:strRef>
          </c:tx>
          <c:spPr>
            <a:solidFill>
              <a:srgbClr val="2A7F9E"/>
            </a:solidFill>
            <a:ln w="9360">
              <a:noFill/>
            </a:ln>
          </c:spPr>
          <c:invertIfNegative val="0"/>
          <c:dLbls>
            <c:spPr>
              <a:noFill/>
              <a:ln>
                <a:noFill/>
              </a:ln>
              <a:effectLst/>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Calc!$A$11:$A$16</c:f>
              <c:strCache>
                <c:ptCount val="6"/>
                <c:pt idx="0">
                  <c:v>USA</c:v>
                </c:pt>
                <c:pt idx="1">
                  <c:v>India</c:v>
                </c:pt>
                <c:pt idx="2">
                  <c:v>UK</c:v>
                </c:pt>
                <c:pt idx="3">
                  <c:v>LATAM</c:v>
                </c:pt>
                <c:pt idx="4">
                  <c:v>Canada</c:v>
                </c:pt>
                <c:pt idx="5">
                  <c:v>Other</c:v>
                </c:pt>
              </c:strCache>
            </c:strRef>
          </c:cat>
          <c:val>
            <c:numRef>
              <c:f>Calc!$B$11:$B$16</c:f>
              <c:numCache>
                <c:formatCode>General</c:formatCode>
                <c:ptCount val="6"/>
                <c:pt idx="0">
                  <c:v>28</c:v>
                </c:pt>
                <c:pt idx="1">
                  <c:v>2</c:v>
                </c:pt>
                <c:pt idx="2">
                  <c:v>3</c:v>
                </c:pt>
                <c:pt idx="3">
                  <c:v>3</c:v>
                </c:pt>
                <c:pt idx="4">
                  <c:v>2</c:v>
                </c:pt>
                <c:pt idx="5">
                  <c:v>0</c:v>
                </c:pt>
              </c:numCache>
            </c:numRef>
          </c:val>
          <c:extLst>
            <c:ext xmlns:c16="http://schemas.microsoft.com/office/drawing/2014/chart" uri="{C3380CC4-5D6E-409C-BE32-E72D297353CC}">
              <c16:uniqueId val="{00000000-8C4B-42F6-8319-6873D3887922}"/>
            </c:ext>
          </c:extLst>
        </c:ser>
        <c:dLbls>
          <c:showLegendKey val="0"/>
          <c:showVal val="0"/>
          <c:showCatName val="0"/>
          <c:showSerName val="0"/>
          <c:showPercent val="0"/>
          <c:showBubbleSize val="0"/>
        </c:dLbls>
        <c:gapWidth val="45"/>
        <c:axId val="52400879"/>
        <c:axId val="20350357"/>
      </c:barChart>
      <c:catAx>
        <c:axId val="5240087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20350357"/>
        <c:crosses val="autoZero"/>
        <c:auto val="1"/>
        <c:lblAlgn val="ctr"/>
        <c:lblOffset val="100"/>
        <c:noMultiLvlLbl val="0"/>
      </c:catAx>
      <c:valAx>
        <c:axId val="20350357"/>
        <c:scaling>
          <c:orientation val="minMax"/>
        </c:scaling>
        <c:delete val="1"/>
        <c:axPos val="l"/>
        <c:numFmt formatCode="General" sourceLinked="1"/>
        <c:majorTickMark val="none"/>
        <c:minorTickMark val="none"/>
        <c:tickLblPos val="nextTo"/>
        <c:crossAx val="5240087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Monthly revenue by client (active contracts, USD)</a:t>
            </a:r>
          </a:p>
        </c:rich>
      </c:tx>
      <c:overlay val="0"/>
      <c:spPr>
        <a:noFill/>
        <a:ln w="0">
          <a:noFill/>
        </a:ln>
      </c:spPr>
    </c:title>
    <c:autoTitleDeleted val="0"/>
    <c:plotArea>
      <c:layout/>
      <c:barChart>
        <c:barDir val="col"/>
        <c:grouping val="clustered"/>
        <c:varyColors val="0"/>
        <c:ser>
          <c:idx val="0"/>
          <c:order val="0"/>
          <c:tx>
            <c:strRef>
              <c:f>Calc!$C$28</c:f>
              <c:strCache>
                <c:ptCount val="1"/>
                <c:pt idx="0">
                  <c:v>Monthly revenue (USD)</c:v>
                </c:pt>
              </c:strCache>
            </c:strRef>
          </c:tx>
          <c:spPr>
            <a:solidFill>
              <a:srgbClr val="1F3A5F"/>
            </a:solidFill>
            <a:ln w="9360">
              <a:noFill/>
            </a:ln>
          </c:spPr>
          <c:invertIfNegative val="0"/>
          <c:dLbls>
            <c:spPr>
              <a:noFill/>
              <a:ln>
                <a:noFill/>
              </a:ln>
              <a:effectLst/>
            </c:spPr>
            <c:txPr>
              <a:bodyPr wrap="square"/>
              <a:lstStyle/>
              <a:p>
                <a:pPr>
                  <a:defRPr sz="1000" b="1" strike="noStrike" spc="-1">
                    <a:solidFill>
                      <a:srgbClr val="2B3A4A"/>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Calc!$A$29:$A$35</c:f>
              <c:strCache>
                <c:ptCount val="7"/>
                <c:pt idx="0">
                  <c:v>TriNet</c:v>
                </c:pt>
                <c:pt idx="1">
                  <c:v>PMI</c:v>
                </c:pt>
                <c:pt idx="2">
                  <c:v>Hiscox</c:v>
                </c:pt>
                <c:pt idx="3">
                  <c:v>SEI</c:v>
                </c:pt>
                <c:pt idx="4">
                  <c:v>M&amp;T Bank</c:v>
                </c:pt>
                <c:pt idx="5">
                  <c:v>Peabody</c:v>
                </c:pt>
                <c:pt idx="6">
                  <c:v>Other clients</c:v>
                </c:pt>
              </c:strCache>
            </c:strRef>
          </c:cat>
          <c:val>
            <c:numRef>
              <c:f>Calc!$C$29:$C$35</c:f>
              <c:numCache>
                <c:formatCode>\$#,##0;"($"#,##0\);\-</c:formatCode>
                <c:ptCount val="7"/>
                <c:pt idx="0">
                  <c:v>48000</c:v>
                </c:pt>
                <c:pt idx="1">
                  <c:v>16000</c:v>
                </c:pt>
                <c:pt idx="2">
                  <c:v>16000</c:v>
                </c:pt>
                <c:pt idx="3">
                  <c:v>32000</c:v>
                </c:pt>
                <c:pt idx="4">
                  <c:v>16000</c:v>
                </c:pt>
                <c:pt idx="5">
                  <c:v>16000</c:v>
                </c:pt>
                <c:pt idx="6">
                  <c:v>0</c:v>
                </c:pt>
              </c:numCache>
            </c:numRef>
          </c:val>
          <c:extLst>
            <c:ext xmlns:c16="http://schemas.microsoft.com/office/drawing/2014/chart" uri="{C3380CC4-5D6E-409C-BE32-E72D297353CC}">
              <c16:uniqueId val="{00000000-7793-4807-AA10-A03466931687}"/>
            </c:ext>
          </c:extLst>
        </c:ser>
        <c:dLbls>
          <c:showLegendKey val="0"/>
          <c:showVal val="0"/>
          <c:showCatName val="0"/>
          <c:showSerName val="0"/>
          <c:showPercent val="0"/>
          <c:showBubbleSize val="0"/>
        </c:dLbls>
        <c:gapWidth val="45"/>
        <c:axId val="46025180"/>
        <c:axId val="45530146"/>
      </c:barChart>
      <c:catAx>
        <c:axId val="4602518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45530146"/>
        <c:crosses val="autoZero"/>
        <c:auto val="1"/>
        <c:lblAlgn val="ctr"/>
        <c:lblOffset val="100"/>
        <c:noMultiLvlLbl val="0"/>
      </c:catAx>
      <c:valAx>
        <c:axId val="45530146"/>
        <c:scaling>
          <c:orientation val="minMax"/>
        </c:scaling>
        <c:delete val="1"/>
        <c:axPos val="l"/>
        <c:numFmt formatCode="\$#,##0;&quot;($&quot;#,##0\);\-" sourceLinked="1"/>
        <c:majorTickMark val="none"/>
        <c:minorTickMark val="none"/>
        <c:tickLblPos val="nextTo"/>
        <c:crossAx val="4602518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Start dates by month (Momentum Blue)</a:t>
            </a:r>
          </a:p>
        </c:rich>
      </c:tx>
      <c:overlay val="0"/>
      <c:spPr>
        <a:noFill/>
        <a:ln w="0">
          <a:noFill/>
        </a:ln>
      </c:spPr>
    </c:title>
    <c:autoTitleDeleted val="0"/>
    <c:plotArea>
      <c:layout/>
      <c:barChart>
        <c:barDir val="col"/>
        <c:grouping val="clustered"/>
        <c:varyColors val="0"/>
        <c:ser>
          <c:idx val="0"/>
          <c:order val="0"/>
          <c:tx>
            <c:strRef>
              <c:f>Calc!$C$39</c:f>
              <c:strCache>
                <c:ptCount val="1"/>
                <c:pt idx="0">
                  <c:v>Joiners</c:v>
                </c:pt>
              </c:strCache>
            </c:strRef>
          </c:tx>
          <c:spPr>
            <a:solidFill>
              <a:srgbClr val="2A7F9E"/>
            </a:solidFill>
            <a:ln w="9360">
              <a:noFill/>
            </a:ln>
          </c:spPr>
          <c:invertIfNegative val="0"/>
          <c:dLbls>
            <c:spPr>
              <a:noFill/>
              <a:ln>
                <a:noFill/>
              </a:ln>
              <a:effectLst/>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Calc!$B$40:$B$46</c:f>
              <c:strCache>
                <c:ptCount val="7"/>
                <c:pt idx="0">
                  <c:v>Jul-26</c:v>
                </c:pt>
                <c:pt idx="1">
                  <c:v>Aug-26</c:v>
                </c:pt>
                <c:pt idx="2">
                  <c:v>Sep-26</c:v>
                </c:pt>
                <c:pt idx="3">
                  <c:v>Oct-26</c:v>
                </c:pt>
                <c:pt idx="4">
                  <c:v>Nov-26</c:v>
                </c:pt>
                <c:pt idx="5">
                  <c:v>Dec-26</c:v>
                </c:pt>
                <c:pt idx="6">
                  <c:v>Jan-27</c:v>
                </c:pt>
              </c:strCache>
            </c:strRef>
          </c:cat>
          <c:val>
            <c:numRef>
              <c:f>Calc!$C$40:$C$46</c:f>
              <c:numCache>
                <c:formatCode>General</c:formatCode>
                <c:ptCount val="7"/>
                <c:pt idx="0">
                  <c:v>2</c:v>
                </c:pt>
                <c:pt idx="1">
                  <c:v>23</c:v>
                </c:pt>
                <c:pt idx="2">
                  <c:v>5</c:v>
                </c:pt>
                <c:pt idx="3">
                  <c:v>6</c:v>
                </c:pt>
                <c:pt idx="4">
                  <c:v>0</c:v>
                </c:pt>
                <c:pt idx="5">
                  <c:v>0</c:v>
                </c:pt>
                <c:pt idx="6">
                  <c:v>2</c:v>
                </c:pt>
              </c:numCache>
            </c:numRef>
          </c:val>
          <c:extLst>
            <c:ext xmlns:c16="http://schemas.microsoft.com/office/drawing/2014/chart" uri="{C3380CC4-5D6E-409C-BE32-E72D297353CC}">
              <c16:uniqueId val="{00000000-28FA-4045-ABAA-DD8B1AFECE2E}"/>
            </c:ext>
          </c:extLst>
        </c:ser>
        <c:dLbls>
          <c:showLegendKey val="0"/>
          <c:showVal val="0"/>
          <c:showCatName val="0"/>
          <c:showSerName val="0"/>
          <c:showPercent val="0"/>
          <c:showBubbleSize val="0"/>
        </c:dLbls>
        <c:gapWidth val="45"/>
        <c:axId val="64513473"/>
        <c:axId val="74175783"/>
      </c:barChart>
      <c:catAx>
        <c:axId val="6451347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74175783"/>
        <c:crosses val="autoZero"/>
        <c:auto val="1"/>
        <c:lblAlgn val="ctr"/>
        <c:lblOffset val="100"/>
        <c:noMultiLvlLbl val="0"/>
      </c:catAx>
      <c:valAx>
        <c:axId val="74175783"/>
        <c:scaling>
          <c:orientation val="minMax"/>
        </c:scaling>
        <c:delete val="1"/>
        <c:axPos val="l"/>
        <c:numFmt formatCode="General" sourceLinked="1"/>
        <c:majorTickMark val="none"/>
        <c:minorTickMark val="none"/>
        <c:tickLblPos val="nextTo"/>
        <c:crossAx val="6451347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Location: available now vs. available in future</a:t>
            </a:r>
          </a:p>
        </c:rich>
      </c:tx>
      <c:overlay val="0"/>
      <c:spPr>
        <a:noFill/>
        <a:ln w="0">
          <a:noFill/>
        </a:ln>
      </c:spPr>
    </c:title>
    <c:autoTitleDeleted val="0"/>
    <c:plotArea>
      <c:layout/>
      <c:barChart>
        <c:barDir val="bar"/>
        <c:grouping val="stacked"/>
        <c:varyColors val="0"/>
        <c:ser>
          <c:idx val="0"/>
          <c:order val="0"/>
          <c:tx>
            <c:strRef>
              <c:f>Calc!$B$49</c:f>
              <c:strCache>
                <c:ptCount val="1"/>
                <c:pt idx="0">
                  <c:v>Available now</c:v>
                </c:pt>
              </c:strCache>
            </c:strRef>
          </c:tx>
          <c:spPr>
            <a:solidFill>
              <a:srgbClr val="2A7F9E"/>
            </a:solidFill>
            <a:ln w="9360">
              <a:noFill/>
            </a:ln>
          </c:spPr>
          <c:invertIfNegative val="0"/>
          <c:dLbls>
            <c:numFmt formatCode="0;;;" sourceLinked="0"/>
            <c:spPr>
              <a:noFill/>
              <a:ln>
                <a:noFill/>
              </a:ln>
              <a:effectLst/>
            </c:spPr>
            <c:txPr>
              <a:bodyPr wrap="square"/>
              <a:lstStyle/>
              <a:p>
                <a:pPr>
                  <a:defRPr sz="1200" b="1" strike="noStrike" spc="-1">
                    <a:solidFill>
                      <a:srgbClr val="FFFFFF"/>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Calc!$E$50:$E$55</c:f>
              <c:strCache>
                <c:ptCount val="5"/>
                <c:pt idx="0">
                  <c:v>USA  (28)</c:v>
                </c:pt>
                <c:pt idx="1">
                  <c:v>India  (2)</c:v>
                </c:pt>
                <c:pt idx="2">
                  <c:v>UK  (3)</c:v>
                </c:pt>
                <c:pt idx="3">
                  <c:v>LATAM  (3)</c:v>
                </c:pt>
                <c:pt idx="4">
                  <c:v>Canada  (2)</c:v>
                </c:pt>
              </c:strCache>
            </c:strRef>
          </c:cat>
          <c:val>
            <c:numRef>
              <c:f>Calc!$B$50:$B$55</c:f>
              <c:numCache>
                <c:formatCode>General</c:formatCode>
                <c:ptCount val="6"/>
                <c:pt idx="0">
                  <c:v>7</c:v>
                </c:pt>
                <c:pt idx="1">
                  <c:v>2</c:v>
                </c:pt>
                <c:pt idx="2">
                  <c:v>1</c:v>
                </c:pt>
                <c:pt idx="3">
                  <c:v>2</c:v>
                </c:pt>
                <c:pt idx="4">
                  <c:v>0</c:v>
                </c:pt>
                <c:pt idx="5">
                  <c:v>0</c:v>
                </c:pt>
              </c:numCache>
            </c:numRef>
          </c:val>
          <c:extLst>
            <c:ext xmlns:c16="http://schemas.microsoft.com/office/drawing/2014/chart" uri="{C3380CC4-5D6E-409C-BE32-E72D297353CC}">
              <c16:uniqueId val="{00000000-9542-4900-BEC2-6B54DB5C08FE}"/>
            </c:ext>
          </c:extLst>
        </c:ser>
        <c:ser>
          <c:idx val="1"/>
          <c:order val="1"/>
          <c:tx>
            <c:strRef>
              <c:f>Calc!$C$49</c:f>
              <c:strCache>
                <c:ptCount val="1"/>
                <c:pt idx="0">
                  <c:v>Available in future</c:v>
                </c:pt>
              </c:strCache>
            </c:strRef>
          </c:tx>
          <c:spPr>
            <a:solidFill>
              <a:srgbClr val="C3CAD2"/>
            </a:solidFill>
            <a:ln w="9360">
              <a:noFill/>
            </a:ln>
          </c:spPr>
          <c:invertIfNegative val="0"/>
          <c:dLbls>
            <c:numFmt formatCode="0;;;" sourceLinked="0"/>
            <c:spPr>
              <a:noFill/>
              <a:ln>
                <a:noFill/>
              </a:ln>
              <a:effectLst/>
            </c:spPr>
            <c:txPr>
              <a:bodyPr wrap="square"/>
              <a:lstStyle/>
              <a:p>
                <a:pPr>
                  <a:defRPr sz="1200" b="1" strike="noStrike" spc="-1">
                    <a:solidFill>
                      <a:srgbClr val="2B3A4A"/>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Calc!$E$50:$E$55</c:f>
              <c:strCache>
                <c:ptCount val="5"/>
                <c:pt idx="0">
                  <c:v>USA  (28)</c:v>
                </c:pt>
                <c:pt idx="1">
                  <c:v>India  (2)</c:v>
                </c:pt>
                <c:pt idx="2">
                  <c:v>UK  (3)</c:v>
                </c:pt>
                <c:pt idx="3">
                  <c:v>LATAM  (3)</c:v>
                </c:pt>
                <c:pt idx="4">
                  <c:v>Canada  (2)</c:v>
                </c:pt>
              </c:strCache>
            </c:strRef>
          </c:cat>
          <c:val>
            <c:numRef>
              <c:f>Calc!$C$50:$C$55</c:f>
              <c:numCache>
                <c:formatCode>General</c:formatCode>
                <c:ptCount val="6"/>
                <c:pt idx="0">
                  <c:v>21</c:v>
                </c:pt>
                <c:pt idx="1">
                  <c:v>0</c:v>
                </c:pt>
                <c:pt idx="2">
                  <c:v>2</c:v>
                </c:pt>
                <c:pt idx="3">
                  <c:v>1</c:v>
                </c:pt>
                <c:pt idx="4">
                  <c:v>2</c:v>
                </c:pt>
                <c:pt idx="5">
                  <c:v>0</c:v>
                </c:pt>
              </c:numCache>
            </c:numRef>
          </c:val>
          <c:extLst>
            <c:ext xmlns:c16="http://schemas.microsoft.com/office/drawing/2014/chart" uri="{C3380CC4-5D6E-409C-BE32-E72D297353CC}">
              <c16:uniqueId val="{00000001-9542-4900-BEC2-6B54DB5C08FE}"/>
            </c:ext>
          </c:extLst>
        </c:ser>
        <c:dLbls>
          <c:showLegendKey val="0"/>
          <c:showVal val="0"/>
          <c:showCatName val="0"/>
          <c:showSerName val="0"/>
          <c:showPercent val="0"/>
          <c:showBubbleSize val="0"/>
        </c:dLbls>
        <c:gapWidth val="45"/>
        <c:overlap val="100"/>
        <c:axId val="90436443"/>
        <c:axId val="28324683"/>
      </c:barChart>
      <c:catAx>
        <c:axId val="90436443"/>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28324683"/>
        <c:crosses val="autoZero"/>
        <c:auto val="1"/>
        <c:lblAlgn val="ctr"/>
        <c:lblOffset val="100"/>
        <c:noMultiLvlLbl val="0"/>
      </c:catAx>
      <c:valAx>
        <c:axId val="28324683"/>
        <c:scaling>
          <c:orientation val="minMax"/>
        </c:scaling>
        <c:delete val="1"/>
        <c:axPos val="t"/>
        <c:numFmt formatCode="General" sourceLinked="1"/>
        <c:majorTickMark val="none"/>
        <c:minorTickMark val="none"/>
        <c:tickLblPos val="nextTo"/>
        <c:crossAx val="90436443"/>
        <c:crosses val="autoZero"/>
        <c:crossBetween val="between"/>
      </c:valAx>
      <c:spPr>
        <a:noFill/>
        <a:ln w="0">
          <a:noFill/>
        </a:ln>
      </c:spPr>
    </c:plotArea>
    <c:legend>
      <c:legendPos val="b"/>
      <c:overlay val="0"/>
      <c:spPr>
        <a:noFill/>
        <a:ln w="0">
          <a:noFill/>
        </a:ln>
      </c:spPr>
      <c:txPr>
        <a:bodyPr/>
        <a:lstStyle/>
        <a:p>
          <a:pPr>
            <a:defRPr sz="1000" b="0" strike="noStrike" spc="-1">
              <a:solidFill>
                <a:srgbClr val="2B3A4A"/>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200" b="1" strike="noStrike" spc="-1">
                <a:solidFill>
                  <a:srgbClr val="1F3A5F"/>
                </a:solidFill>
                <a:latin typeface="Arial"/>
              </a:defRPr>
            </a:pPr>
            <a:r>
              <a:rPr lang="en-IN" sz="1200" b="1" strike="noStrike" spc="-1">
                <a:solidFill>
                  <a:srgbClr val="1F3A5F"/>
                </a:solidFill>
                <a:latin typeface="Arial"/>
              </a:rPr>
              <a:t>Deployment: where the FDEs sit (monthly revenue shown)</a:t>
            </a:r>
          </a:p>
        </c:rich>
      </c:tx>
      <c:overlay val="0"/>
      <c:spPr>
        <a:noFill/>
        <a:ln w="0">
          <a:noFill/>
        </a:ln>
      </c:spPr>
    </c:title>
    <c:autoTitleDeleted val="0"/>
    <c:plotArea>
      <c:layout/>
      <c:barChart>
        <c:barDir val="bar"/>
        <c:grouping val="clustered"/>
        <c:varyColors val="0"/>
        <c:ser>
          <c:idx val="0"/>
          <c:order val="0"/>
          <c:tx>
            <c:strRef>
              <c:f>Calc!$B$59</c:f>
              <c:strCache>
                <c:ptCount val="1"/>
                <c:pt idx="0">
                  <c:v>FDEs</c:v>
                </c:pt>
              </c:strCache>
            </c:strRef>
          </c:tx>
          <c:spPr>
            <a:solidFill>
              <a:srgbClr val="1F3A5F"/>
            </a:solidFill>
            <a:ln w="9360">
              <a:noFill/>
            </a:ln>
          </c:spPr>
          <c:invertIfNegative val="0"/>
          <c:dPt>
            <c:idx val="6"/>
            <c:invertIfNegative val="0"/>
            <c:bubble3D val="0"/>
            <c:spPr>
              <a:solidFill>
                <a:srgbClr val="C0504D"/>
              </a:solidFill>
              <a:ln w="9360">
                <a:noFill/>
              </a:ln>
            </c:spPr>
            <c:extLst>
              <c:ext xmlns:c16="http://schemas.microsoft.com/office/drawing/2014/chart" uri="{C3380CC4-5D6E-409C-BE32-E72D297353CC}">
                <c16:uniqueId val="{00000001-3EE2-4612-9485-726C1735ED61}"/>
              </c:ext>
            </c:extLst>
          </c:dPt>
          <c:dPt>
            <c:idx val="7"/>
            <c:invertIfNegative val="0"/>
            <c:bubble3D val="0"/>
            <c:spPr>
              <a:solidFill>
                <a:srgbClr val="7F8790"/>
              </a:solidFill>
              <a:ln w="9360">
                <a:noFill/>
              </a:ln>
            </c:spPr>
            <c:extLst>
              <c:ext xmlns:c16="http://schemas.microsoft.com/office/drawing/2014/chart" uri="{C3380CC4-5D6E-409C-BE32-E72D297353CC}">
                <c16:uniqueId val="{00000003-3EE2-4612-9485-726C1735ED61}"/>
              </c:ext>
            </c:extLst>
          </c:dPt>
          <c:dLbls>
            <c:dLbl>
              <c:idx val="6"/>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EE2-4612-9485-726C1735ED61}"/>
                </c:ext>
              </c:extLst>
            </c:dLbl>
            <c:dLbl>
              <c:idx val="7"/>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EE2-4612-9485-726C1735ED61}"/>
                </c:ext>
              </c:extLst>
            </c:dLbl>
            <c:spPr>
              <a:noFill/>
              <a:ln>
                <a:noFill/>
              </a:ln>
              <a:effectLst/>
            </c:spPr>
            <c:txPr>
              <a:bodyPr wrap="square"/>
              <a:lstStyle/>
              <a:p>
                <a:pPr>
                  <a:defRPr sz="1200" b="1" strike="noStrike" spc="-1">
                    <a:solidFill>
                      <a:srgbClr val="2B3A4A"/>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Calc!$E$60:$E$67</c:f>
              <c:strCache>
                <c:ptCount val="8"/>
                <c:pt idx="0">
                  <c:v>TriNet  ($48.0K/mo)</c:v>
                </c:pt>
                <c:pt idx="1">
                  <c:v>PMI  ($16.0K/mo)</c:v>
                </c:pt>
                <c:pt idx="2">
                  <c:v>Hiscox  ($16.0K/mo)</c:v>
                </c:pt>
                <c:pt idx="3">
                  <c:v>SEI  ($32.0K/mo)</c:v>
                </c:pt>
                <c:pt idx="4">
                  <c:v>M&amp;T Bank  ($16.0K/mo)</c:v>
                </c:pt>
                <c:pt idx="5">
                  <c:v>Peabody  ($16.0K/mo)</c:v>
                </c:pt>
                <c:pt idx="6">
                  <c:v>Current bench</c:v>
                </c:pt>
                <c:pt idx="7">
                  <c:v>Future deployments</c:v>
                </c:pt>
              </c:strCache>
            </c:strRef>
          </c:cat>
          <c:val>
            <c:numRef>
              <c:f>Calc!$B$60:$B$67</c:f>
              <c:numCache>
                <c:formatCode>General</c:formatCode>
                <c:ptCount val="8"/>
                <c:pt idx="0">
                  <c:v>4</c:v>
                </c:pt>
                <c:pt idx="1">
                  <c:v>1</c:v>
                </c:pt>
                <c:pt idx="2">
                  <c:v>1</c:v>
                </c:pt>
                <c:pt idx="3">
                  <c:v>2</c:v>
                </c:pt>
                <c:pt idx="4">
                  <c:v>1</c:v>
                </c:pt>
                <c:pt idx="5">
                  <c:v>1</c:v>
                </c:pt>
                <c:pt idx="6">
                  <c:v>2</c:v>
                </c:pt>
                <c:pt idx="7">
                  <c:v>26</c:v>
                </c:pt>
              </c:numCache>
            </c:numRef>
          </c:val>
          <c:extLst>
            <c:ext xmlns:c16="http://schemas.microsoft.com/office/drawing/2014/chart" uri="{C3380CC4-5D6E-409C-BE32-E72D297353CC}">
              <c16:uniqueId val="{00000004-3EE2-4612-9485-726C1735ED61}"/>
            </c:ext>
          </c:extLst>
        </c:ser>
        <c:dLbls>
          <c:showLegendKey val="0"/>
          <c:showVal val="0"/>
          <c:showCatName val="0"/>
          <c:showSerName val="0"/>
          <c:showPercent val="0"/>
          <c:showBubbleSize val="0"/>
        </c:dLbls>
        <c:gapWidth val="45"/>
        <c:axId val="22937036"/>
        <c:axId val="59221087"/>
      </c:barChart>
      <c:catAx>
        <c:axId val="22937036"/>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2B3A4A"/>
                </a:solidFill>
                <a:latin typeface="Arial"/>
              </a:defRPr>
            </a:pPr>
            <a:endParaRPr lang="en-US"/>
          </a:p>
        </c:txPr>
        <c:crossAx val="59221087"/>
        <c:crosses val="autoZero"/>
        <c:auto val="1"/>
        <c:lblAlgn val="ctr"/>
        <c:lblOffset val="100"/>
        <c:noMultiLvlLbl val="0"/>
      </c:catAx>
      <c:valAx>
        <c:axId val="59221087"/>
        <c:scaling>
          <c:orientation val="minMax"/>
        </c:scaling>
        <c:delete val="1"/>
        <c:axPos val="t"/>
        <c:numFmt formatCode="General" sourceLinked="1"/>
        <c:majorTickMark val="none"/>
        <c:minorTickMark val="none"/>
        <c:tickLblPos val="nextTo"/>
        <c:crossAx val="2293703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12</xdr:col>
      <xdr:colOff>892760</xdr:colOff>
      <xdr:row>18</xdr:row>
      <xdr:rowOff>3060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0</xdr:rowOff>
    </xdr:from>
    <xdr:to>
      <xdr:col>12</xdr:col>
      <xdr:colOff>892760</xdr:colOff>
      <xdr:row>37</xdr:row>
      <xdr:rowOff>632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42</xdr:row>
      <xdr:rowOff>0</xdr:rowOff>
    </xdr:from>
    <xdr:to>
      <xdr:col>10</xdr:col>
      <xdr:colOff>893120</xdr:colOff>
      <xdr:row>75</xdr:row>
      <xdr:rowOff>190080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42</xdr:row>
      <xdr:rowOff>0</xdr:rowOff>
    </xdr:from>
    <xdr:to>
      <xdr:col>10</xdr:col>
      <xdr:colOff>893120</xdr:colOff>
      <xdr:row>75</xdr:row>
      <xdr:rowOff>190080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6</xdr:col>
      <xdr:colOff>784440</xdr:colOff>
      <xdr:row>28</xdr:row>
      <xdr:rowOff>135000</xdr:rowOff>
    </xdr:to>
    <xdr:graphicFrame macro="">
      <xdr:nvGraphicFramePr>
        <xdr:cNvPr id="11" name="Chart 1">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35</xdr:row>
      <xdr:rowOff>0</xdr:rowOff>
    </xdr:from>
    <xdr:to>
      <xdr:col>6</xdr:col>
      <xdr:colOff>784440</xdr:colOff>
      <xdr:row>56</xdr:row>
      <xdr:rowOff>135360</xdr:rowOff>
    </xdr:to>
    <xdr:graphicFrame macro="">
      <xdr:nvGraphicFramePr>
        <xdr:cNvPr id="12" name="Chart 2">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6</xdr:col>
      <xdr:colOff>784080</xdr:colOff>
      <xdr:row>25</xdr:row>
      <xdr:rowOff>47520</xdr:rowOff>
    </xdr:to>
    <xdr:graphicFrame macro="">
      <xdr:nvGraphicFramePr>
        <xdr:cNvPr id="13" name="Chart 1">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0</xdr:rowOff>
    </xdr:from>
    <xdr:to>
      <xdr:col>12</xdr:col>
      <xdr:colOff>784080</xdr:colOff>
      <xdr:row>25</xdr:row>
      <xdr:rowOff>47520</xdr:rowOff>
    </xdr:to>
    <xdr:graphicFrame macro="">
      <xdr:nvGraphicFramePr>
        <xdr:cNvPr id="14" name="Chart 2">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6</xdr:col>
      <xdr:colOff>803160</xdr:colOff>
      <xdr:row>24</xdr:row>
      <xdr:rowOff>20520</xdr:rowOff>
    </xdr:to>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0</xdr:rowOff>
    </xdr:from>
    <xdr:to>
      <xdr:col>12</xdr:col>
      <xdr:colOff>803160</xdr:colOff>
      <xdr:row>24</xdr:row>
      <xdr:rowOff>20520</xdr:rowOff>
    </xdr:to>
    <xdr:graphicFrame macro="">
      <xdr:nvGraphicFramePr>
        <xdr:cNvPr id="5" name="Chart 2">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25</xdr:row>
      <xdr:rowOff>0</xdr:rowOff>
    </xdr:from>
    <xdr:to>
      <xdr:col>6</xdr:col>
      <xdr:colOff>803160</xdr:colOff>
      <xdr:row>40</xdr:row>
      <xdr:rowOff>20520</xdr:rowOff>
    </xdr:to>
    <xdr:graphicFrame macro="">
      <xdr:nvGraphicFramePr>
        <xdr:cNvPr id="6" name="Chart 3">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25</xdr:row>
      <xdr:rowOff>0</xdr:rowOff>
    </xdr:from>
    <xdr:to>
      <xdr:col>12</xdr:col>
      <xdr:colOff>803160</xdr:colOff>
      <xdr:row>40</xdr:row>
      <xdr:rowOff>20520</xdr:rowOff>
    </xdr:to>
    <xdr:graphicFrame macro="">
      <xdr:nvGraphicFramePr>
        <xdr:cNvPr id="7" name="Chart 4">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0</xdr:rowOff>
    </xdr:from>
    <xdr:to>
      <xdr:col>6</xdr:col>
      <xdr:colOff>803160</xdr:colOff>
      <xdr:row>55</xdr:row>
      <xdr:rowOff>30240</xdr:rowOff>
    </xdr:to>
    <xdr:graphicFrame macro="">
      <xdr:nvGraphicFramePr>
        <xdr:cNvPr id="8" name="Chart 5">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61</xdr:row>
      <xdr:rowOff>0</xdr:rowOff>
    </xdr:from>
    <xdr:to>
      <xdr:col>6</xdr:col>
      <xdr:colOff>803160</xdr:colOff>
      <xdr:row>78</xdr:row>
      <xdr:rowOff>18720</xdr:rowOff>
    </xdr:to>
    <xdr:graphicFrame macro="">
      <xdr:nvGraphicFramePr>
        <xdr:cNvPr id="9" name="Chart 6">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61</xdr:row>
      <xdr:rowOff>0</xdr:rowOff>
    </xdr:from>
    <xdr:to>
      <xdr:col>12</xdr:col>
      <xdr:colOff>803160</xdr:colOff>
      <xdr:row>78</xdr:row>
      <xdr:rowOff>18720</xdr:rowOff>
    </xdr:to>
    <xdr:graphicFrame macro="">
      <xdr:nvGraphicFramePr>
        <xdr:cNvPr id="10" name="Chart 7">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pageSetUpPr fitToPage="1"/>
  </sheetPr>
  <dimension ref="B1:M88"/>
  <sheetViews>
    <sheetView showGridLines="0" tabSelected="1" zoomScale="85" zoomScaleNormal="100" workbookViewId="0">
      <selection activeCell="J5" sqref="J5:K5"/>
    </sheetView>
  </sheetViews>
  <sheetFormatPr defaultColWidth="8.54296875" defaultRowHeight="14.5" x14ac:dyDescent="0.35"/>
  <cols>
    <col min="1" max="1" width="2" customWidth="1"/>
    <col min="2" max="13" width="13.453125" customWidth="1"/>
  </cols>
  <sheetData>
    <row r="1" spans="2:13" ht="37.5" customHeight="1" x14ac:dyDescent="0.35">
      <c r="B1" s="88" t="s">
        <v>0</v>
      </c>
      <c r="C1" s="88"/>
      <c r="D1" s="88"/>
      <c r="E1" s="88"/>
      <c r="F1" s="88"/>
      <c r="G1" s="88"/>
      <c r="H1" s="88"/>
      <c r="I1" s="88"/>
      <c r="J1" s="88"/>
      <c r="K1" s="88"/>
      <c r="L1" s="88"/>
      <c r="M1" s="88"/>
    </row>
    <row r="2" spans="2:13" ht="15" customHeight="1" x14ac:dyDescent="0.35">
      <c r="B2" s="89" t="s">
        <v>1</v>
      </c>
      <c r="C2" s="89"/>
      <c r="D2" s="89"/>
      <c r="E2" s="89"/>
      <c r="F2" s="89"/>
      <c r="G2" s="89"/>
      <c r="H2" s="89"/>
      <c r="I2" s="89"/>
      <c r="K2" s="2" t="s">
        <v>2</v>
      </c>
      <c r="L2" s="3">
        <f ca="1">Calc!$H$3</f>
        <v>46302</v>
      </c>
    </row>
    <row r="3" spans="2:13" ht="15" customHeight="1" x14ac:dyDescent="0.35">
      <c r="B3" s="89" t="str">
        <f ca="1">"Recruitment: week ending "&amp;TEXT('Recruitement Dashboard'!L2,"dd-mmm-yyyy")&amp;"   |   Training: latest week = "&amp;'Dashboard - Training'!B5&amp;"   |   Deployment: as of "&amp;TEXT(Calc!$H$3,"dd-mmm-yyyy")</f>
        <v>Recruitment: week ending 25-Sep-2026   |   Training: latest week = Week 6   |   Deployment: as of 07-Oct-2026</v>
      </c>
      <c r="C3" s="89"/>
      <c r="D3" s="89"/>
      <c r="E3" s="89"/>
      <c r="F3" s="89"/>
      <c r="G3" s="89"/>
      <c r="H3" s="89"/>
      <c r="I3" s="89"/>
      <c r="J3" s="89"/>
      <c r="K3" s="89"/>
      <c r="L3" s="89"/>
      <c r="M3" s="89"/>
    </row>
    <row r="4" spans="2:13" ht="25.5" customHeight="1" x14ac:dyDescent="0.35">
      <c r="B4" s="90" t="s">
        <v>3</v>
      </c>
      <c r="C4" s="90"/>
      <c r="D4" s="90" t="s">
        <v>4</v>
      </c>
      <c r="E4" s="90"/>
      <c r="F4" s="78" t="s">
        <v>5</v>
      </c>
      <c r="G4" s="78"/>
      <c r="H4" s="91" t="s">
        <v>6</v>
      </c>
      <c r="I4" s="91"/>
      <c r="J4" s="91" t="s">
        <v>7</v>
      </c>
      <c r="K4" s="91"/>
      <c r="L4" s="91" t="s">
        <v>8</v>
      </c>
      <c r="M4" s="91"/>
    </row>
    <row r="5" spans="2:13" ht="43.5" customHeight="1" x14ac:dyDescent="0.35">
      <c r="B5" s="83">
        <f>G16</f>
        <v>17</v>
      </c>
      <c r="C5" s="83"/>
      <c r="D5" s="83">
        <f>G18</f>
        <v>60</v>
      </c>
      <c r="E5" s="83"/>
      <c r="F5" s="84">
        <f>'Dashboard - Training'!D5</f>
        <v>0.96</v>
      </c>
      <c r="G5" s="84"/>
      <c r="H5" s="85" t="str">
        <f ca="1">'Deployment Dashboard'!H5&amp;" / "&amp;'Deployment Dashboard'!B5</f>
        <v>10 / 38</v>
      </c>
      <c r="I5" s="85"/>
      <c r="J5" s="86">
        <f ca="1">'Deployment Dashboard'!B8</f>
        <v>144000</v>
      </c>
      <c r="K5" s="86"/>
      <c r="L5" s="83">
        <f ca="1">'Deployment Dashboard'!J5</f>
        <v>2</v>
      </c>
      <c r="M5" s="83"/>
    </row>
    <row r="6" spans="2:13" ht="15" customHeight="1" x14ac:dyDescent="0.35">
      <c r="B6" s="87" t="str">
        <f>"In CTO round now: "&amp;G15</f>
        <v>In CTO round now: 6</v>
      </c>
      <c r="C6" s="87"/>
      <c r="D6" s="87" t="str">
        <f>"Week ending "&amp;TEXT('Recruitement Dashboard'!L2,"dd-mmm")</f>
        <v>Week ending 25-Sep</v>
      </c>
      <c r="E6" s="87"/>
      <c r="F6" s="87" t="str">
        <f>'Dashboard - Training'!B5&amp;" · "&amp;'Dashboard - Training'!J5&amp;" active students"</f>
        <v>Week 6 · 20 active students</v>
      </c>
      <c r="G6" s="87"/>
      <c r="H6" s="87" t="str">
        <f ca="1">"Utilization "&amp;TEXT('Deployment Dashboard'!L5,"0%")</f>
        <v>Utilization 83%</v>
      </c>
      <c r="I6" s="87"/>
      <c r="J6" s="87" t="str">
        <f ca="1">"Annualised $"&amp;TEXT('Deployment Dashboard'!D8/1000000,"0.00")&amp;"M"</f>
        <v>Annualised $1.73M</v>
      </c>
      <c r="K6" s="87"/>
      <c r="L6" s="87" t="str">
        <f ca="1">'Deployment Dashboard'!J8&amp;" contracts ending soon"</f>
        <v>2 contracts ending soon</v>
      </c>
      <c r="M6" s="87"/>
    </row>
    <row r="7" spans="2:13" ht="7.5" customHeight="1" x14ac:dyDescent="0.35"/>
    <row r="8" spans="2:13" ht="21.75" customHeight="1" x14ac:dyDescent="0.35">
      <c r="B8" s="81" t="s">
        <v>9</v>
      </c>
      <c r="C8" s="81"/>
      <c r="D8" s="81"/>
      <c r="E8" s="81"/>
      <c r="F8" s="81"/>
      <c r="G8" s="81"/>
      <c r="H8" s="81"/>
      <c r="I8" s="81"/>
      <c r="J8" s="81"/>
      <c r="K8" s="81"/>
      <c r="L8" s="81"/>
      <c r="M8" s="81"/>
    </row>
    <row r="9" spans="2:13" ht="21.75" customHeight="1" x14ac:dyDescent="0.35">
      <c r="B9" s="82" t="s">
        <v>10</v>
      </c>
      <c r="C9" s="82"/>
      <c r="D9" s="1" t="s">
        <v>11</v>
      </c>
      <c r="E9" s="1" t="s">
        <v>12</v>
      </c>
      <c r="F9" s="1" t="s">
        <v>13</v>
      </c>
      <c r="G9" s="1" t="s">
        <v>14</v>
      </c>
      <c r="H9" s="73" t="s">
        <v>15</v>
      </c>
      <c r="I9" s="73"/>
      <c r="J9" s="73"/>
      <c r="K9" s="73"/>
      <c r="L9" s="73"/>
      <c r="M9" s="73"/>
    </row>
    <row r="10" spans="2:13" ht="21.75" customHeight="1" x14ac:dyDescent="0.35">
      <c r="B10" s="76" t="s">
        <v>16</v>
      </c>
      <c r="C10" s="76"/>
      <c r="D10" s="4">
        <f>IF(COUNT('Recruitement Dashboard'!J10,'Recruitement Dashboard'!J22,'Recruitement Dashboard'!J23,'Recruitement Dashboard'!J24,'Recruitement Dashboard'!J25,'Recruitement Dashboard'!J26,'Recruitement Dashboard'!J17,'Recruitement Dashboard'!J38,'Recruitement Dashboard'!J50,'Recruitement Dashboard'!J51,'Recruitement Dashboard'!J52,'Recruitement Dashboard'!J53,'Recruitement Dashboard'!J54,'Recruitement Dashboard'!J45)=0,"–",SUM('Recruitement Dashboard'!J10,'Recruitement Dashboard'!J22,'Recruitement Dashboard'!J23,'Recruitement Dashboard'!J24,'Recruitement Dashboard'!J25,'Recruitement Dashboard'!J26,'Recruitement Dashboard'!J17,'Recruitement Dashboard'!J38,'Recruitement Dashboard'!J50,'Recruitement Dashboard'!J51,'Recruitement Dashboard'!J52,'Recruitement Dashboard'!J53,'Recruitement Dashboard'!J54,'Recruitement Dashboard'!J45))</f>
        <v>68</v>
      </c>
      <c r="E10" s="4">
        <f>IF(COUNT('Recruitement Dashboard'!K10,'Recruitement Dashboard'!K22,'Recruitement Dashboard'!K23,'Recruitement Dashboard'!K24,'Recruitement Dashboard'!K25,'Recruitement Dashboard'!K26,'Recruitement Dashboard'!K17,'Recruitement Dashboard'!K38,'Recruitement Dashboard'!K50,'Recruitement Dashboard'!K51,'Recruitement Dashboard'!K52,'Recruitement Dashboard'!K53,'Recruitement Dashboard'!K54,'Recruitement Dashboard'!K45)=0,"–",SUM('Recruitement Dashboard'!K10,'Recruitement Dashboard'!K22,'Recruitement Dashboard'!K23,'Recruitement Dashboard'!K24,'Recruitement Dashboard'!K25,'Recruitement Dashboard'!K26,'Recruitement Dashboard'!K17,'Recruitement Dashboard'!K38,'Recruitement Dashboard'!K50,'Recruitement Dashboard'!K51,'Recruitement Dashboard'!K52,'Recruitement Dashboard'!K53,'Recruitement Dashboard'!K54,'Recruitement Dashboard'!K45))</f>
        <v>17</v>
      </c>
      <c r="F10" s="4">
        <f>IF(COUNT('Recruitement Dashboard'!L10,'Recruitement Dashboard'!L22,'Recruitement Dashboard'!L23,'Recruitement Dashboard'!L24,'Recruitement Dashboard'!L25,'Recruitement Dashboard'!L26,'Recruitement Dashboard'!L17,'Recruitement Dashboard'!L38,'Recruitement Dashboard'!L50,'Recruitement Dashboard'!L51,'Recruitement Dashboard'!L52,'Recruitement Dashboard'!L53,'Recruitement Dashboard'!L54,'Recruitement Dashboard'!L45)=0,"–",SUM('Recruitement Dashboard'!L10,'Recruitement Dashboard'!L22,'Recruitement Dashboard'!L23,'Recruitement Dashboard'!L24,'Recruitement Dashboard'!L25,'Recruitement Dashboard'!L26,'Recruitement Dashboard'!L17,'Recruitement Dashboard'!L38,'Recruitement Dashboard'!L50,'Recruitement Dashboard'!L51,'Recruitement Dashboard'!L52,'Recruitement Dashboard'!L53,'Recruitement Dashboard'!L54,'Recruitement Dashboard'!L45))</f>
        <v>7</v>
      </c>
      <c r="G10" s="5">
        <f t="shared" ref="G10:G18" si="0">IF(COUNT(D10:F10)=0,"–",SUM(D10:F10))</f>
        <v>92</v>
      </c>
    </row>
    <row r="11" spans="2:13" ht="21.75" customHeight="1" x14ac:dyDescent="0.35">
      <c r="B11" s="76" t="s">
        <v>17</v>
      </c>
      <c r="C11" s="76"/>
      <c r="D11" s="4" t="str">
        <f>IF(COUNT('Recruitement Dashboard'!J12,'Recruitement Dashboard'!J40)=0,"–",SUM('Recruitement Dashboard'!J12,'Recruitement Dashboard'!J40))</f>
        <v>–</v>
      </c>
      <c r="E11" s="4" t="str">
        <f>IF(COUNT('Recruitement Dashboard'!K12,'Recruitement Dashboard'!K40)=0,"–",SUM('Recruitement Dashboard'!K12,'Recruitement Dashboard'!K40))</f>
        <v>–</v>
      </c>
      <c r="F11" s="4" t="str">
        <f>IF(COUNT('Recruitement Dashboard'!L12,'Recruitement Dashboard'!L40)=0,"–",SUM('Recruitement Dashboard'!L12,'Recruitement Dashboard'!L40))</f>
        <v>–</v>
      </c>
      <c r="G11" s="5" t="str">
        <f t="shared" si="0"/>
        <v>–</v>
      </c>
    </row>
    <row r="12" spans="2:13" ht="21.75" customHeight="1" x14ac:dyDescent="0.35">
      <c r="B12" s="76" t="s">
        <v>18</v>
      </c>
      <c r="C12" s="76"/>
      <c r="D12" s="4" t="str">
        <f>IF(COUNT('Recruitement Dashboard'!J13,'Recruitement Dashboard'!J41)=0,"–",SUM('Recruitement Dashboard'!J13,'Recruitement Dashboard'!J41))</f>
        <v>–</v>
      </c>
      <c r="E12" s="4" t="str">
        <f>IF(COUNT('Recruitement Dashboard'!K13,'Recruitement Dashboard'!K41)=0,"–",SUM('Recruitement Dashboard'!K13,'Recruitement Dashboard'!K41))</f>
        <v>–</v>
      </c>
      <c r="F12" s="4" t="str">
        <f>IF(COUNT('Recruitement Dashboard'!L13,'Recruitement Dashboard'!L41)=0,"–",SUM('Recruitement Dashboard'!L13,'Recruitement Dashboard'!L41))</f>
        <v>–</v>
      </c>
      <c r="G12" s="5" t="str">
        <f t="shared" si="0"/>
        <v>–</v>
      </c>
    </row>
    <row r="13" spans="2:13" ht="21.75" customHeight="1" x14ac:dyDescent="0.35">
      <c r="B13" s="76" t="s">
        <v>19</v>
      </c>
      <c r="C13" s="76"/>
      <c r="D13" s="4" t="str">
        <f>IF(COUNT('Recruitement Dashboard'!J14,'Recruitement Dashboard'!J42)=0,"–",SUM('Recruitement Dashboard'!J14,'Recruitement Dashboard'!J42))</f>
        <v>–</v>
      </c>
      <c r="E13" s="4" t="str">
        <f>IF(COUNT('Recruitement Dashboard'!K14,'Recruitement Dashboard'!K42)=0,"–",SUM('Recruitement Dashboard'!K14,'Recruitement Dashboard'!K42))</f>
        <v>–</v>
      </c>
      <c r="F13" s="4" t="str">
        <f>IF(COUNT('Recruitement Dashboard'!L14,'Recruitement Dashboard'!L42)=0,"–",SUM('Recruitement Dashboard'!L14,'Recruitement Dashboard'!L42))</f>
        <v>–</v>
      </c>
      <c r="G13" s="5" t="str">
        <f t="shared" si="0"/>
        <v>–</v>
      </c>
    </row>
    <row r="14" spans="2:13" ht="21.75" customHeight="1" x14ac:dyDescent="0.35">
      <c r="B14" s="76" t="s">
        <v>20</v>
      </c>
      <c r="C14" s="76"/>
      <c r="D14" s="4" t="str">
        <f>IF(COUNT('Recruitement Dashboard'!J15,'Recruitement Dashboard'!J43)=0,"–",SUM('Recruitement Dashboard'!J15,'Recruitement Dashboard'!J43))</f>
        <v>–</v>
      </c>
      <c r="E14" s="4" t="str">
        <f>IF(COUNT('Recruitement Dashboard'!K15,'Recruitement Dashboard'!K43)=0,"–",SUM('Recruitement Dashboard'!K15,'Recruitement Dashboard'!K43))</f>
        <v>–</v>
      </c>
      <c r="F14" s="4" t="str">
        <f>IF(COUNT('Recruitement Dashboard'!L15,'Recruitement Dashboard'!L43)=0,"–",SUM('Recruitement Dashboard'!L15,'Recruitement Dashboard'!L43))</f>
        <v>–</v>
      </c>
      <c r="G14" s="5" t="str">
        <f t="shared" si="0"/>
        <v>–</v>
      </c>
    </row>
    <row r="15" spans="2:13" ht="21.75" customHeight="1" x14ac:dyDescent="0.35">
      <c r="B15" s="76" t="s">
        <v>21</v>
      </c>
      <c r="C15" s="76"/>
      <c r="D15" s="4">
        <f>IF(COUNT('Recruitement Dashboard'!J26,'Recruitement Dashboard'!J54)=0,"–",SUM('Recruitement Dashboard'!J26,'Recruitement Dashboard'!J54))</f>
        <v>4</v>
      </c>
      <c r="E15" s="4">
        <f>IF(COUNT('Recruitement Dashboard'!K26,'Recruitement Dashboard'!K54)=0,"–",SUM('Recruitement Dashboard'!K26,'Recruitement Dashboard'!K54))</f>
        <v>2</v>
      </c>
      <c r="F15" s="4" t="str">
        <f>IF(COUNT('Recruitement Dashboard'!L26,'Recruitement Dashboard'!L54)=0,"–",SUM('Recruitement Dashboard'!L26,'Recruitement Dashboard'!L54))</f>
        <v>–</v>
      </c>
      <c r="G15" s="5">
        <f t="shared" si="0"/>
        <v>6</v>
      </c>
    </row>
    <row r="16" spans="2:13" ht="21.75" customHeight="1" x14ac:dyDescent="0.35">
      <c r="B16" s="76" t="s">
        <v>22</v>
      </c>
      <c r="C16" s="76"/>
      <c r="D16" s="4">
        <f>IF(COUNT('Recruitement Dashboard'!J18,'Recruitement Dashboard'!J46)=0,"–",SUM('Recruitement Dashboard'!J18,'Recruitement Dashboard'!J46))</f>
        <v>14</v>
      </c>
      <c r="E16" s="4">
        <f>IF(COUNT('Recruitement Dashboard'!K18,'Recruitement Dashboard'!K46)=0,"–",SUM('Recruitement Dashboard'!K18,'Recruitement Dashboard'!K46))</f>
        <v>3</v>
      </c>
      <c r="F16" s="4" t="str">
        <f>IF(COUNT('Recruitement Dashboard'!L18,'Recruitement Dashboard'!L46)=0,"–",SUM('Recruitement Dashboard'!L18,'Recruitement Dashboard'!L46))</f>
        <v>–</v>
      </c>
      <c r="G16" s="5">
        <f t="shared" si="0"/>
        <v>17</v>
      </c>
    </row>
    <row r="17" spans="2:13" ht="21.75" customHeight="1" x14ac:dyDescent="0.35">
      <c r="B17" s="76" t="s">
        <v>23</v>
      </c>
      <c r="C17" s="76"/>
      <c r="D17" s="4" t="str">
        <f>IF(COUNT('Recruitement Dashboard'!J19,'Recruitement Dashboard'!J47)=0,"–",SUM('Recruitement Dashboard'!J19,'Recruitement Dashboard'!J47))</f>
        <v>–</v>
      </c>
      <c r="E17" s="4" t="str">
        <f>IF(COUNT('Recruitement Dashboard'!K19,'Recruitement Dashboard'!K47)=0,"–",SUM('Recruitement Dashboard'!K19,'Recruitement Dashboard'!K47))</f>
        <v>–</v>
      </c>
      <c r="F17" s="4" t="str">
        <f>IF(COUNT('Recruitement Dashboard'!L19,'Recruitement Dashboard'!L47)=0,"–",SUM('Recruitement Dashboard'!L19,'Recruitement Dashboard'!L47))</f>
        <v>–</v>
      </c>
      <c r="G17" s="5" t="str">
        <f t="shared" si="0"/>
        <v>–</v>
      </c>
    </row>
    <row r="18" spans="2:13" ht="21.75" customHeight="1" x14ac:dyDescent="0.35">
      <c r="B18" s="76" t="s">
        <v>24</v>
      </c>
      <c r="C18" s="76"/>
      <c r="D18" s="4">
        <f>IF(COUNT('Recruitement Dashboard'!J29,'Recruitement Dashboard'!J57)=0,"–",SUM('Recruitement Dashboard'!J29,'Recruitement Dashboard'!J57))</f>
        <v>50</v>
      </c>
      <c r="E18" s="4">
        <f>IF(COUNT('Recruitement Dashboard'!K29,'Recruitement Dashboard'!K57)=0,"–",SUM('Recruitement Dashboard'!K29,'Recruitement Dashboard'!K57))</f>
        <v>10</v>
      </c>
      <c r="F18" s="4" t="str">
        <f>IF(COUNT('Recruitement Dashboard'!L29,'Recruitement Dashboard'!L57)=0,"–",SUM('Recruitement Dashboard'!L29,'Recruitement Dashboard'!L57))</f>
        <v>–</v>
      </c>
      <c r="G18" s="5">
        <f t="shared" si="0"/>
        <v>60</v>
      </c>
    </row>
    <row r="19" spans="2:13" ht="15" customHeight="1" x14ac:dyDescent="0.35"/>
    <row r="20" spans="2:13" ht="15" customHeight="1" x14ac:dyDescent="0.35"/>
    <row r="21" spans="2:13" ht="15" customHeight="1" x14ac:dyDescent="0.35"/>
    <row r="22" spans="2:13" ht="21.75" customHeight="1" x14ac:dyDescent="0.35">
      <c r="B22" s="77" t="s">
        <v>25</v>
      </c>
      <c r="C22" s="77"/>
      <c r="D22" s="77"/>
      <c r="E22" s="77"/>
      <c r="F22" s="77"/>
      <c r="G22" s="77"/>
      <c r="H22" s="77"/>
      <c r="I22" s="77"/>
      <c r="J22" s="77"/>
      <c r="K22" s="77"/>
      <c r="L22" s="77"/>
      <c r="M22" s="77"/>
    </row>
    <row r="23" spans="2:13" ht="19.5" customHeight="1" x14ac:dyDescent="0.35">
      <c r="B23" s="78" t="str">
        <f>"Overall average · "&amp;'Dashboard - Training'!B5</f>
        <v>Overall average · Week 6</v>
      </c>
      <c r="C23" s="78"/>
      <c r="D23" s="78"/>
      <c r="E23" s="78" t="s">
        <v>26</v>
      </c>
      <c r="F23" s="78"/>
      <c r="G23" s="78"/>
      <c r="H23" s="78" t="s">
        <v>27</v>
      </c>
      <c r="I23" s="78"/>
      <c r="J23" s="78"/>
      <c r="K23" s="78" t="s">
        <v>28</v>
      </c>
      <c r="L23" s="78"/>
      <c r="M23" s="78"/>
    </row>
    <row r="24" spans="2:13" ht="36" customHeight="1" x14ac:dyDescent="0.35">
      <c r="B24" s="79">
        <f>'Dashboard - Training'!D5</f>
        <v>0.96</v>
      </c>
      <c r="C24" s="79"/>
      <c r="D24" s="79"/>
      <c r="E24" s="79">
        <f>'Dashboard - Training'!F5</f>
        <v>0.95</v>
      </c>
      <c r="F24" s="79"/>
      <c r="G24" s="79"/>
      <c r="H24" s="79">
        <f>'Dashboard - Training'!H5</f>
        <v>0.97</v>
      </c>
      <c r="I24" s="79"/>
      <c r="J24" s="79"/>
      <c r="K24" s="80">
        <f>'Dashboard - Training'!J5</f>
        <v>20</v>
      </c>
      <c r="L24" s="80"/>
      <c r="M24" s="80"/>
    </row>
    <row r="25" spans="2:13" ht="21.75" customHeight="1" x14ac:dyDescent="0.35">
      <c r="B25" s="73" t="s">
        <v>29</v>
      </c>
      <c r="C25" s="73"/>
      <c r="D25" s="73"/>
      <c r="E25" s="73"/>
      <c r="F25" s="73"/>
      <c r="G25" s="73"/>
      <c r="H25" s="73"/>
      <c r="I25" s="73"/>
      <c r="J25" s="73"/>
      <c r="K25" s="73"/>
      <c r="L25" s="73"/>
      <c r="M25" s="73"/>
    </row>
    <row r="38" spans="2:13" ht="15" customHeight="1" x14ac:dyDescent="0.35"/>
    <row r="39" spans="2:13" ht="15" customHeight="1" x14ac:dyDescent="0.35"/>
    <row r="40" spans="2:13" ht="15" customHeight="1" x14ac:dyDescent="0.35"/>
    <row r="41" spans="2:13" ht="21.75" customHeight="1" x14ac:dyDescent="0.35">
      <c r="B41" s="74" t="s">
        <v>30</v>
      </c>
      <c r="C41" s="74"/>
      <c r="D41" s="74"/>
      <c r="E41" s="74"/>
      <c r="F41" s="74"/>
      <c r="G41" s="74"/>
      <c r="H41" s="74"/>
      <c r="I41" s="74"/>
      <c r="J41" s="74"/>
      <c r="K41" s="74"/>
      <c r="L41" s="74"/>
      <c r="M41" s="74"/>
    </row>
    <row r="42" spans="2:13" ht="30" customHeight="1" x14ac:dyDescent="0.35">
      <c r="B42" s="75" t="str">
        <f>"WHERE FDEs ARE BASED"&amp;CHAR(10)&amp;'Deployment Dashboard'!B5&amp;" FDEs"</f>
        <v>WHERE FDEs ARE BASED
38 FDEs</v>
      </c>
      <c r="C42" s="75"/>
      <c r="G42" s="75" t="str">
        <f ca="1">"AVAILABILITY"&amp;CHAR(10)&amp;Calc!B99&amp;" now · "&amp;Calc!B100&amp;" later"</f>
        <v>AVAILABILITY
12 now · 26 later</v>
      </c>
      <c r="H42" s="75"/>
      <c r="L42" s="75" t="str">
        <f ca="1">"DEPLOYMENT"&amp;CHAR(10)&amp;TEXT('Deployment Dashboard'!B8/1000,"$0.0")&amp;"K/mo · "&amp;COUNTIF(Calc!B60:B65,"&gt;0")&amp;" clients"</f>
        <v>DEPLOYMENT
$144.0K/mo · 6 clients</v>
      </c>
      <c r="M42" s="75"/>
    </row>
    <row r="43" spans="2:13" ht="15" customHeight="1" x14ac:dyDescent="0.35">
      <c r="B43" s="70" t="str">
        <f ca="1">IFERROR(INDEX(Calc!$O$91:$O$96,MATCH(ROW()-ROW($B$43),Calc!$N$91:$N$96,0)),"")</f>
        <v/>
      </c>
      <c r="C43" s="70"/>
      <c r="L43" s="71" t="str">
        <f ca="1">IFERROR(INDEX(Calc!$O$103:$O$111,MATCH(ROW()-ROW($L$43),Calc!$N$103:$N$111,0)),"")</f>
        <v/>
      </c>
      <c r="M43" s="71"/>
    </row>
    <row r="44" spans="2:13" ht="15" customHeight="1" x14ac:dyDescent="0.35">
      <c r="B44" s="70" t="str">
        <f ca="1">IFERROR(INDEX(Calc!$O$91:$O$96,MATCH(ROW()-ROW($B$43),Calc!$N$91:$N$96,0)),"")</f>
        <v/>
      </c>
      <c r="C44" s="70"/>
      <c r="L44" s="71" t="str">
        <f ca="1">IFERROR(INDEX(Calc!$O$103:$O$111,MATCH(ROW()-ROW($L$43),Calc!$N$103:$N$111,0)),"")</f>
        <v>TriNet  ·  4  ·  $48.0K/mo</v>
      </c>
      <c r="M44" s="71"/>
    </row>
    <row r="45" spans="2:13" ht="15" customHeight="1" x14ac:dyDescent="0.35">
      <c r="B45" s="70" t="str">
        <f ca="1">IFERROR(INDEX(Calc!$O$91:$O$96,MATCH(ROW()-ROW($B$43),Calc!$N$91:$N$96,0)),"")</f>
        <v/>
      </c>
      <c r="C45" s="70"/>
      <c r="L45" s="71" t="str">
        <f ca="1">IFERROR(INDEX(Calc!$O$103:$O$111,MATCH(ROW()-ROW($L$43),Calc!$N$103:$N$111,0)),"")</f>
        <v/>
      </c>
      <c r="M45" s="71"/>
    </row>
    <row r="46" spans="2:13" ht="15" customHeight="1" x14ac:dyDescent="0.35">
      <c r="B46" s="70" t="str">
        <f ca="1">IFERROR(INDEX(Calc!$O$91:$O$96,MATCH(ROW()-ROW($B$43),Calc!$N$91:$N$96,0)),"")</f>
        <v/>
      </c>
      <c r="C46" s="70"/>
      <c r="L46" s="71" t="str">
        <f ca="1">IFERROR(INDEX(Calc!$O$103:$O$111,MATCH(ROW()-ROW($L$43),Calc!$N$103:$N$111,0)),"")</f>
        <v/>
      </c>
      <c r="M46" s="71"/>
    </row>
    <row r="47" spans="2:13" ht="15" customHeight="1" x14ac:dyDescent="0.35">
      <c r="B47" s="70" t="str">
        <f ca="1">IFERROR(INDEX(Calc!$O$91:$O$96,MATCH(ROW()-ROW($B$43),Calc!$N$91:$N$96,0)),"")</f>
        <v/>
      </c>
      <c r="C47" s="70"/>
      <c r="L47" s="71" t="str">
        <f ca="1">IFERROR(INDEX(Calc!$O$103:$O$111,MATCH(ROW()-ROW($L$43),Calc!$N$103:$N$111,0)),"")</f>
        <v>PMI  ·  1  ·  $16.0K/mo</v>
      </c>
      <c r="M47" s="71"/>
    </row>
    <row r="48" spans="2:13" ht="15" customHeight="1" x14ac:dyDescent="0.35">
      <c r="B48" s="70" t="str">
        <f ca="1">IFERROR(INDEX(Calc!$O$91:$O$96,MATCH(ROW()-ROW($B$43),Calc!$N$91:$N$96,0)),"")</f>
        <v/>
      </c>
      <c r="C48" s="70"/>
      <c r="L48" s="71" t="str">
        <f ca="1">IFERROR(INDEX(Calc!$O$103:$O$111,MATCH(ROW()-ROW($L$43),Calc!$N$103:$N$111,0)),"")</f>
        <v>Hiscox  ·  1  ·  $16.0K/mo</v>
      </c>
      <c r="M48" s="71"/>
    </row>
    <row r="49" spans="2:13" ht="15" customHeight="1" x14ac:dyDescent="0.35">
      <c r="B49" s="70" t="str">
        <f ca="1">IFERROR(INDEX(Calc!$O$91:$O$96,MATCH(ROW()-ROW($B$43),Calc!$N$91:$N$96,0)),"")</f>
        <v/>
      </c>
      <c r="C49" s="70"/>
      <c r="L49" s="71" t="str">
        <f ca="1">IFERROR(INDEX(Calc!$O$103:$O$111,MATCH(ROW()-ROW($L$43),Calc!$N$103:$N$111,0)),"")</f>
        <v>SEI  ·  2  ·  $32.0K/mo</v>
      </c>
      <c r="M49" s="71"/>
    </row>
    <row r="50" spans="2:13" ht="15" customHeight="1" x14ac:dyDescent="0.35">
      <c r="B50" s="70" t="str">
        <f ca="1">IFERROR(INDEX(Calc!$O$91:$O$96,MATCH(ROW()-ROW($B$43),Calc!$N$91:$N$96,0)),"")</f>
        <v/>
      </c>
      <c r="C50" s="70"/>
      <c r="L50" s="71" t="str">
        <f ca="1">IFERROR(INDEX(Calc!$O$103:$O$111,MATCH(ROW()-ROW($L$43),Calc!$N$103:$N$111,0)),"")</f>
        <v/>
      </c>
      <c r="M50" s="71"/>
    </row>
    <row r="51" spans="2:13" ht="15" customHeight="1" x14ac:dyDescent="0.35">
      <c r="B51" s="70" t="str">
        <f ca="1">IFERROR(INDEX(Calc!$O$91:$O$96,MATCH(ROW()-ROW($B$43),Calc!$N$91:$N$96,0)),"")</f>
        <v/>
      </c>
      <c r="C51" s="70"/>
      <c r="L51" s="71" t="str">
        <f ca="1">IFERROR(INDEX(Calc!$O$103:$O$111,MATCH(ROW()-ROW($L$43),Calc!$N$103:$N$111,0)),"")</f>
        <v>M&amp;T Bank  ·  1  ·  $16.0K/mo</v>
      </c>
      <c r="M51" s="71"/>
    </row>
    <row r="52" spans="2:13" ht="15" customHeight="1" x14ac:dyDescent="0.35">
      <c r="B52" s="70" t="str">
        <f ca="1">IFERROR(INDEX(Calc!$O$91:$O$96,MATCH(ROW()-ROW($B$43),Calc!$N$91:$N$96,0)),"")</f>
        <v/>
      </c>
      <c r="C52" s="70"/>
      <c r="L52" s="71" t="str">
        <f ca="1">IFERROR(INDEX(Calc!$O$103:$O$111,MATCH(ROW()-ROW($L$43),Calc!$N$103:$N$111,0)),"")</f>
        <v>Peabody  ·  1  ·  $16.0K/mo</v>
      </c>
      <c r="M52" s="71"/>
    </row>
    <row r="53" spans="2:13" ht="15" customHeight="1" x14ac:dyDescent="0.35">
      <c r="B53" s="70" t="str">
        <f ca="1">IFERROR(INDEX(Calc!$O$91:$O$96,MATCH(ROW()-ROW($B$43),Calc!$N$91:$N$96,0)),"")</f>
        <v/>
      </c>
      <c r="C53" s="70"/>
      <c r="L53" s="71" t="str">
        <f ca="1">IFERROR(INDEX(Calc!$O$103:$O$111,MATCH(ROW()-ROW($L$43),Calc!$N$103:$N$111,0)),"")</f>
        <v/>
      </c>
      <c r="M53" s="71"/>
    </row>
    <row r="54" spans="2:13" ht="15" customHeight="1" x14ac:dyDescent="0.35">
      <c r="B54" s="70" t="str">
        <f ca="1">IFERROR(INDEX(Calc!$O$91:$O$96,MATCH(ROW()-ROW($B$43),Calc!$N$91:$N$96,0)),"")</f>
        <v>USA  ·  28</v>
      </c>
      <c r="C54" s="70"/>
      <c r="L54" s="71" t="str">
        <f ca="1">IFERROR(INDEX(Calc!$O$103:$O$111,MATCH(ROW()-ROW($L$43),Calc!$N$103:$N$111,0)),"")</f>
        <v>Current bench  ·  2</v>
      </c>
      <c r="M54" s="71"/>
    </row>
    <row r="55" spans="2:13" ht="15" customHeight="1" x14ac:dyDescent="0.35">
      <c r="B55" s="70" t="str">
        <f ca="1">IFERROR(INDEX(Calc!$O$91:$O$96,MATCH(ROW()-ROW($B$43),Calc!$N$91:$N$96,0)),"")</f>
        <v/>
      </c>
      <c r="C55" s="70"/>
      <c r="L55" s="71" t="str">
        <f ca="1">IFERROR(INDEX(Calc!$O$103:$O$111,MATCH(ROW()-ROW($L$43),Calc!$N$103:$N$111,0)),"")</f>
        <v/>
      </c>
      <c r="M55" s="71"/>
    </row>
    <row r="56" spans="2:13" ht="15" customHeight="1" x14ac:dyDescent="0.35">
      <c r="B56" s="70" t="str">
        <f ca="1">IFERROR(INDEX(Calc!$O$91:$O$96,MATCH(ROW()-ROW($B$43),Calc!$N$91:$N$96,0)),"")</f>
        <v/>
      </c>
      <c r="C56" s="70"/>
      <c r="L56" s="71" t="str">
        <f ca="1">IFERROR(INDEX(Calc!$O$103:$O$111,MATCH(ROW()-ROW($L$43),Calc!$N$103:$N$111,0)),"")</f>
        <v/>
      </c>
      <c r="M56" s="71"/>
    </row>
    <row r="57" spans="2:13" ht="15" customHeight="1" x14ac:dyDescent="0.35">
      <c r="B57" s="70" t="str">
        <f ca="1">IFERROR(INDEX(Calc!$O$91:$O$96,MATCH(ROW()-ROW($B$43),Calc!$N$91:$N$96,0)),"")</f>
        <v/>
      </c>
      <c r="C57" s="70"/>
      <c r="L57" s="71" t="str">
        <f ca="1">IFERROR(INDEX(Calc!$O$103:$O$111,MATCH(ROW()-ROW($L$43),Calc!$N$103:$N$111,0)),"")</f>
        <v/>
      </c>
      <c r="M57" s="71"/>
    </row>
    <row r="58" spans="2:13" ht="15" customHeight="1" x14ac:dyDescent="0.35">
      <c r="B58" s="70" t="str">
        <f ca="1">IFERROR(INDEX(Calc!$O$91:$O$96,MATCH(ROW()-ROW($B$43),Calc!$N$91:$N$96,0)),"")</f>
        <v/>
      </c>
      <c r="C58" s="70"/>
      <c r="L58" s="71" t="str">
        <f ca="1">IFERROR(INDEX(Calc!$O$103:$O$111,MATCH(ROW()-ROW($L$43),Calc!$N$103:$N$111,0)),"")</f>
        <v/>
      </c>
      <c r="M58" s="71"/>
    </row>
    <row r="59" spans="2:13" ht="15" customHeight="1" x14ac:dyDescent="0.35">
      <c r="B59" s="70" t="str">
        <f ca="1">IFERROR(INDEX(Calc!$O$91:$O$96,MATCH(ROW()-ROW($B$43),Calc!$N$91:$N$96,0)),"")</f>
        <v/>
      </c>
      <c r="C59" s="70"/>
      <c r="L59" s="71" t="str">
        <f ca="1">IFERROR(INDEX(Calc!$O$103:$O$111,MATCH(ROW()-ROW($L$43),Calc!$N$103:$N$111,0)),"")</f>
        <v/>
      </c>
      <c r="M59" s="71"/>
    </row>
    <row r="60" spans="2:13" ht="15" customHeight="1" x14ac:dyDescent="0.35">
      <c r="B60" s="70" t="str">
        <f ca="1">IFERROR(INDEX(Calc!$O$91:$O$96,MATCH(ROW()-ROW($B$43),Calc!$N$91:$N$96,0)),"")</f>
        <v/>
      </c>
      <c r="C60" s="70"/>
      <c r="L60" s="71" t="str">
        <f ca="1">IFERROR(INDEX(Calc!$O$103:$O$111,MATCH(ROW()-ROW($L$43),Calc!$N$103:$N$111,0)),"")</f>
        <v/>
      </c>
      <c r="M60" s="71"/>
    </row>
    <row r="61" spans="2:13" ht="15" customHeight="1" x14ac:dyDescent="0.35">
      <c r="B61" s="70" t="str">
        <f ca="1">IFERROR(INDEX(Calc!$O$91:$O$96,MATCH(ROW()-ROW($B$43),Calc!$N$91:$N$96,0)),"")</f>
        <v/>
      </c>
      <c r="C61" s="70"/>
      <c r="L61" s="71" t="str">
        <f ca="1">IFERROR(INDEX(Calc!$O$103:$O$111,MATCH(ROW()-ROW($L$43),Calc!$N$103:$N$111,0)),"")</f>
        <v/>
      </c>
      <c r="M61" s="71"/>
    </row>
    <row r="62" spans="2:13" ht="15" customHeight="1" x14ac:dyDescent="0.35">
      <c r="B62" s="70" t="str">
        <f ca="1">IFERROR(INDEX(Calc!$O$91:$O$96,MATCH(ROW()-ROW($B$43),Calc!$N$91:$N$96,0)),"")</f>
        <v/>
      </c>
      <c r="C62" s="70"/>
      <c r="L62" s="71" t="str">
        <f ca="1">IFERROR(INDEX(Calc!$O$103:$O$111,MATCH(ROW()-ROW($L$43),Calc!$N$103:$N$111,0)),"")</f>
        <v/>
      </c>
      <c r="M62" s="71"/>
    </row>
    <row r="63" spans="2:13" ht="15" customHeight="1" x14ac:dyDescent="0.35">
      <c r="B63" s="70" t="str">
        <f ca="1">IFERROR(INDEX(Calc!$O$91:$O$96,MATCH(ROW()-ROW($B$43),Calc!$N$91:$N$96,0)),"")</f>
        <v/>
      </c>
      <c r="C63" s="70"/>
      <c r="L63" s="71" t="str">
        <f ca="1">IFERROR(INDEX(Calc!$O$103:$O$111,MATCH(ROW()-ROW($L$43),Calc!$N$103:$N$111,0)),"")</f>
        <v/>
      </c>
      <c r="M63" s="71"/>
    </row>
    <row r="64" spans="2:13" ht="15" customHeight="1" x14ac:dyDescent="0.35">
      <c r="B64" s="70" t="str">
        <f ca="1">IFERROR(INDEX(Calc!$O$91:$O$96,MATCH(ROW()-ROW($B$43),Calc!$N$91:$N$96,0)),"")</f>
        <v/>
      </c>
      <c r="C64" s="70"/>
      <c r="L64" s="71" t="str">
        <f ca="1">IFERROR(INDEX(Calc!$O$103:$O$111,MATCH(ROW()-ROW($L$43),Calc!$N$103:$N$111,0)),"")</f>
        <v/>
      </c>
      <c r="M64" s="71"/>
    </row>
    <row r="65" spans="2:13" ht="15" customHeight="1" x14ac:dyDescent="0.35">
      <c r="B65" s="70" t="str">
        <f ca="1">IFERROR(INDEX(Calc!$O$91:$O$96,MATCH(ROW()-ROW($B$43),Calc!$N$91:$N$96,0)),"")</f>
        <v/>
      </c>
      <c r="C65" s="70"/>
      <c r="L65" s="71" t="str">
        <f ca="1">IFERROR(INDEX(Calc!$O$103:$O$111,MATCH(ROW()-ROW($L$43),Calc!$N$103:$N$111,0)),"")</f>
        <v/>
      </c>
      <c r="M65" s="71"/>
    </row>
    <row r="66" spans="2:13" ht="15" customHeight="1" x14ac:dyDescent="0.35">
      <c r="B66" s="70" t="str">
        <f ca="1">IFERROR(INDEX(Calc!$O$91:$O$96,MATCH(ROW()-ROW($B$43),Calc!$N$91:$N$96,0)),"")</f>
        <v>India  ·  2</v>
      </c>
      <c r="C66" s="70"/>
      <c r="L66" s="71" t="str">
        <f ca="1">IFERROR(INDEX(Calc!$O$103:$O$111,MATCH(ROW()-ROW($L$43),Calc!$N$103:$N$111,0)),"")</f>
        <v>Future deployments  ·  26</v>
      </c>
      <c r="M66" s="71"/>
    </row>
    <row r="67" spans="2:13" ht="15" customHeight="1" x14ac:dyDescent="0.35">
      <c r="B67" s="70" t="str">
        <f ca="1">IFERROR(INDEX(Calc!$O$91:$O$96,MATCH(ROW()-ROW($B$43),Calc!$N$91:$N$96,0)),"")</f>
        <v/>
      </c>
      <c r="C67" s="70"/>
      <c r="L67" s="71" t="str">
        <f ca="1">IFERROR(INDEX(Calc!$O$103:$O$111,MATCH(ROW()-ROW($L$43),Calc!$N$103:$N$111,0)),"")</f>
        <v/>
      </c>
      <c r="M67" s="71"/>
    </row>
    <row r="68" spans="2:13" ht="15" customHeight="1" x14ac:dyDescent="0.35">
      <c r="B68" s="70" t="str">
        <f ca="1">IFERROR(INDEX(Calc!$O$91:$O$96,MATCH(ROW()-ROW($B$43),Calc!$N$91:$N$96,0)),"")</f>
        <v/>
      </c>
      <c r="C68" s="70"/>
      <c r="L68" s="71" t="str">
        <f ca="1">IFERROR(INDEX(Calc!$O$103:$O$111,MATCH(ROW()-ROW($L$43),Calc!$N$103:$N$111,0)),"")</f>
        <v/>
      </c>
      <c r="M68" s="71"/>
    </row>
    <row r="69" spans="2:13" ht="15" customHeight="1" x14ac:dyDescent="0.35">
      <c r="B69" s="70" t="str">
        <f ca="1">IFERROR(INDEX(Calc!$O$91:$O$96,MATCH(ROW()-ROW($B$43),Calc!$N$91:$N$96,0)),"")</f>
        <v>UK  ·  3</v>
      </c>
      <c r="C69" s="70"/>
      <c r="L69" s="71" t="str">
        <f ca="1">IFERROR(INDEX(Calc!$O$103:$O$111,MATCH(ROW()-ROW($L$43),Calc!$N$103:$N$111,0)),"")</f>
        <v/>
      </c>
      <c r="M69" s="71"/>
    </row>
    <row r="70" spans="2:13" ht="15" customHeight="1" x14ac:dyDescent="0.35">
      <c r="B70" s="70" t="str">
        <f ca="1">IFERROR(INDEX(Calc!$O$91:$O$96,MATCH(ROW()-ROW($B$43),Calc!$N$91:$N$96,0)),"")</f>
        <v/>
      </c>
      <c r="C70" s="70"/>
      <c r="L70" s="71" t="str">
        <f ca="1">IFERROR(INDEX(Calc!$O$103:$O$111,MATCH(ROW()-ROW($L$43),Calc!$N$103:$N$111,0)),"")</f>
        <v/>
      </c>
      <c r="M70" s="71"/>
    </row>
    <row r="71" spans="2:13" ht="15" customHeight="1" x14ac:dyDescent="0.35">
      <c r="B71" s="70" t="str">
        <f ca="1">IFERROR(INDEX(Calc!$O$91:$O$96,MATCH(ROW()-ROW($B$43),Calc!$N$91:$N$96,0)),"")</f>
        <v/>
      </c>
      <c r="C71" s="70"/>
      <c r="L71" s="71" t="str">
        <f ca="1">IFERROR(INDEX(Calc!$O$103:$O$111,MATCH(ROW()-ROW($L$43),Calc!$N$103:$N$111,0)),"")</f>
        <v/>
      </c>
      <c r="M71" s="71"/>
    </row>
    <row r="72" spans="2:13" ht="15" customHeight="1" x14ac:dyDescent="0.35">
      <c r="B72" s="70" t="str">
        <f ca="1">IFERROR(INDEX(Calc!$O$91:$O$96,MATCH(ROW()-ROW($B$43),Calc!$N$91:$N$96,0)),"")</f>
        <v>LATAM  ·  3</v>
      </c>
      <c r="C72" s="70"/>
      <c r="L72" s="71" t="str">
        <f ca="1">IFERROR(INDEX(Calc!$O$103:$O$111,MATCH(ROW()-ROW($L$43),Calc!$N$103:$N$111,0)),"")</f>
        <v/>
      </c>
      <c r="M72" s="71"/>
    </row>
    <row r="73" spans="2:13" ht="15" customHeight="1" x14ac:dyDescent="0.35">
      <c r="B73" s="70" t="str">
        <f ca="1">IFERROR(INDEX(Calc!$O$91:$O$96,MATCH(ROW()-ROW($B$43),Calc!$N$91:$N$96,0)),"")</f>
        <v/>
      </c>
      <c r="C73" s="70"/>
      <c r="L73" s="71" t="str">
        <f ca="1">IFERROR(INDEX(Calc!$O$103:$O$111,MATCH(ROW()-ROW($L$43),Calc!$N$103:$N$111,0)),"")</f>
        <v/>
      </c>
      <c r="M73" s="71"/>
    </row>
    <row r="74" spans="2:13" ht="15" customHeight="1" x14ac:dyDescent="0.35">
      <c r="B74" s="70" t="str">
        <f ca="1">IFERROR(INDEX(Calc!$O$91:$O$96,MATCH(ROW()-ROW($B$43),Calc!$N$91:$N$96,0)),"")</f>
        <v>Canada  ·  2</v>
      </c>
      <c r="C74" s="70"/>
      <c r="L74" s="71" t="str">
        <f ca="1">IFERROR(INDEX(Calc!$O$103:$O$111,MATCH(ROW()-ROW($L$43),Calc!$N$103:$N$111,0)),"")</f>
        <v/>
      </c>
      <c r="M74" s="71"/>
    </row>
    <row r="75" spans="2:13" ht="15" customHeight="1" x14ac:dyDescent="0.35">
      <c r="B75" s="70" t="str">
        <f ca="1">IFERROR(INDEX(Calc!$O$91:$O$96,MATCH(ROW()-ROW($B$43),Calc!$N$91:$N$96,0)),"")</f>
        <v/>
      </c>
      <c r="C75" s="70"/>
      <c r="L75" s="71" t="str">
        <f ca="1">IFERROR(INDEX(Calc!$O$103:$O$111,MATCH(ROW()-ROW($L$43),Calc!$N$103:$N$111,0)),"")</f>
        <v/>
      </c>
      <c r="M75" s="71"/>
    </row>
    <row r="76" spans="2:13" ht="15" customHeight="1" x14ac:dyDescent="0.35">
      <c r="B76" s="70" t="str">
        <f ca="1">IFERROR(INDEX(Calc!$O$91:$O$96,MATCH(ROW()-ROW($B$43),Calc!$N$91:$N$96,0)),"")</f>
        <v/>
      </c>
      <c r="C76" s="70"/>
      <c r="L76" s="71" t="str">
        <f ca="1">IFERROR(INDEX(Calc!$O$103:$O$111,MATCH(ROW()-ROW($L$43),Calc!$N$103:$N$111,0)),"")</f>
        <v/>
      </c>
      <c r="M76" s="71"/>
    </row>
    <row r="77" spans="2:13" ht="7.5" customHeight="1" x14ac:dyDescent="0.35"/>
    <row r="78" spans="2:13" ht="19.5" customHeight="1" x14ac:dyDescent="0.35">
      <c r="B78" s="67" t="s">
        <v>31</v>
      </c>
      <c r="C78" s="67"/>
      <c r="D78" s="67"/>
      <c r="E78" s="67"/>
      <c r="F78" s="67"/>
      <c r="G78" s="67"/>
      <c r="H78" s="67"/>
      <c r="I78" s="67"/>
      <c r="J78" s="67"/>
      <c r="K78" s="67"/>
      <c r="L78" s="67"/>
      <c r="M78" s="67"/>
    </row>
    <row r="79" spans="2:13" ht="37.5" customHeight="1" x14ac:dyDescent="0.35">
      <c r="B79" s="72" t="s">
        <v>32</v>
      </c>
      <c r="C79" s="72"/>
      <c r="D79" s="72"/>
      <c r="E79" s="72"/>
      <c r="F79" s="72"/>
      <c r="G79" s="72"/>
      <c r="H79" s="72"/>
      <c r="I79" s="72"/>
      <c r="J79" s="72"/>
      <c r="K79" s="72"/>
      <c r="L79" s="72"/>
      <c r="M79" s="72"/>
    </row>
    <row r="80" spans="2:13" ht="25.5" customHeight="1" x14ac:dyDescent="0.35">
      <c r="B80" s="72" t="s">
        <v>33</v>
      </c>
      <c r="C80" s="72"/>
      <c r="D80" s="72"/>
      <c r="E80" s="72"/>
      <c r="F80" s="72"/>
      <c r="G80" s="72"/>
      <c r="H80" s="72"/>
      <c r="I80" s="72"/>
      <c r="J80" s="72"/>
      <c r="K80" s="72"/>
      <c r="L80" s="72"/>
      <c r="M80" s="72"/>
    </row>
    <row r="81" spans="2:13" ht="37.5" customHeight="1" x14ac:dyDescent="0.35">
      <c r="B81" s="72" t="s">
        <v>34</v>
      </c>
      <c r="C81" s="72"/>
      <c r="D81" s="72"/>
      <c r="E81" s="72"/>
      <c r="F81" s="72"/>
      <c r="G81" s="72"/>
      <c r="H81" s="72"/>
      <c r="I81" s="72"/>
      <c r="J81" s="72"/>
      <c r="K81" s="72"/>
      <c r="L81" s="72"/>
      <c r="M81" s="72"/>
    </row>
    <row r="82" spans="2:13" ht="25.5" customHeight="1" x14ac:dyDescent="0.35">
      <c r="B82" s="72" t="s">
        <v>35</v>
      </c>
      <c r="C82" s="72"/>
      <c r="D82" s="72"/>
      <c r="E82" s="72"/>
      <c r="F82" s="72"/>
      <c r="G82" s="72"/>
      <c r="H82" s="72"/>
      <c r="I82" s="72"/>
      <c r="J82" s="72"/>
      <c r="K82" s="72"/>
      <c r="L82" s="72"/>
      <c r="M82" s="72"/>
    </row>
    <row r="84" spans="2:13" ht="19.5" customHeight="1" x14ac:dyDescent="0.35">
      <c r="B84" s="67" t="s">
        <v>36</v>
      </c>
      <c r="C84" s="67"/>
      <c r="D84" s="67"/>
      <c r="E84" s="67"/>
      <c r="F84" s="67"/>
      <c r="G84" s="67"/>
      <c r="H84" s="67"/>
      <c r="I84" s="67"/>
      <c r="J84" s="67"/>
      <c r="K84" s="67"/>
      <c r="L84" s="67"/>
      <c r="M84" s="67"/>
    </row>
    <row r="85" spans="2:13" x14ac:dyDescent="0.35">
      <c r="B85" s="1" t="s">
        <v>37</v>
      </c>
      <c r="C85" s="68" t="s">
        <v>38</v>
      </c>
      <c r="D85" s="68"/>
      <c r="E85" s="68"/>
      <c r="F85" s="68"/>
      <c r="G85" s="68"/>
      <c r="H85" s="68"/>
      <c r="I85" s="68"/>
      <c r="J85" s="68"/>
      <c r="K85" s="68"/>
      <c r="L85" s="68"/>
      <c r="M85" s="68"/>
    </row>
    <row r="86" spans="2:13" x14ac:dyDescent="0.35">
      <c r="B86" s="6">
        <f ca="1">ABS(SUM(Calc!B50:C55)-'Deployment Dashboard'!B5)</f>
        <v>0</v>
      </c>
      <c r="C86" s="69" t="s">
        <v>39</v>
      </c>
      <c r="D86" s="69"/>
      <c r="E86" s="69"/>
      <c r="F86" s="69"/>
      <c r="G86" s="69"/>
      <c r="H86" s="69"/>
      <c r="I86" s="69"/>
      <c r="J86" s="69"/>
      <c r="K86" s="69"/>
      <c r="L86" s="69"/>
      <c r="M86" s="69"/>
    </row>
    <row r="87" spans="2:13" x14ac:dyDescent="0.35">
      <c r="B87" s="6">
        <f ca="1">ABS(Calc!B69-'Deployment Dashboard'!B5)</f>
        <v>0</v>
      </c>
      <c r="C87" s="69" t="s">
        <v>40</v>
      </c>
      <c r="D87" s="69"/>
      <c r="E87" s="69"/>
      <c r="F87" s="69"/>
      <c r="G87" s="69"/>
      <c r="H87" s="69"/>
      <c r="I87" s="69"/>
      <c r="J87" s="69"/>
      <c r="K87" s="69"/>
      <c r="L87" s="69"/>
      <c r="M87" s="69"/>
    </row>
    <row r="88" spans="2:13" x14ac:dyDescent="0.35">
      <c r="B88" s="6">
        <f>ABS(N(G10)-(N('Recruitement Dashboard'!B6)+N('Recruitement Dashboard'!B34)))</f>
        <v>0</v>
      </c>
      <c r="C88" s="69" t="s">
        <v>41</v>
      </c>
      <c r="D88" s="69"/>
      <c r="E88" s="69"/>
      <c r="F88" s="69"/>
      <c r="G88" s="69"/>
      <c r="H88" s="69"/>
      <c r="I88" s="69"/>
      <c r="J88" s="69"/>
      <c r="K88" s="69"/>
      <c r="L88" s="69"/>
      <c r="M88" s="69"/>
    </row>
  </sheetData>
  <mergeCells count="125">
    <mergeCell ref="B1:M1"/>
    <mergeCell ref="B2:I2"/>
    <mergeCell ref="B3:M3"/>
    <mergeCell ref="B4:C4"/>
    <mergeCell ref="D4:E4"/>
    <mergeCell ref="F4:G4"/>
    <mergeCell ref="H4:I4"/>
    <mergeCell ref="J4:K4"/>
    <mergeCell ref="L4:M4"/>
    <mergeCell ref="B5:C5"/>
    <mergeCell ref="D5:E5"/>
    <mergeCell ref="F5:G5"/>
    <mergeCell ref="H5:I5"/>
    <mergeCell ref="J5:K5"/>
    <mergeCell ref="L5:M5"/>
    <mergeCell ref="B6:C6"/>
    <mergeCell ref="D6:E6"/>
    <mergeCell ref="F6:G6"/>
    <mergeCell ref="H6:I6"/>
    <mergeCell ref="J6:K6"/>
    <mergeCell ref="L6:M6"/>
    <mergeCell ref="B8:M8"/>
    <mergeCell ref="B9:C9"/>
    <mergeCell ref="H9:M9"/>
    <mergeCell ref="B10:C10"/>
    <mergeCell ref="B11:C11"/>
    <mergeCell ref="B12:C12"/>
    <mergeCell ref="B13:C13"/>
    <mergeCell ref="B14:C14"/>
    <mergeCell ref="B15:C15"/>
    <mergeCell ref="B16:C16"/>
    <mergeCell ref="B17:C17"/>
    <mergeCell ref="B18:C18"/>
    <mergeCell ref="B22:M22"/>
    <mergeCell ref="B23:D23"/>
    <mergeCell ref="E23:G23"/>
    <mergeCell ref="H23:J23"/>
    <mergeCell ref="K23:M23"/>
    <mergeCell ref="B24:D24"/>
    <mergeCell ref="E24:G24"/>
    <mergeCell ref="H24:J24"/>
    <mergeCell ref="K24:M24"/>
    <mergeCell ref="B25:M25"/>
    <mergeCell ref="B41:M41"/>
    <mergeCell ref="B42:C42"/>
    <mergeCell ref="G42:H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84:M84"/>
    <mergeCell ref="C85:M85"/>
    <mergeCell ref="C86:M86"/>
    <mergeCell ref="C87:M87"/>
    <mergeCell ref="C88:M88"/>
    <mergeCell ref="B75:C75"/>
    <mergeCell ref="L75:M75"/>
    <mergeCell ref="B76:C76"/>
    <mergeCell ref="L76:M76"/>
    <mergeCell ref="B78:M78"/>
    <mergeCell ref="B79:M79"/>
    <mergeCell ref="B80:M80"/>
    <mergeCell ref="B81:M81"/>
    <mergeCell ref="B82:M82"/>
  </mergeCells>
  <conditionalFormatting sqref="B86:B88">
    <cfRule type="cellIs" dxfId="1" priority="3" operator="greaterThan">
      <formula>0</formula>
    </cfRule>
  </conditionalFormatting>
  <conditionalFormatting sqref="D10:G18">
    <cfRule type="cellIs" dxfId="0" priority="2" operator="equal">
      <formula>"–"</formula>
    </cfRule>
  </conditionalFormatting>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M74"/>
  <sheetViews>
    <sheetView showGridLines="0" topLeftCell="A4" zoomScaleNormal="100" workbookViewId="0"/>
  </sheetViews>
  <sheetFormatPr defaultColWidth="8.54296875" defaultRowHeight="14.5" x14ac:dyDescent="0.35"/>
  <cols>
    <col min="1" max="1" width="2" customWidth="1"/>
    <col min="2" max="13" width="13.453125" customWidth="1"/>
  </cols>
  <sheetData>
    <row r="1" spans="2:13" ht="37.5" customHeight="1" x14ac:dyDescent="0.35">
      <c r="B1" s="101" t="s">
        <v>42</v>
      </c>
      <c r="C1" s="101"/>
      <c r="D1" s="101"/>
      <c r="E1" s="101"/>
      <c r="F1" s="101"/>
      <c r="G1" s="101"/>
      <c r="H1" s="101"/>
      <c r="I1" s="101"/>
      <c r="J1" s="101"/>
      <c r="K1" s="101"/>
      <c r="L1" s="101"/>
      <c r="M1" s="101"/>
    </row>
    <row r="2" spans="2:13" x14ac:dyDescent="0.35">
      <c r="B2" s="102" t="s">
        <v>43</v>
      </c>
      <c r="C2" s="102"/>
      <c r="D2" s="102"/>
      <c r="E2" s="102"/>
      <c r="F2" s="102"/>
      <c r="G2" s="102"/>
      <c r="H2" s="102"/>
      <c r="J2" s="103" t="s">
        <v>44</v>
      </c>
      <c r="K2" s="103"/>
      <c r="L2" s="58">
        <f>MAX('HR-Input'!$A$2:$A$500)</f>
        <v>46290</v>
      </c>
    </row>
    <row r="3" spans="2:13" x14ac:dyDescent="0.35">
      <c r="B3" s="7" t="s">
        <v>45</v>
      </c>
    </row>
    <row r="4" spans="2:13" ht="21.75" customHeight="1" x14ac:dyDescent="0.35">
      <c r="B4" s="93" t="s">
        <v>46</v>
      </c>
      <c r="C4" s="93"/>
      <c r="D4" s="93"/>
      <c r="E4" s="93"/>
      <c r="F4" s="93"/>
      <c r="G4" s="93"/>
      <c r="H4" s="93"/>
      <c r="I4" s="93"/>
      <c r="J4" s="93"/>
      <c r="K4" s="93"/>
      <c r="L4" s="93"/>
      <c r="M4" s="93"/>
    </row>
    <row r="5" spans="2:13" ht="27.75" customHeight="1" x14ac:dyDescent="0.35">
      <c r="B5" s="97" t="s">
        <v>47</v>
      </c>
      <c r="C5" s="97"/>
      <c r="D5" s="97" t="s">
        <v>21</v>
      </c>
      <c r="E5" s="97"/>
      <c r="F5" s="98" t="s">
        <v>22</v>
      </c>
      <c r="G5" s="98"/>
      <c r="H5" s="98" t="s">
        <v>48</v>
      </c>
      <c r="I5" s="98"/>
      <c r="J5" s="99" t="s">
        <v>49</v>
      </c>
      <c r="K5" s="99"/>
      <c r="L5" s="100" t="s">
        <v>24</v>
      </c>
      <c r="M5" s="100"/>
    </row>
    <row r="6" spans="2:13" ht="43.5" customHeight="1" x14ac:dyDescent="0.35">
      <c r="B6" s="96">
        <f>IF(COUNT(M10,M22,M23,M24,M25,M26,M17)=0,"–",SUM(M10,M22,M23,M24,M25,M26,M17))</f>
        <v>24</v>
      </c>
      <c r="C6" s="96"/>
      <c r="D6" s="96">
        <f>M26</f>
        <v>2</v>
      </c>
      <c r="E6" s="96"/>
      <c r="F6" s="96">
        <f>M18</f>
        <v>3</v>
      </c>
      <c r="G6" s="96"/>
      <c r="H6" s="96" t="str">
        <f>M19</f>
        <v>–</v>
      </c>
      <c r="I6" s="96"/>
      <c r="J6" s="96">
        <f>M28</f>
        <v>20</v>
      </c>
      <c r="K6" s="96"/>
      <c r="L6" s="96">
        <f>M29</f>
        <v>10</v>
      </c>
      <c r="M6" s="96"/>
    </row>
    <row r="8" spans="2:13" ht="25.5" customHeight="1" x14ac:dyDescent="0.35">
      <c r="H8" s="82" t="s">
        <v>10</v>
      </c>
      <c r="I8" s="82"/>
      <c r="J8" s="1" t="s">
        <v>11</v>
      </c>
      <c r="K8" s="1" t="s">
        <v>12</v>
      </c>
      <c r="L8" s="1" t="s">
        <v>13</v>
      </c>
      <c r="M8" s="1" t="s">
        <v>14</v>
      </c>
    </row>
    <row r="9" spans="2:13" x14ac:dyDescent="0.35">
      <c r="H9" s="95" t="s">
        <v>50</v>
      </c>
      <c r="I9" s="95"/>
      <c r="J9" s="95"/>
      <c r="K9" s="95"/>
      <c r="L9" s="95"/>
      <c r="M9" s="95"/>
    </row>
    <row r="10" spans="2:13" ht="15" customHeight="1" x14ac:dyDescent="0.35">
      <c r="H10" s="94" t="s">
        <v>51</v>
      </c>
      <c r="I10" s="94"/>
      <c r="J10" s="59" t="str">
        <f>IF(COUNTIFS('HR-Input'!$A$2:$A$500,$L$2,'HR-Input'!$B$2:$B$500,"Cohort 1",'HR-Input'!$C$2:$C$500,"Associate FDE",'HR-Input'!$F$2:$F$500,"&lt;&gt;")=0,"–",SUMIFS('HR-Input'!$F$2:$F$500,'HR-Input'!$A$2:$A$500,$L$2,'HR-Input'!$B$2:$B$500,"Cohort 1",'HR-Input'!$C$2:$C$500,"Associate FDE"))</f>
        <v>–</v>
      </c>
      <c r="K10" s="59" t="str">
        <f>IF(COUNTIFS('HR-Input'!$A$2:$A$500,$L$2,'HR-Input'!$B$2:$B$500,"Cohort 1",'HR-Input'!$C$2:$C$500,"FDE",'HR-Input'!$F$2:$F$500,"&lt;&gt;")=0,"–",SUMIFS('HR-Input'!$F$2:$F$500,'HR-Input'!$A$2:$A$500,$L$2,'HR-Input'!$B$2:$B$500,"Cohort 1",'HR-Input'!$C$2:$C$500,"FDE"))</f>
        <v>–</v>
      </c>
      <c r="L10" s="59">
        <f>IF(COUNTIFS('HR-Input'!$A$2:$A$500,$L$2,'HR-Input'!$B$2:$B$500,"Cohort 1",'HR-Input'!$C$2:$C$500,"Senior FDE",'HR-Input'!$F$2:$F$500,"&lt;&gt;")=0,"–",SUMIFS('HR-Input'!$F$2:$F$500,'HR-Input'!$A$2:$A$500,$L$2,'HR-Input'!$B$2:$B$500,"Cohort 1",'HR-Input'!$C$2:$C$500,"Senior FDE"))</f>
        <v>6</v>
      </c>
      <c r="M10" s="60">
        <f t="shared" ref="M10:M19" si="0">IF(COUNT(J10:L10)=0,"–",SUM(J10:L10))</f>
        <v>6</v>
      </c>
    </row>
    <row r="11" spans="2:13" ht="15" customHeight="1" x14ac:dyDescent="0.35">
      <c r="H11" s="94" t="s">
        <v>52</v>
      </c>
      <c r="I11" s="94"/>
      <c r="J11" s="59" t="str">
        <f>IF(COUNTIFS('HR-Input'!$A$2:$A$500,$L$2,'HR-Input'!$B$2:$B$500,"Cohort 1",'HR-Input'!$C$2:$C$500,"Associate FDE",'HR-Input'!$G$2:$G$500,"&lt;&gt;")=0,"–",SUMIFS('HR-Input'!$G$2:$G$500,'HR-Input'!$A$2:$A$500,$L$2,'HR-Input'!$B$2:$B$500,"Cohort 1",'HR-Input'!$C$2:$C$500,"Associate FDE"))</f>
        <v>–</v>
      </c>
      <c r="K11" s="59" t="str">
        <f>IF(COUNTIFS('HR-Input'!$A$2:$A$500,$L$2,'HR-Input'!$B$2:$B$500,"Cohort 1",'HR-Input'!$C$2:$C$500,"FDE",'HR-Input'!$G$2:$G$500,"&lt;&gt;")=0,"–",SUMIFS('HR-Input'!$G$2:$G$500,'HR-Input'!$A$2:$A$500,$L$2,'HR-Input'!$B$2:$B$500,"Cohort 1",'HR-Input'!$C$2:$C$500,"FDE"))</f>
        <v>–</v>
      </c>
      <c r="L11" s="59" t="str">
        <f>IF(COUNTIFS('HR-Input'!$A$2:$A$500,$L$2,'HR-Input'!$B$2:$B$500,"Cohort 1",'HR-Input'!$C$2:$C$500,"Senior FDE",'HR-Input'!$G$2:$G$500,"&lt;&gt;")=0,"–",SUMIFS('HR-Input'!$G$2:$G$500,'HR-Input'!$A$2:$A$500,$L$2,'HR-Input'!$B$2:$B$500,"Cohort 1",'HR-Input'!$C$2:$C$500,"Senior FDE"))</f>
        <v>–</v>
      </c>
      <c r="M11" s="60" t="str">
        <f t="shared" si="0"/>
        <v>–</v>
      </c>
    </row>
    <row r="12" spans="2:13" ht="15" customHeight="1" x14ac:dyDescent="0.35">
      <c r="H12" s="94" t="s">
        <v>17</v>
      </c>
      <c r="I12" s="94"/>
      <c r="J12" s="59" t="str">
        <f>IF(COUNTIFS('HR-Input'!$A$2:$A$500,$L$2,'HR-Input'!$B$2:$B$500,"Cohort 1",'HR-Input'!$C$2:$C$500,"Associate FDE",'HR-Input'!$I$2:$I$500,"&lt;&gt;")=0,"–",SUMIFS('HR-Input'!$I$2:$I$500,'HR-Input'!$A$2:$A$500,$L$2,'HR-Input'!$B$2:$B$500,"Cohort 1",'HR-Input'!$C$2:$C$500,"Associate FDE"))</f>
        <v>–</v>
      </c>
      <c r="K12" s="59" t="str">
        <f>IF(COUNTIFS('HR-Input'!$A$2:$A$500,$L$2,'HR-Input'!$B$2:$B$500,"Cohort 1",'HR-Input'!$C$2:$C$500,"FDE",'HR-Input'!$I$2:$I$500,"&lt;&gt;")=0,"–",SUMIFS('HR-Input'!$I$2:$I$500,'HR-Input'!$A$2:$A$500,$L$2,'HR-Input'!$B$2:$B$500,"Cohort 1",'HR-Input'!$C$2:$C$500,"FDE"))</f>
        <v>–</v>
      </c>
      <c r="L12" s="59" t="str">
        <f>IF(COUNTIFS('HR-Input'!$A$2:$A$500,$L$2,'HR-Input'!$B$2:$B$500,"Cohort 1",'HR-Input'!$C$2:$C$500,"Senior FDE",'HR-Input'!$I$2:$I$500,"&lt;&gt;")=0,"–",SUMIFS('HR-Input'!$I$2:$I$500,'HR-Input'!$A$2:$A$500,$L$2,'HR-Input'!$B$2:$B$500,"Cohort 1",'HR-Input'!$C$2:$C$500,"Senior FDE"))</f>
        <v>–</v>
      </c>
      <c r="M12" s="60" t="str">
        <f t="shared" si="0"/>
        <v>–</v>
      </c>
    </row>
    <row r="13" spans="2:13" ht="25.5" customHeight="1" x14ac:dyDescent="0.35">
      <c r="H13" s="94" t="s">
        <v>18</v>
      </c>
      <c r="I13" s="94"/>
      <c r="J13" s="59" t="str">
        <f>IF(COUNTIFS('HR-Input'!$A$2:$A$500,$L$2,'HR-Input'!$B$2:$B$500,"Cohort 1",'HR-Input'!$C$2:$C$500,"Associate FDE",'HR-Input'!$K$2:$K$500,"&lt;&gt;")=0,"–",SUMIFS('HR-Input'!$K$2:$K$500,'HR-Input'!$A$2:$A$500,$L$2,'HR-Input'!$B$2:$B$500,"Cohort 1",'HR-Input'!$C$2:$C$500,"Associate FDE"))</f>
        <v>–</v>
      </c>
      <c r="K13" s="59" t="str">
        <f>IF(COUNTIFS('HR-Input'!$A$2:$A$500,$L$2,'HR-Input'!$B$2:$B$500,"Cohort 1",'HR-Input'!$C$2:$C$500,"FDE",'HR-Input'!$K$2:$K$500,"&lt;&gt;")=0,"–",SUMIFS('HR-Input'!$K$2:$K$500,'HR-Input'!$A$2:$A$500,$L$2,'HR-Input'!$B$2:$B$500,"Cohort 1",'HR-Input'!$C$2:$C$500,"FDE"))</f>
        <v>–</v>
      </c>
      <c r="L13" s="59" t="str">
        <f>IF(COUNTIFS('HR-Input'!$A$2:$A$500,$L$2,'HR-Input'!$B$2:$B$500,"Cohort 1",'HR-Input'!$C$2:$C$500,"Senior FDE",'HR-Input'!$K$2:$K$500,"&lt;&gt;")=0,"–",SUMIFS('HR-Input'!$K$2:$K$500,'HR-Input'!$A$2:$A$500,$L$2,'HR-Input'!$B$2:$B$500,"Cohort 1",'HR-Input'!$C$2:$C$500,"Senior FDE"))</f>
        <v>–</v>
      </c>
      <c r="M13" s="60" t="str">
        <f t="shared" si="0"/>
        <v>–</v>
      </c>
    </row>
    <row r="14" spans="2:13" ht="15" customHeight="1" x14ac:dyDescent="0.35">
      <c r="H14" s="94" t="s">
        <v>19</v>
      </c>
      <c r="I14" s="94"/>
      <c r="J14" s="59" t="str">
        <f>IF(COUNTIFS('HR-Input'!$A$2:$A$500,$L$2,'HR-Input'!$B$2:$B$500,"Cohort 1",'HR-Input'!$C$2:$C$500,"Associate FDE",'HR-Input'!$M$2:$M$500,"&lt;&gt;")=0,"–",SUMIFS('HR-Input'!$M$2:$M$500,'HR-Input'!$A$2:$A$500,$L$2,'HR-Input'!$B$2:$B$500,"Cohort 1",'HR-Input'!$C$2:$C$500,"Associate FDE"))</f>
        <v>–</v>
      </c>
      <c r="K14" s="59" t="str">
        <f>IF(COUNTIFS('HR-Input'!$A$2:$A$500,$L$2,'HR-Input'!$B$2:$B$500,"Cohort 1",'HR-Input'!$C$2:$C$500,"FDE",'HR-Input'!$M$2:$M$500,"&lt;&gt;")=0,"–",SUMIFS('HR-Input'!$M$2:$M$500,'HR-Input'!$A$2:$A$500,$L$2,'HR-Input'!$B$2:$B$500,"Cohort 1",'HR-Input'!$C$2:$C$500,"FDE"))</f>
        <v>–</v>
      </c>
      <c r="L14" s="59" t="str">
        <f>IF(COUNTIFS('HR-Input'!$A$2:$A$500,$L$2,'HR-Input'!$B$2:$B$500,"Cohort 1",'HR-Input'!$C$2:$C$500,"Senior FDE",'HR-Input'!$M$2:$M$500,"&lt;&gt;")=0,"–",SUMIFS('HR-Input'!$M$2:$M$500,'HR-Input'!$A$2:$A$500,$L$2,'HR-Input'!$B$2:$B$500,"Cohort 1",'HR-Input'!$C$2:$C$500,"Senior FDE"))</f>
        <v>–</v>
      </c>
      <c r="M14" s="60" t="str">
        <f t="shared" si="0"/>
        <v>–</v>
      </c>
    </row>
    <row r="15" spans="2:13" ht="15" customHeight="1" x14ac:dyDescent="0.35">
      <c r="H15" s="94" t="s">
        <v>20</v>
      </c>
      <c r="I15" s="94"/>
      <c r="J15" s="59" t="str">
        <f>IF(COUNTIFS('HR-Input'!$A$2:$A$500,$L$2,'HR-Input'!$B$2:$B$500,"Cohort 1",'HR-Input'!$C$2:$C$500,"Associate FDE",'HR-Input'!$O$2:$O$500,"&lt;&gt;")=0,"–",SUMIFS('HR-Input'!$O$2:$O$500,'HR-Input'!$A$2:$A$500,$L$2,'HR-Input'!$B$2:$B$500,"Cohort 1",'HR-Input'!$C$2:$C$500,"Associate FDE"))</f>
        <v>–</v>
      </c>
      <c r="K15" s="59" t="str">
        <f>IF(COUNTIFS('HR-Input'!$A$2:$A$500,$L$2,'HR-Input'!$B$2:$B$500,"Cohort 1",'HR-Input'!$C$2:$C$500,"FDE",'HR-Input'!$O$2:$O$500,"&lt;&gt;")=0,"–",SUMIFS('HR-Input'!$O$2:$O$500,'HR-Input'!$A$2:$A$500,$L$2,'HR-Input'!$B$2:$B$500,"Cohort 1",'HR-Input'!$C$2:$C$500,"FDE"))</f>
        <v>–</v>
      </c>
      <c r="L15" s="59" t="str">
        <f>IF(COUNTIFS('HR-Input'!$A$2:$A$500,$L$2,'HR-Input'!$B$2:$B$500,"Cohort 1",'HR-Input'!$C$2:$C$500,"Senior FDE",'HR-Input'!$O$2:$O$500,"&lt;&gt;")=0,"–",SUMIFS('HR-Input'!$O$2:$O$500,'HR-Input'!$A$2:$A$500,$L$2,'HR-Input'!$B$2:$B$500,"Cohort 1",'HR-Input'!$C$2:$C$500,"Senior FDE"))</f>
        <v>–</v>
      </c>
      <c r="M15" s="60" t="str">
        <f t="shared" si="0"/>
        <v>–</v>
      </c>
    </row>
    <row r="16" spans="2:13" ht="15" customHeight="1" x14ac:dyDescent="0.35">
      <c r="H16" s="94" t="s">
        <v>53</v>
      </c>
      <c r="I16" s="94"/>
      <c r="J16" s="59" t="str">
        <f>IF(COUNTIFS('HR-Input'!$A$2:$A$500,$L$2,'HR-Input'!$B$2:$B$500,"Cohort 1",'HR-Input'!$C$2:$C$500,"Associate FDE",'HR-Input'!$Q$2:$Q$500,"&lt;&gt;")=0,"–",SUMIFS('HR-Input'!$Q$2:$Q$500,'HR-Input'!$A$2:$A$500,$L$2,'HR-Input'!$B$2:$B$500,"Cohort 1",'HR-Input'!$C$2:$C$500,"Associate FDE"))</f>
        <v>–</v>
      </c>
      <c r="K16" s="59" t="str">
        <f>IF(COUNTIFS('HR-Input'!$A$2:$A$500,$L$2,'HR-Input'!$B$2:$B$500,"Cohort 1",'HR-Input'!$C$2:$C$500,"FDE",'HR-Input'!$Q$2:$Q$500,"&lt;&gt;")=0,"–",SUMIFS('HR-Input'!$Q$2:$Q$500,'HR-Input'!$A$2:$A$500,$L$2,'HR-Input'!$B$2:$B$500,"Cohort 1",'HR-Input'!$C$2:$C$500,"FDE"))</f>
        <v>–</v>
      </c>
      <c r="L16" s="59" t="str">
        <f>IF(COUNTIFS('HR-Input'!$A$2:$A$500,$L$2,'HR-Input'!$B$2:$B$500,"Cohort 1",'HR-Input'!$C$2:$C$500,"Senior FDE",'HR-Input'!$Q$2:$Q$500,"&lt;&gt;")=0,"–",SUMIFS('HR-Input'!$Q$2:$Q$500,'HR-Input'!$A$2:$A$500,$L$2,'HR-Input'!$B$2:$B$500,"Cohort 1",'HR-Input'!$C$2:$C$500,"Senior FDE"))</f>
        <v>–</v>
      </c>
      <c r="M16" s="60" t="str">
        <f t="shared" si="0"/>
        <v>–</v>
      </c>
    </row>
    <row r="17" spans="2:13" ht="15" customHeight="1" x14ac:dyDescent="0.35">
      <c r="H17" s="94" t="s">
        <v>54</v>
      </c>
      <c r="I17" s="94"/>
      <c r="J17" s="59" t="str">
        <f>IF(COUNTIFS('HR-Input'!$A$2:$A$500,$L$2,'HR-Input'!$B$2:$B$500,"Cohort 1",'HR-Input'!$C$2:$C$500,"Associate FDE",'HR-Input'!$R$2:$R$500,"&lt;&gt;")=0,"–",SUMIFS('HR-Input'!$R$2:$R$500,'HR-Input'!$A$2:$A$500,$L$2,'HR-Input'!$B$2:$B$500,"Cohort 1",'HR-Input'!$C$2:$C$500,"Associate FDE"))</f>
        <v>–</v>
      </c>
      <c r="K17" s="59" t="str">
        <f>IF(COUNTIFS('HR-Input'!$A$2:$A$500,$L$2,'HR-Input'!$B$2:$B$500,"Cohort 1",'HR-Input'!$C$2:$C$500,"FDE",'HR-Input'!$R$2:$R$500,"&lt;&gt;")=0,"–",SUMIFS('HR-Input'!$R$2:$R$500,'HR-Input'!$A$2:$A$500,$L$2,'HR-Input'!$B$2:$B$500,"Cohort 1",'HR-Input'!$C$2:$C$500,"FDE"))</f>
        <v>–</v>
      </c>
      <c r="L17" s="59" t="str">
        <f>IF(COUNTIFS('HR-Input'!$A$2:$A$500,$L$2,'HR-Input'!$B$2:$B$500,"Cohort 1",'HR-Input'!$C$2:$C$500,"Senior FDE",'HR-Input'!$R$2:$R$500,"&lt;&gt;")=0,"–",SUMIFS('HR-Input'!$R$2:$R$500,'HR-Input'!$A$2:$A$500,$L$2,'HR-Input'!$B$2:$B$500,"Cohort 1",'HR-Input'!$C$2:$C$500,"Senior FDE"))</f>
        <v>–</v>
      </c>
      <c r="M17" s="60" t="str">
        <f t="shared" si="0"/>
        <v>–</v>
      </c>
    </row>
    <row r="18" spans="2:13" ht="15" customHeight="1" x14ac:dyDescent="0.35">
      <c r="H18" s="94" t="s">
        <v>22</v>
      </c>
      <c r="I18" s="94"/>
      <c r="J18" s="59" t="str">
        <f>IF(COUNTIFS('HR-Input'!$A$2:$A$500,$L$2,'HR-Input'!$B$2:$B$500,"Cohort 1",'HR-Input'!$C$2:$C$500,"Associate FDE",'HR-Input'!$S$2:$S$500,"&lt;&gt;")=0,"–",SUMIFS('HR-Input'!$S$2:$S$500,'HR-Input'!$A$2:$A$500,$L$2,'HR-Input'!$B$2:$B$500,"Cohort 1",'HR-Input'!$C$2:$C$500,"Associate FDE"))</f>
        <v>–</v>
      </c>
      <c r="K18" s="59">
        <f>IF(COUNTIFS('HR-Input'!$A$2:$A$500,$L$2,'HR-Input'!$B$2:$B$500,"Cohort 1",'HR-Input'!$C$2:$C$500,"FDE",'HR-Input'!$S$2:$S$500,"&lt;&gt;")=0,"–",SUMIFS('HR-Input'!$S$2:$S$500,'HR-Input'!$A$2:$A$500,$L$2,'HR-Input'!$B$2:$B$500,"Cohort 1",'HR-Input'!$C$2:$C$500,"FDE"))</f>
        <v>3</v>
      </c>
      <c r="L18" s="59" t="str">
        <f>IF(COUNTIFS('HR-Input'!$A$2:$A$500,$L$2,'HR-Input'!$B$2:$B$500,"Cohort 1",'HR-Input'!$C$2:$C$500,"Senior FDE",'HR-Input'!$S$2:$S$500,"&lt;&gt;")=0,"–",SUMIFS('HR-Input'!$S$2:$S$500,'HR-Input'!$A$2:$A$500,$L$2,'HR-Input'!$B$2:$B$500,"Cohort 1",'HR-Input'!$C$2:$C$500,"Senior FDE"))</f>
        <v>–</v>
      </c>
      <c r="M18" s="60">
        <f t="shared" si="0"/>
        <v>3</v>
      </c>
    </row>
    <row r="19" spans="2:13" ht="15" customHeight="1" x14ac:dyDescent="0.35">
      <c r="H19" s="94" t="s">
        <v>48</v>
      </c>
      <c r="I19" s="94"/>
      <c r="J19" s="59" t="str">
        <f>IF(COUNTIFS('HR-Input'!$A$2:$A$500,$L$2,'HR-Input'!$B$2:$B$500,"Cohort 1",'HR-Input'!$C$2:$C$500,"Associate FDE",'HR-Input'!$T$2:$T$500,"&lt;&gt;")=0,"–",SUMIFS('HR-Input'!$T$2:$T$500,'HR-Input'!$A$2:$A$500,$L$2,'HR-Input'!$B$2:$B$500,"Cohort 1",'HR-Input'!$C$2:$C$500,"Associate FDE"))</f>
        <v>–</v>
      </c>
      <c r="K19" s="59" t="str">
        <f>IF(COUNTIFS('HR-Input'!$A$2:$A$500,$L$2,'HR-Input'!$B$2:$B$500,"Cohort 1",'HR-Input'!$C$2:$C$500,"FDE",'HR-Input'!$T$2:$T$500,"&lt;&gt;")=0,"–",SUMIFS('HR-Input'!$T$2:$T$500,'HR-Input'!$A$2:$A$500,$L$2,'HR-Input'!$B$2:$B$500,"Cohort 1",'HR-Input'!$C$2:$C$500,"FDE"))</f>
        <v>–</v>
      </c>
      <c r="L19" s="59" t="str">
        <f>IF(COUNTIFS('HR-Input'!$A$2:$A$500,$L$2,'HR-Input'!$B$2:$B$500,"Cohort 1",'HR-Input'!$C$2:$C$500,"Senior FDE",'HR-Input'!$T$2:$T$500,"&lt;&gt;")=0,"–",SUMIFS('HR-Input'!$T$2:$T$500,'HR-Input'!$A$2:$A$500,$L$2,'HR-Input'!$B$2:$B$500,"Cohort 1",'HR-Input'!$C$2:$C$500,"Senior FDE"))</f>
        <v>–</v>
      </c>
      <c r="M19" s="60" t="str">
        <f t="shared" si="0"/>
        <v>–</v>
      </c>
    </row>
    <row r="20" spans="2:13" x14ac:dyDescent="0.35">
      <c r="H20" s="95" t="s">
        <v>55</v>
      </c>
      <c r="I20" s="95"/>
      <c r="J20" s="95"/>
      <c r="K20" s="95"/>
      <c r="L20" s="95"/>
      <c r="M20" s="95"/>
    </row>
    <row r="21" spans="2:13" ht="15" customHeight="1" x14ac:dyDescent="0.35">
      <c r="H21" s="94" t="s">
        <v>56</v>
      </c>
      <c r="I21" s="94"/>
      <c r="J21" s="59" t="str">
        <f>IF(COUNTIFS('HR-Input'!$A$2:$A$500,$L$2,'HR-Input'!$B$2:$B$500,"Cohort 1",'HR-Input'!$C$2:$C$500,"Associate FDE",'HR-Input'!$E$2:$E$500,"&lt;&gt;")=0,"–",SUMIFS('HR-Input'!$E$2:$E$500,'HR-Input'!$A$2:$A$500,$L$2,'HR-Input'!$B$2:$B$500,"Cohort 1",'HR-Input'!$C$2:$C$500,"Associate FDE"))</f>
        <v>–</v>
      </c>
      <c r="K21" s="59" t="str">
        <f>IF(COUNTIFS('HR-Input'!$A$2:$A$500,$L$2,'HR-Input'!$B$2:$B$500,"Cohort 1",'HR-Input'!$C$2:$C$500,"FDE",'HR-Input'!$E$2:$E$500,"&lt;&gt;")=0,"–",SUMIFS('HR-Input'!$E$2:$E$500,'HR-Input'!$A$2:$A$500,$L$2,'HR-Input'!$B$2:$B$500,"Cohort 1",'HR-Input'!$C$2:$C$500,"FDE"))</f>
        <v>–</v>
      </c>
      <c r="L21" s="59">
        <f>IF(COUNTIFS('HR-Input'!$A$2:$A$500,$L$2,'HR-Input'!$B$2:$B$500,"Cohort 1",'HR-Input'!$C$2:$C$500,"Senior FDE",'HR-Input'!$E$2:$E$500,"&lt;&gt;")=0,"–",SUMIFS('HR-Input'!$E$2:$E$500,'HR-Input'!$A$2:$A$500,$L$2,'HR-Input'!$B$2:$B$500,"Cohort 1",'HR-Input'!$C$2:$C$500,"Senior FDE"))</f>
        <v>16</v>
      </c>
      <c r="M21" s="60">
        <f t="shared" ref="M21:M29" si="1">IF(COUNT(J21:L21)=0,"–",SUM(J21:L21))</f>
        <v>16</v>
      </c>
    </row>
    <row r="22" spans="2:13" ht="15" customHeight="1" x14ac:dyDescent="0.35">
      <c r="H22" s="94" t="s">
        <v>57</v>
      </c>
      <c r="I22" s="94"/>
      <c r="J22" s="59" t="str">
        <f>IF(COUNTIFS('HR-Input'!$A$2:$A$500,$L$2,'HR-Input'!$B$2:$B$500,"Cohort 1",'HR-Input'!$C$2:$C$500,"Associate FDE",'HR-Input'!$H$2:$H$500,"&lt;&gt;")=0,"–",SUMIFS('HR-Input'!$H$2:$H$500,'HR-Input'!$A$2:$A$500,$L$2,'HR-Input'!$B$2:$B$500,"Cohort 1",'HR-Input'!$C$2:$C$500,"Associate FDE"))</f>
        <v>–</v>
      </c>
      <c r="K22" s="59" t="str">
        <f>IF(COUNTIFS('HR-Input'!$A$2:$A$500,$L$2,'HR-Input'!$B$2:$B$500,"Cohort 1",'HR-Input'!$C$2:$C$500,"FDE",'HR-Input'!$H$2:$H$500,"&lt;&gt;")=0,"–",SUMIFS('HR-Input'!$H$2:$H$500,'HR-Input'!$A$2:$A$500,$L$2,'HR-Input'!$B$2:$B$500,"Cohort 1",'HR-Input'!$C$2:$C$500,"FDE"))</f>
        <v>–</v>
      </c>
      <c r="L22" s="59" t="str">
        <f>IF(COUNTIFS('HR-Input'!$A$2:$A$500,$L$2,'HR-Input'!$B$2:$B$500,"Cohort 1",'HR-Input'!$C$2:$C$500,"Senior FDE",'HR-Input'!$H$2:$H$500,"&lt;&gt;")=0,"–",SUMIFS('HR-Input'!$H$2:$H$500,'HR-Input'!$A$2:$A$500,$L$2,'HR-Input'!$B$2:$B$500,"Cohort 1",'HR-Input'!$C$2:$C$500,"Senior FDE"))</f>
        <v>–</v>
      </c>
      <c r="M22" s="60" t="str">
        <f t="shared" si="1"/>
        <v>–</v>
      </c>
    </row>
    <row r="23" spans="2:13" ht="25.5" customHeight="1" x14ac:dyDescent="0.35">
      <c r="H23" s="94" t="s">
        <v>58</v>
      </c>
      <c r="I23" s="94"/>
      <c r="J23" s="59" t="str">
        <f>IF(COUNTIFS('HR-Input'!$A$2:$A$500,$L$2,'HR-Input'!$B$2:$B$500,"Cohort 1",'HR-Input'!$C$2:$C$500,"Associate FDE",'HR-Input'!$J$2:$J$500,"&lt;&gt;")=0,"–",SUMIFS('HR-Input'!$J$2:$J$500,'HR-Input'!$A$2:$A$500,$L$2,'HR-Input'!$B$2:$B$500,"Cohort 1",'HR-Input'!$C$2:$C$500,"Associate FDE"))</f>
        <v>–</v>
      </c>
      <c r="K23" s="59" t="str">
        <f>IF(COUNTIFS('HR-Input'!$A$2:$A$500,$L$2,'HR-Input'!$B$2:$B$500,"Cohort 1",'HR-Input'!$C$2:$C$500,"FDE",'HR-Input'!$J$2:$J$500,"&lt;&gt;")=0,"–",SUMIFS('HR-Input'!$J$2:$J$500,'HR-Input'!$A$2:$A$500,$L$2,'HR-Input'!$B$2:$B$500,"Cohort 1",'HR-Input'!$C$2:$C$500,"FDE"))</f>
        <v>–</v>
      </c>
      <c r="L23" s="59" t="str">
        <f>IF(COUNTIFS('HR-Input'!$A$2:$A$500,$L$2,'HR-Input'!$B$2:$B$500,"Cohort 1",'HR-Input'!$C$2:$C$500,"Senior FDE",'HR-Input'!$J$2:$J$500,"&lt;&gt;")=0,"–",SUMIFS('HR-Input'!$J$2:$J$500,'HR-Input'!$A$2:$A$500,$L$2,'HR-Input'!$B$2:$B$500,"Cohort 1",'HR-Input'!$C$2:$C$500,"Senior FDE"))</f>
        <v>–</v>
      </c>
      <c r="M23" s="60" t="str">
        <f t="shared" si="1"/>
        <v>–</v>
      </c>
    </row>
    <row r="24" spans="2:13" ht="15" customHeight="1" x14ac:dyDescent="0.35">
      <c r="H24" s="94" t="s">
        <v>59</v>
      </c>
      <c r="I24" s="94"/>
      <c r="J24" s="59" t="str">
        <f>IF(COUNTIFS('HR-Input'!$A$2:$A$500,$L$2,'HR-Input'!$B$2:$B$500,"Cohort 1",'HR-Input'!$C$2:$C$500,"Associate FDE",'HR-Input'!$L$2:$L$500,"&lt;&gt;")=0,"–",SUMIFS('HR-Input'!$L$2:$L$500,'HR-Input'!$A$2:$A$500,$L$2,'HR-Input'!$B$2:$B$500,"Cohort 1",'HR-Input'!$C$2:$C$500,"Associate FDE"))</f>
        <v>–</v>
      </c>
      <c r="K24" s="59">
        <f>IF(COUNTIFS('HR-Input'!$A$2:$A$500,$L$2,'HR-Input'!$B$2:$B$500,"Cohort 1",'HR-Input'!$C$2:$C$500,"FDE",'HR-Input'!$L$2:$L$500,"&lt;&gt;")=0,"–",SUMIFS('HR-Input'!$L$2:$L$500,'HR-Input'!$A$2:$A$500,$L$2,'HR-Input'!$B$2:$B$500,"Cohort 1",'HR-Input'!$C$2:$C$500,"FDE"))</f>
        <v>15</v>
      </c>
      <c r="L24" s="59">
        <f>IF(COUNTIFS('HR-Input'!$A$2:$A$500,$L$2,'HR-Input'!$B$2:$B$500,"Cohort 1",'HR-Input'!$C$2:$C$500,"Senior FDE",'HR-Input'!$L$2:$L$500,"&lt;&gt;")=0,"–",SUMIFS('HR-Input'!$L$2:$L$500,'HR-Input'!$A$2:$A$500,$L$2,'HR-Input'!$B$2:$B$500,"Cohort 1",'HR-Input'!$C$2:$C$500,"Senior FDE"))</f>
        <v>1</v>
      </c>
      <c r="M24" s="60">
        <f t="shared" si="1"/>
        <v>16</v>
      </c>
    </row>
    <row r="25" spans="2:13" ht="15" customHeight="1" x14ac:dyDescent="0.35">
      <c r="H25" s="94" t="s">
        <v>60</v>
      </c>
      <c r="I25" s="94"/>
      <c r="J25" s="59" t="str">
        <f>IF(COUNTIFS('HR-Input'!$A$2:$A$500,$L$2,'HR-Input'!$B$2:$B$500,"Cohort 1",'HR-Input'!$C$2:$C$500,"Associate FDE",'HR-Input'!$N$2:$N$500,"&lt;&gt;")=0,"–",SUMIFS('HR-Input'!$N$2:$N$500,'HR-Input'!$A$2:$A$500,$L$2,'HR-Input'!$B$2:$B$500,"Cohort 1",'HR-Input'!$C$2:$C$500,"Associate FDE"))</f>
        <v>–</v>
      </c>
      <c r="K25" s="59" t="str">
        <f>IF(COUNTIFS('HR-Input'!$A$2:$A$500,$L$2,'HR-Input'!$B$2:$B$500,"Cohort 1",'HR-Input'!$C$2:$C$500,"FDE",'HR-Input'!$N$2:$N$500,"&lt;&gt;")=0,"–",SUMIFS('HR-Input'!$N$2:$N$500,'HR-Input'!$A$2:$A$500,$L$2,'HR-Input'!$B$2:$B$500,"Cohort 1",'HR-Input'!$C$2:$C$500,"FDE"))</f>
        <v>–</v>
      </c>
      <c r="L25" s="59" t="str">
        <f>IF(COUNTIFS('HR-Input'!$A$2:$A$500,$L$2,'HR-Input'!$B$2:$B$500,"Cohort 1",'HR-Input'!$C$2:$C$500,"Senior FDE",'HR-Input'!$N$2:$N$500,"&lt;&gt;")=0,"–",SUMIFS('HR-Input'!$N$2:$N$500,'HR-Input'!$A$2:$A$500,$L$2,'HR-Input'!$B$2:$B$500,"Cohort 1",'HR-Input'!$C$2:$C$500,"Senior FDE"))</f>
        <v>–</v>
      </c>
      <c r="M25" s="60" t="str">
        <f t="shared" si="1"/>
        <v>–</v>
      </c>
    </row>
    <row r="26" spans="2:13" ht="15" customHeight="1" x14ac:dyDescent="0.35">
      <c r="H26" s="94" t="s">
        <v>61</v>
      </c>
      <c r="I26" s="94"/>
      <c r="J26" s="59" t="str">
        <f>IF(COUNTIFS('HR-Input'!$A$2:$A$500,$L$2,'HR-Input'!$B$2:$B$500,"Cohort 1",'HR-Input'!$C$2:$C$500,"Associate FDE",'HR-Input'!$P$2:$P$500,"&lt;&gt;")=0,"–",SUMIFS('HR-Input'!$P$2:$P$500,'HR-Input'!$A$2:$A$500,$L$2,'HR-Input'!$B$2:$B$500,"Cohort 1",'HR-Input'!$C$2:$C$500,"Associate FDE"))</f>
        <v>–</v>
      </c>
      <c r="K26" s="59">
        <f>IF(COUNTIFS('HR-Input'!$A$2:$A$500,$L$2,'HR-Input'!$B$2:$B$500,"Cohort 1",'HR-Input'!$C$2:$C$500,"FDE",'HR-Input'!$P$2:$P$500,"&lt;&gt;")=0,"–",SUMIFS('HR-Input'!$P$2:$P$500,'HR-Input'!$A$2:$A$500,$L$2,'HR-Input'!$B$2:$B$500,"Cohort 1",'HR-Input'!$C$2:$C$500,"FDE"))</f>
        <v>2</v>
      </c>
      <c r="L26" s="59" t="str">
        <f>IF(COUNTIFS('HR-Input'!$A$2:$A$500,$L$2,'HR-Input'!$B$2:$B$500,"Cohort 1",'HR-Input'!$C$2:$C$500,"Senior FDE",'HR-Input'!$P$2:$P$500,"&lt;&gt;")=0,"–",SUMIFS('HR-Input'!$P$2:$P$500,'HR-Input'!$A$2:$A$500,$L$2,'HR-Input'!$B$2:$B$500,"Cohort 1",'HR-Input'!$C$2:$C$500,"Senior FDE"))</f>
        <v>–</v>
      </c>
      <c r="M26" s="60">
        <f t="shared" si="1"/>
        <v>2</v>
      </c>
    </row>
    <row r="27" spans="2:13" ht="15" customHeight="1" x14ac:dyDescent="0.35">
      <c r="H27" s="94" t="s">
        <v>62</v>
      </c>
      <c r="I27" s="94"/>
      <c r="J27" s="59" t="str">
        <f>IF(COUNTIFS('HR-Input'!$A$2:$A$500,$L$2,'HR-Input'!$B$2:$B$500,"Cohort 1",'HR-Input'!$C$2:$C$500,"Associate FDE",'HR-Input'!$U$2:$U$500,"&lt;&gt;")=0,"–",SUMIFS('HR-Input'!$U$2:$U$500,'HR-Input'!$A$2:$A$500,$L$2,'HR-Input'!$B$2:$B$500,"Cohort 1",'HR-Input'!$C$2:$C$500,"Associate FDE"))</f>
        <v>–</v>
      </c>
      <c r="K27" s="59">
        <f>IF(COUNTIFS('HR-Input'!$A$2:$A$500,$L$2,'HR-Input'!$B$2:$B$500,"Cohort 1",'HR-Input'!$C$2:$C$500,"FDE",'HR-Input'!$U$2:$U$500,"&lt;&gt;")=0,"–",SUMIFS('HR-Input'!$U$2:$U$500,'HR-Input'!$A$2:$A$500,$L$2,'HR-Input'!$B$2:$B$500,"Cohort 1",'HR-Input'!$C$2:$C$500,"FDE"))</f>
        <v>4</v>
      </c>
      <c r="L27" s="59" t="str">
        <f>IF(COUNTIFS('HR-Input'!$A$2:$A$500,$L$2,'HR-Input'!$B$2:$B$500,"Cohort 1",'HR-Input'!$C$2:$C$500,"Senior FDE",'HR-Input'!$U$2:$U$500,"&lt;&gt;")=0,"–",SUMIFS('HR-Input'!$U$2:$U$500,'HR-Input'!$A$2:$A$500,$L$2,'HR-Input'!$B$2:$B$500,"Cohort 1",'HR-Input'!$C$2:$C$500,"Senior FDE"))</f>
        <v>–</v>
      </c>
      <c r="M27" s="60">
        <f t="shared" si="1"/>
        <v>4</v>
      </c>
    </row>
    <row r="28" spans="2:13" ht="15" customHeight="1" x14ac:dyDescent="0.35">
      <c r="H28" s="94" t="s">
        <v>49</v>
      </c>
      <c r="I28" s="94"/>
      <c r="J28" s="59" t="str">
        <f>IF(COUNTIFS('HR-Input'!$A$2:$A$500,$L$2,'HR-Input'!$B$2:$B$500,"Cohort 1",'HR-Input'!$C$2:$C$500,"Associate FDE",'HR-Input'!$V$2:$V$500,"&lt;&gt;")=0,"–",SUMIFS('HR-Input'!$V$2:$V$500,'HR-Input'!$A$2:$A$500,$L$2,'HR-Input'!$B$2:$B$500,"Cohort 1",'HR-Input'!$C$2:$C$500,"Associate FDE"))</f>
        <v>–</v>
      </c>
      <c r="K28" s="59">
        <f>IF(COUNTIFS('HR-Input'!$A$2:$A$500,$L$2,'HR-Input'!$B$2:$B$500,"Cohort 1",'HR-Input'!$C$2:$C$500,"FDE",'HR-Input'!$V$2:$V$500,"&lt;&gt;")=0,"–",SUMIFS('HR-Input'!$V$2:$V$500,'HR-Input'!$A$2:$A$500,$L$2,'HR-Input'!$B$2:$B$500,"Cohort 1",'HR-Input'!$C$2:$C$500,"FDE"))</f>
        <v>11</v>
      </c>
      <c r="L28" s="59">
        <f>IF(COUNTIFS('HR-Input'!$A$2:$A$500,$L$2,'HR-Input'!$B$2:$B$500,"Cohort 1",'HR-Input'!$C$2:$C$500,"Senior FDE",'HR-Input'!$V$2:$V$500,"&lt;&gt;")=0,"–",SUMIFS('HR-Input'!$V$2:$V$500,'HR-Input'!$A$2:$A$500,$L$2,'HR-Input'!$B$2:$B$500,"Cohort 1",'HR-Input'!$C$2:$C$500,"Senior FDE"))</f>
        <v>9</v>
      </c>
      <c r="M28" s="60">
        <f t="shared" si="1"/>
        <v>20</v>
      </c>
    </row>
    <row r="29" spans="2:13" ht="15" customHeight="1" x14ac:dyDescent="0.35">
      <c r="H29" s="94" t="s">
        <v>24</v>
      </c>
      <c r="I29" s="94"/>
      <c r="J29" s="59" t="str">
        <f>IF(COUNTIFS('HR-Input'!$A$2:$A$500,$L$2,'HR-Input'!$B$2:$B$500,"Cohort 1",'HR-Input'!$C$2:$C$500,"Associate FDE",'HR-Input'!$W$2:$W$500,"&lt;&gt;")=0,"–",SUMIFS('HR-Input'!$W$2:$W$500,'HR-Input'!$A$2:$A$500,$L$2,'HR-Input'!$B$2:$B$500,"Cohort 1",'HR-Input'!$C$2:$C$500,"Associate FDE"))</f>
        <v>–</v>
      </c>
      <c r="K29" s="59">
        <f>IF(COUNTIFS('HR-Input'!$A$2:$A$500,$L$2,'HR-Input'!$B$2:$B$500,"Cohort 1",'HR-Input'!$C$2:$C$500,"FDE",'HR-Input'!$W$2:$W$500,"&lt;&gt;")=0,"–",SUMIFS('HR-Input'!$W$2:$W$500,'HR-Input'!$A$2:$A$500,$L$2,'HR-Input'!$B$2:$B$500,"Cohort 1",'HR-Input'!$C$2:$C$500,"FDE"))</f>
        <v>10</v>
      </c>
      <c r="L29" s="59" t="str">
        <f>IF(COUNTIFS('HR-Input'!$A$2:$A$500,$L$2,'HR-Input'!$B$2:$B$500,"Cohort 1",'HR-Input'!$C$2:$C$500,"Senior FDE",'HR-Input'!$W$2:$W$500,"&lt;&gt;")=0,"–",SUMIFS('HR-Input'!$W$2:$W$500,'HR-Input'!$A$2:$A$500,$L$2,'HR-Input'!$B$2:$B$500,"Cohort 1",'HR-Input'!$C$2:$C$500,"Senior FDE"))</f>
        <v>–</v>
      </c>
      <c r="M29" s="60">
        <f t="shared" si="1"/>
        <v>10</v>
      </c>
    </row>
    <row r="32" spans="2:13" ht="21.75" customHeight="1" x14ac:dyDescent="0.35">
      <c r="B32" s="93" t="s">
        <v>63</v>
      </c>
      <c r="C32" s="93"/>
      <c r="D32" s="93"/>
      <c r="E32" s="93"/>
      <c r="F32" s="93"/>
      <c r="G32" s="93"/>
      <c r="H32" s="93"/>
      <c r="I32" s="93"/>
      <c r="J32" s="93"/>
      <c r="K32" s="93"/>
      <c r="L32" s="93"/>
      <c r="M32" s="93"/>
    </row>
    <row r="33" spans="2:13" ht="27.75" customHeight="1" x14ac:dyDescent="0.35">
      <c r="B33" s="97" t="s">
        <v>47</v>
      </c>
      <c r="C33" s="97"/>
      <c r="D33" s="97" t="s">
        <v>21</v>
      </c>
      <c r="E33" s="97"/>
      <c r="F33" s="98" t="s">
        <v>22</v>
      </c>
      <c r="G33" s="98"/>
      <c r="H33" s="98" t="s">
        <v>48</v>
      </c>
      <c r="I33" s="98"/>
      <c r="J33" s="99" t="s">
        <v>49</v>
      </c>
      <c r="K33" s="99"/>
      <c r="L33" s="100" t="s">
        <v>24</v>
      </c>
      <c r="M33" s="100"/>
    </row>
    <row r="34" spans="2:13" ht="43.5" customHeight="1" x14ac:dyDescent="0.35">
      <c r="B34" s="96">
        <f>IF(COUNT(M38,M50,M51,M52,M53,M54,M45)=0,"–",SUM(M38,M50,M51,M52,M53,M54,M45))</f>
        <v>68</v>
      </c>
      <c r="C34" s="96"/>
      <c r="D34" s="96">
        <f>M54</f>
        <v>4</v>
      </c>
      <c r="E34" s="96"/>
      <c r="F34" s="96">
        <f>M46</f>
        <v>14</v>
      </c>
      <c r="G34" s="96"/>
      <c r="H34" s="96" t="str">
        <f>M47</f>
        <v>–</v>
      </c>
      <c r="I34" s="96"/>
      <c r="J34" s="96" t="str">
        <f>M56</f>
        <v>–</v>
      </c>
      <c r="K34" s="96"/>
      <c r="L34" s="96">
        <f>M57</f>
        <v>50</v>
      </c>
      <c r="M34" s="96"/>
    </row>
    <row r="36" spans="2:13" ht="25.5" customHeight="1" x14ac:dyDescent="0.35">
      <c r="H36" s="82" t="s">
        <v>10</v>
      </c>
      <c r="I36" s="82"/>
      <c r="J36" s="1" t="s">
        <v>11</v>
      </c>
      <c r="K36" s="1" t="s">
        <v>12</v>
      </c>
      <c r="L36" s="1" t="s">
        <v>13</v>
      </c>
      <c r="M36" s="1" t="s">
        <v>14</v>
      </c>
    </row>
    <row r="37" spans="2:13" x14ac:dyDescent="0.35">
      <c r="H37" s="95" t="s">
        <v>50</v>
      </c>
      <c r="I37" s="95"/>
      <c r="J37" s="95"/>
      <c r="K37" s="95"/>
      <c r="L37" s="95"/>
      <c r="M37" s="95"/>
    </row>
    <row r="38" spans="2:13" ht="15" customHeight="1" x14ac:dyDescent="0.35">
      <c r="H38" s="94" t="s">
        <v>51</v>
      </c>
      <c r="I38" s="94"/>
      <c r="J38" s="59" t="str">
        <f>IF(COUNTIFS('HR-Input'!$A$2:$A$500,$L$2,'HR-Input'!$B$2:$B$500,"Cohort 2",'HR-Input'!$C$2:$C$500,"Associate FDE",'HR-Input'!$F$2:$F$500,"&lt;&gt;")=0,"–",SUMIFS('HR-Input'!$F$2:$F$500,'HR-Input'!$A$2:$A$500,$L$2,'HR-Input'!$B$2:$B$500,"Cohort 2",'HR-Input'!$C$2:$C$500,"Associate FDE"))</f>
        <v>–</v>
      </c>
      <c r="K38" s="59" t="str">
        <f>IF(COUNTIFS('HR-Input'!$A$2:$A$500,$L$2,'HR-Input'!$B$2:$B$500,"Cohort 2",'HR-Input'!$C$2:$C$500,"FDE",'HR-Input'!$F$2:$F$500,"&lt;&gt;")=0,"–",SUMIFS('HR-Input'!$F$2:$F$500,'HR-Input'!$A$2:$A$500,$L$2,'HR-Input'!$B$2:$B$500,"Cohort 2",'HR-Input'!$C$2:$C$500,"FDE"))</f>
        <v>–</v>
      </c>
      <c r="L38" s="59" t="str">
        <f>IF(COUNTIFS('HR-Input'!$A$2:$A$500,$L$2,'HR-Input'!$B$2:$B$500,"Cohort 2",'HR-Input'!$C$2:$C$500,"Senior FDE",'HR-Input'!$F$2:$F$500,"&lt;&gt;")=0,"–",SUMIFS('HR-Input'!$F$2:$F$500,'HR-Input'!$A$2:$A$500,$L$2,'HR-Input'!$B$2:$B$500,"Cohort 2",'HR-Input'!$C$2:$C$500,"Senior FDE"))</f>
        <v>–</v>
      </c>
      <c r="M38" s="60" t="str">
        <f t="shared" ref="M38:M47" si="2">IF(COUNT(J38:L38)=0,"–",SUM(J38:L38))</f>
        <v>–</v>
      </c>
    </row>
    <row r="39" spans="2:13" ht="15" customHeight="1" x14ac:dyDescent="0.35">
      <c r="H39" s="94" t="s">
        <v>52</v>
      </c>
      <c r="I39" s="94"/>
      <c r="J39" s="59" t="str">
        <f>IF(COUNTIFS('HR-Input'!$A$2:$A$500,$L$2,'HR-Input'!$B$2:$B$500,"Cohort 2",'HR-Input'!$C$2:$C$500,"Associate FDE",'HR-Input'!$G$2:$G$500,"&lt;&gt;")=0,"–",SUMIFS('HR-Input'!$G$2:$G$500,'HR-Input'!$A$2:$A$500,$L$2,'HR-Input'!$B$2:$B$500,"Cohort 2",'HR-Input'!$C$2:$C$500,"Associate FDE"))</f>
        <v>–</v>
      </c>
      <c r="K39" s="59" t="str">
        <f>IF(COUNTIFS('HR-Input'!$A$2:$A$500,$L$2,'HR-Input'!$B$2:$B$500,"Cohort 2",'HR-Input'!$C$2:$C$500,"FDE",'HR-Input'!$G$2:$G$500,"&lt;&gt;")=0,"–",SUMIFS('HR-Input'!$G$2:$G$500,'HR-Input'!$A$2:$A$500,$L$2,'HR-Input'!$B$2:$B$500,"Cohort 2",'HR-Input'!$C$2:$C$500,"FDE"))</f>
        <v>–</v>
      </c>
      <c r="L39" s="59" t="str">
        <f>IF(COUNTIFS('HR-Input'!$A$2:$A$500,$L$2,'HR-Input'!$B$2:$B$500,"Cohort 2",'HR-Input'!$C$2:$C$500,"Senior FDE",'HR-Input'!$G$2:$G$500,"&lt;&gt;")=0,"–",SUMIFS('HR-Input'!$G$2:$G$500,'HR-Input'!$A$2:$A$500,$L$2,'HR-Input'!$B$2:$B$500,"Cohort 2",'HR-Input'!$C$2:$C$500,"Senior FDE"))</f>
        <v>–</v>
      </c>
      <c r="M39" s="60" t="str">
        <f t="shared" si="2"/>
        <v>–</v>
      </c>
    </row>
    <row r="40" spans="2:13" ht="15" customHeight="1" x14ac:dyDescent="0.35">
      <c r="H40" s="94" t="s">
        <v>17</v>
      </c>
      <c r="I40" s="94"/>
      <c r="J40" s="59" t="str">
        <f>IF(COUNTIFS('HR-Input'!$A$2:$A$500,$L$2,'HR-Input'!$B$2:$B$500,"Cohort 2",'HR-Input'!$C$2:$C$500,"Associate FDE",'HR-Input'!$I$2:$I$500,"&lt;&gt;")=0,"–",SUMIFS('HR-Input'!$I$2:$I$500,'HR-Input'!$A$2:$A$500,$L$2,'HR-Input'!$B$2:$B$500,"Cohort 2",'HR-Input'!$C$2:$C$500,"Associate FDE"))</f>
        <v>–</v>
      </c>
      <c r="K40" s="59" t="str">
        <f>IF(COUNTIFS('HR-Input'!$A$2:$A$500,$L$2,'HR-Input'!$B$2:$B$500,"Cohort 2",'HR-Input'!$C$2:$C$500,"FDE",'HR-Input'!$I$2:$I$500,"&lt;&gt;")=0,"–",SUMIFS('HR-Input'!$I$2:$I$500,'HR-Input'!$A$2:$A$500,$L$2,'HR-Input'!$B$2:$B$500,"Cohort 2",'HR-Input'!$C$2:$C$500,"FDE"))</f>
        <v>–</v>
      </c>
      <c r="L40" s="59" t="str">
        <f>IF(COUNTIFS('HR-Input'!$A$2:$A$500,$L$2,'HR-Input'!$B$2:$B$500,"Cohort 2",'HR-Input'!$C$2:$C$500,"Senior FDE",'HR-Input'!$I$2:$I$500,"&lt;&gt;")=0,"–",SUMIFS('HR-Input'!$I$2:$I$500,'HR-Input'!$A$2:$A$500,$L$2,'HR-Input'!$B$2:$B$500,"Cohort 2",'HR-Input'!$C$2:$C$500,"Senior FDE"))</f>
        <v>–</v>
      </c>
      <c r="M40" s="60" t="str">
        <f t="shared" si="2"/>
        <v>–</v>
      </c>
    </row>
    <row r="41" spans="2:13" ht="25.5" customHeight="1" x14ac:dyDescent="0.35">
      <c r="H41" s="94" t="s">
        <v>18</v>
      </c>
      <c r="I41" s="94"/>
      <c r="J41" s="59" t="str">
        <f>IF(COUNTIFS('HR-Input'!$A$2:$A$500,$L$2,'HR-Input'!$B$2:$B$500,"Cohort 2",'HR-Input'!$C$2:$C$500,"Associate FDE",'HR-Input'!$K$2:$K$500,"&lt;&gt;")=0,"–",SUMIFS('HR-Input'!$K$2:$K$500,'HR-Input'!$A$2:$A$500,$L$2,'HR-Input'!$B$2:$B$500,"Cohort 2",'HR-Input'!$C$2:$C$500,"Associate FDE"))</f>
        <v>–</v>
      </c>
      <c r="K41" s="59" t="str">
        <f>IF(COUNTIFS('HR-Input'!$A$2:$A$500,$L$2,'HR-Input'!$B$2:$B$500,"Cohort 2",'HR-Input'!$C$2:$C$500,"FDE",'HR-Input'!$K$2:$K$500,"&lt;&gt;")=0,"–",SUMIFS('HR-Input'!$K$2:$K$500,'HR-Input'!$A$2:$A$500,$L$2,'HR-Input'!$B$2:$B$500,"Cohort 2",'HR-Input'!$C$2:$C$500,"FDE"))</f>
        <v>–</v>
      </c>
      <c r="L41" s="59" t="str">
        <f>IF(COUNTIFS('HR-Input'!$A$2:$A$500,$L$2,'HR-Input'!$B$2:$B$500,"Cohort 2",'HR-Input'!$C$2:$C$500,"Senior FDE",'HR-Input'!$K$2:$K$500,"&lt;&gt;")=0,"–",SUMIFS('HR-Input'!$K$2:$K$500,'HR-Input'!$A$2:$A$500,$L$2,'HR-Input'!$B$2:$B$500,"Cohort 2",'HR-Input'!$C$2:$C$500,"Senior FDE"))</f>
        <v>–</v>
      </c>
      <c r="M41" s="60" t="str">
        <f t="shared" si="2"/>
        <v>–</v>
      </c>
    </row>
    <row r="42" spans="2:13" ht="15" customHeight="1" x14ac:dyDescent="0.35">
      <c r="H42" s="94" t="s">
        <v>19</v>
      </c>
      <c r="I42" s="94"/>
      <c r="J42" s="59" t="str">
        <f>IF(COUNTIFS('HR-Input'!$A$2:$A$500,$L$2,'HR-Input'!$B$2:$B$500,"Cohort 2",'HR-Input'!$C$2:$C$500,"Associate FDE",'HR-Input'!$M$2:$M$500,"&lt;&gt;")=0,"–",SUMIFS('HR-Input'!$M$2:$M$500,'HR-Input'!$A$2:$A$500,$L$2,'HR-Input'!$B$2:$B$500,"Cohort 2",'HR-Input'!$C$2:$C$500,"Associate FDE"))</f>
        <v>–</v>
      </c>
      <c r="K42" s="59" t="str">
        <f>IF(COUNTIFS('HR-Input'!$A$2:$A$500,$L$2,'HR-Input'!$B$2:$B$500,"Cohort 2",'HR-Input'!$C$2:$C$500,"FDE",'HR-Input'!$M$2:$M$500,"&lt;&gt;")=0,"–",SUMIFS('HR-Input'!$M$2:$M$500,'HR-Input'!$A$2:$A$500,$L$2,'HR-Input'!$B$2:$B$500,"Cohort 2",'HR-Input'!$C$2:$C$500,"FDE"))</f>
        <v>–</v>
      </c>
      <c r="L42" s="59" t="str">
        <f>IF(COUNTIFS('HR-Input'!$A$2:$A$500,$L$2,'HR-Input'!$B$2:$B$500,"Cohort 2",'HR-Input'!$C$2:$C$500,"Senior FDE",'HR-Input'!$M$2:$M$500,"&lt;&gt;")=0,"–",SUMIFS('HR-Input'!$M$2:$M$500,'HR-Input'!$A$2:$A$500,$L$2,'HR-Input'!$B$2:$B$500,"Cohort 2",'HR-Input'!$C$2:$C$500,"Senior FDE"))</f>
        <v>–</v>
      </c>
      <c r="M42" s="60" t="str">
        <f t="shared" si="2"/>
        <v>–</v>
      </c>
    </row>
    <row r="43" spans="2:13" ht="15" customHeight="1" x14ac:dyDescent="0.35">
      <c r="H43" s="94" t="s">
        <v>20</v>
      </c>
      <c r="I43" s="94"/>
      <c r="J43" s="59" t="str">
        <f>IF(COUNTIFS('HR-Input'!$A$2:$A$500,$L$2,'HR-Input'!$B$2:$B$500,"Cohort 2",'HR-Input'!$C$2:$C$500,"Associate FDE",'HR-Input'!$O$2:$O$500,"&lt;&gt;")=0,"–",SUMIFS('HR-Input'!$O$2:$O$500,'HR-Input'!$A$2:$A$500,$L$2,'HR-Input'!$B$2:$B$500,"Cohort 2",'HR-Input'!$C$2:$C$500,"Associate FDE"))</f>
        <v>–</v>
      </c>
      <c r="K43" s="59" t="str">
        <f>IF(COUNTIFS('HR-Input'!$A$2:$A$500,$L$2,'HR-Input'!$B$2:$B$500,"Cohort 2",'HR-Input'!$C$2:$C$500,"FDE",'HR-Input'!$O$2:$O$500,"&lt;&gt;")=0,"–",SUMIFS('HR-Input'!$O$2:$O$500,'HR-Input'!$A$2:$A$500,$L$2,'HR-Input'!$B$2:$B$500,"Cohort 2",'HR-Input'!$C$2:$C$500,"FDE"))</f>
        <v>–</v>
      </c>
      <c r="L43" s="59" t="str">
        <f>IF(COUNTIFS('HR-Input'!$A$2:$A$500,$L$2,'HR-Input'!$B$2:$B$500,"Cohort 2",'HR-Input'!$C$2:$C$500,"Senior FDE",'HR-Input'!$O$2:$O$500,"&lt;&gt;")=0,"–",SUMIFS('HR-Input'!$O$2:$O$500,'HR-Input'!$A$2:$A$500,$L$2,'HR-Input'!$B$2:$B$500,"Cohort 2",'HR-Input'!$C$2:$C$500,"Senior FDE"))</f>
        <v>–</v>
      </c>
      <c r="M43" s="60" t="str">
        <f t="shared" si="2"/>
        <v>–</v>
      </c>
    </row>
    <row r="44" spans="2:13" ht="15" customHeight="1" x14ac:dyDescent="0.35">
      <c r="H44" s="94" t="s">
        <v>53</v>
      </c>
      <c r="I44" s="94"/>
      <c r="J44" s="59" t="str">
        <f>IF(COUNTIFS('HR-Input'!$A$2:$A$500,$L$2,'HR-Input'!$B$2:$B$500,"Cohort 2",'HR-Input'!$C$2:$C$500,"Associate FDE",'HR-Input'!$Q$2:$Q$500,"&lt;&gt;")=0,"–",SUMIFS('HR-Input'!$Q$2:$Q$500,'HR-Input'!$A$2:$A$500,$L$2,'HR-Input'!$B$2:$B$500,"Cohort 2",'HR-Input'!$C$2:$C$500,"Associate FDE"))</f>
        <v>–</v>
      </c>
      <c r="K44" s="59" t="str">
        <f>IF(COUNTIFS('HR-Input'!$A$2:$A$500,$L$2,'HR-Input'!$B$2:$B$500,"Cohort 2",'HR-Input'!$C$2:$C$500,"FDE",'HR-Input'!$Q$2:$Q$500,"&lt;&gt;")=0,"–",SUMIFS('HR-Input'!$Q$2:$Q$500,'HR-Input'!$A$2:$A$500,$L$2,'HR-Input'!$B$2:$B$500,"Cohort 2",'HR-Input'!$C$2:$C$500,"FDE"))</f>
        <v>–</v>
      </c>
      <c r="L44" s="59" t="str">
        <f>IF(COUNTIFS('HR-Input'!$A$2:$A$500,$L$2,'HR-Input'!$B$2:$B$500,"Cohort 2",'HR-Input'!$C$2:$C$500,"Senior FDE",'HR-Input'!$Q$2:$Q$500,"&lt;&gt;")=0,"–",SUMIFS('HR-Input'!$Q$2:$Q$500,'HR-Input'!$A$2:$A$500,$L$2,'HR-Input'!$B$2:$B$500,"Cohort 2",'HR-Input'!$C$2:$C$500,"Senior FDE"))</f>
        <v>–</v>
      </c>
      <c r="M44" s="60" t="str">
        <f t="shared" si="2"/>
        <v>–</v>
      </c>
    </row>
    <row r="45" spans="2:13" ht="15" customHeight="1" x14ac:dyDescent="0.35">
      <c r="H45" s="94" t="s">
        <v>54</v>
      </c>
      <c r="I45" s="94"/>
      <c r="J45" s="59" t="str">
        <f>IF(COUNTIFS('HR-Input'!$A$2:$A$500,$L$2,'HR-Input'!$B$2:$B$500,"Cohort 2",'HR-Input'!$C$2:$C$500,"Associate FDE",'HR-Input'!$R$2:$R$500,"&lt;&gt;")=0,"–",SUMIFS('HR-Input'!$R$2:$R$500,'HR-Input'!$A$2:$A$500,$L$2,'HR-Input'!$B$2:$B$500,"Cohort 2",'HR-Input'!$C$2:$C$500,"Associate FDE"))</f>
        <v>–</v>
      </c>
      <c r="K45" s="59" t="str">
        <f>IF(COUNTIFS('HR-Input'!$A$2:$A$500,$L$2,'HR-Input'!$B$2:$B$500,"Cohort 2",'HR-Input'!$C$2:$C$500,"FDE",'HR-Input'!$R$2:$R$500,"&lt;&gt;")=0,"–",SUMIFS('HR-Input'!$R$2:$R$500,'HR-Input'!$A$2:$A$500,$L$2,'HR-Input'!$B$2:$B$500,"Cohort 2",'HR-Input'!$C$2:$C$500,"FDE"))</f>
        <v>–</v>
      </c>
      <c r="L45" s="59" t="str">
        <f>IF(COUNTIFS('HR-Input'!$A$2:$A$500,$L$2,'HR-Input'!$B$2:$B$500,"Cohort 2",'HR-Input'!$C$2:$C$500,"Senior FDE",'HR-Input'!$R$2:$R$500,"&lt;&gt;")=0,"–",SUMIFS('HR-Input'!$R$2:$R$500,'HR-Input'!$A$2:$A$500,$L$2,'HR-Input'!$B$2:$B$500,"Cohort 2",'HR-Input'!$C$2:$C$500,"Senior FDE"))</f>
        <v>–</v>
      </c>
      <c r="M45" s="60" t="str">
        <f t="shared" si="2"/>
        <v>–</v>
      </c>
    </row>
    <row r="46" spans="2:13" ht="15" customHeight="1" x14ac:dyDescent="0.35">
      <c r="H46" s="94" t="s">
        <v>22</v>
      </c>
      <c r="I46" s="94"/>
      <c r="J46" s="59">
        <f>IF(COUNTIFS('HR-Input'!$A$2:$A$500,$L$2,'HR-Input'!$B$2:$B$500,"Cohort 2",'HR-Input'!$C$2:$C$500,"Associate FDE",'HR-Input'!$S$2:$S$500,"&lt;&gt;")=0,"–",SUMIFS('HR-Input'!$S$2:$S$500,'HR-Input'!$A$2:$A$500,$L$2,'HR-Input'!$B$2:$B$500,"Cohort 2",'HR-Input'!$C$2:$C$500,"Associate FDE"))</f>
        <v>14</v>
      </c>
      <c r="K46" s="59" t="str">
        <f>IF(COUNTIFS('HR-Input'!$A$2:$A$500,$L$2,'HR-Input'!$B$2:$B$500,"Cohort 2",'HR-Input'!$C$2:$C$500,"FDE",'HR-Input'!$S$2:$S$500,"&lt;&gt;")=0,"–",SUMIFS('HR-Input'!$S$2:$S$500,'HR-Input'!$A$2:$A$500,$L$2,'HR-Input'!$B$2:$B$500,"Cohort 2",'HR-Input'!$C$2:$C$500,"FDE"))</f>
        <v>–</v>
      </c>
      <c r="L46" s="59" t="str">
        <f>IF(COUNTIFS('HR-Input'!$A$2:$A$500,$L$2,'HR-Input'!$B$2:$B$500,"Cohort 2",'HR-Input'!$C$2:$C$500,"Senior FDE",'HR-Input'!$S$2:$S$500,"&lt;&gt;")=0,"–",SUMIFS('HR-Input'!$S$2:$S$500,'HR-Input'!$A$2:$A$500,$L$2,'HR-Input'!$B$2:$B$500,"Cohort 2",'HR-Input'!$C$2:$C$500,"Senior FDE"))</f>
        <v>–</v>
      </c>
      <c r="M46" s="60">
        <f t="shared" si="2"/>
        <v>14</v>
      </c>
    </row>
    <row r="47" spans="2:13" ht="15" customHeight="1" x14ac:dyDescent="0.35">
      <c r="H47" s="94" t="s">
        <v>48</v>
      </c>
      <c r="I47" s="94"/>
      <c r="J47" s="59" t="str">
        <f>IF(COUNTIFS('HR-Input'!$A$2:$A$500,$L$2,'HR-Input'!$B$2:$B$500,"Cohort 2",'HR-Input'!$C$2:$C$500,"Associate FDE",'HR-Input'!$T$2:$T$500,"&lt;&gt;")=0,"–",SUMIFS('HR-Input'!$T$2:$T$500,'HR-Input'!$A$2:$A$500,$L$2,'HR-Input'!$B$2:$B$500,"Cohort 2",'HR-Input'!$C$2:$C$500,"Associate FDE"))</f>
        <v>–</v>
      </c>
      <c r="K47" s="59" t="str">
        <f>IF(COUNTIFS('HR-Input'!$A$2:$A$500,$L$2,'HR-Input'!$B$2:$B$500,"Cohort 2",'HR-Input'!$C$2:$C$500,"FDE",'HR-Input'!$T$2:$T$500,"&lt;&gt;")=0,"–",SUMIFS('HR-Input'!$T$2:$T$500,'HR-Input'!$A$2:$A$500,$L$2,'HR-Input'!$B$2:$B$500,"Cohort 2",'HR-Input'!$C$2:$C$500,"FDE"))</f>
        <v>–</v>
      </c>
      <c r="L47" s="59" t="str">
        <f>IF(COUNTIFS('HR-Input'!$A$2:$A$500,$L$2,'HR-Input'!$B$2:$B$500,"Cohort 2",'HR-Input'!$C$2:$C$500,"Senior FDE",'HR-Input'!$T$2:$T$500,"&lt;&gt;")=0,"–",SUMIFS('HR-Input'!$T$2:$T$500,'HR-Input'!$A$2:$A$500,$L$2,'HR-Input'!$B$2:$B$500,"Cohort 2",'HR-Input'!$C$2:$C$500,"Senior FDE"))</f>
        <v>–</v>
      </c>
      <c r="M47" s="60" t="str">
        <f t="shared" si="2"/>
        <v>–</v>
      </c>
    </row>
    <row r="48" spans="2:13" x14ac:dyDescent="0.35">
      <c r="H48" s="95" t="s">
        <v>55</v>
      </c>
      <c r="I48" s="95"/>
      <c r="J48" s="95"/>
      <c r="K48" s="95"/>
      <c r="L48" s="95"/>
      <c r="M48" s="95"/>
    </row>
    <row r="49" spans="2:13" ht="15" customHeight="1" x14ac:dyDescent="0.35">
      <c r="H49" s="94" t="s">
        <v>56</v>
      </c>
      <c r="I49" s="94"/>
      <c r="J49" s="59" t="str">
        <f>IF(COUNTIFS('HR-Input'!$A$2:$A$500,$L$2,'HR-Input'!$B$2:$B$500,"Cohort 2",'HR-Input'!$C$2:$C$500,"Associate FDE",'HR-Input'!$E$2:$E$500,"&lt;&gt;")=0,"–",SUMIFS('HR-Input'!$E$2:$E$500,'HR-Input'!$A$2:$A$500,$L$2,'HR-Input'!$B$2:$B$500,"Cohort 2",'HR-Input'!$C$2:$C$500,"Associate FDE"))</f>
        <v>–</v>
      </c>
      <c r="K49" s="59" t="str">
        <f>IF(COUNTIFS('HR-Input'!$A$2:$A$500,$L$2,'HR-Input'!$B$2:$B$500,"Cohort 2",'HR-Input'!$C$2:$C$500,"FDE",'HR-Input'!$E$2:$E$500,"&lt;&gt;")=0,"–",SUMIFS('HR-Input'!$E$2:$E$500,'HR-Input'!$A$2:$A$500,$L$2,'HR-Input'!$B$2:$B$500,"Cohort 2",'HR-Input'!$C$2:$C$500,"FDE"))</f>
        <v>–</v>
      </c>
      <c r="L49" s="59" t="str">
        <f>IF(COUNTIFS('HR-Input'!$A$2:$A$500,$L$2,'HR-Input'!$B$2:$B$500,"Cohort 2",'HR-Input'!$C$2:$C$500,"Senior FDE",'HR-Input'!$E$2:$E$500,"&lt;&gt;")=0,"–",SUMIFS('HR-Input'!$E$2:$E$500,'HR-Input'!$A$2:$A$500,$L$2,'HR-Input'!$B$2:$B$500,"Cohort 2",'HR-Input'!$C$2:$C$500,"Senior FDE"))</f>
        <v>–</v>
      </c>
      <c r="M49" s="60" t="str">
        <f t="shared" ref="M49:M57" si="3">IF(COUNT(J49:L49)=0,"–",SUM(J49:L49))</f>
        <v>–</v>
      </c>
    </row>
    <row r="50" spans="2:13" ht="15" customHeight="1" x14ac:dyDescent="0.35">
      <c r="H50" s="94" t="s">
        <v>57</v>
      </c>
      <c r="I50" s="94"/>
      <c r="J50" s="59" t="str">
        <f>IF(COUNTIFS('HR-Input'!$A$2:$A$500,$L$2,'HR-Input'!$B$2:$B$500,"Cohort 2",'HR-Input'!$C$2:$C$500,"Associate FDE",'HR-Input'!$H$2:$H$500,"&lt;&gt;")=0,"–",SUMIFS('HR-Input'!$H$2:$H$500,'HR-Input'!$A$2:$A$500,$L$2,'HR-Input'!$B$2:$B$500,"Cohort 2",'HR-Input'!$C$2:$C$500,"Associate FDE"))</f>
        <v>–</v>
      </c>
      <c r="K50" s="59" t="str">
        <f>IF(COUNTIFS('HR-Input'!$A$2:$A$500,$L$2,'HR-Input'!$B$2:$B$500,"Cohort 2",'HR-Input'!$C$2:$C$500,"FDE",'HR-Input'!$H$2:$H$500,"&lt;&gt;")=0,"–",SUMIFS('HR-Input'!$H$2:$H$500,'HR-Input'!$A$2:$A$500,$L$2,'HR-Input'!$B$2:$B$500,"Cohort 2",'HR-Input'!$C$2:$C$500,"FDE"))</f>
        <v>–</v>
      </c>
      <c r="L50" s="59" t="str">
        <f>IF(COUNTIFS('HR-Input'!$A$2:$A$500,$L$2,'HR-Input'!$B$2:$B$500,"Cohort 2",'HR-Input'!$C$2:$C$500,"Senior FDE",'HR-Input'!$H$2:$H$500,"&lt;&gt;")=0,"–",SUMIFS('HR-Input'!$H$2:$H$500,'HR-Input'!$A$2:$A$500,$L$2,'HR-Input'!$B$2:$B$500,"Cohort 2",'HR-Input'!$C$2:$C$500,"Senior FDE"))</f>
        <v>–</v>
      </c>
      <c r="M50" s="60" t="str">
        <f t="shared" si="3"/>
        <v>–</v>
      </c>
    </row>
    <row r="51" spans="2:13" ht="25.5" customHeight="1" x14ac:dyDescent="0.35">
      <c r="H51" s="94" t="s">
        <v>58</v>
      </c>
      <c r="I51" s="94"/>
      <c r="J51" s="59" t="str">
        <f>IF(COUNTIFS('HR-Input'!$A$2:$A$500,$L$2,'HR-Input'!$B$2:$B$500,"Cohort 2",'HR-Input'!$C$2:$C$500,"Associate FDE",'HR-Input'!$J$2:$J$500,"&lt;&gt;")=0,"–",SUMIFS('HR-Input'!$J$2:$J$500,'HR-Input'!$A$2:$A$500,$L$2,'HR-Input'!$B$2:$B$500,"Cohort 2",'HR-Input'!$C$2:$C$500,"Associate FDE"))</f>
        <v>–</v>
      </c>
      <c r="K51" s="59" t="str">
        <f>IF(COUNTIFS('HR-Input'!$A$2:$A$500,$L$2,'HR-Input'!$B$2:$B$500,"Cohort 2",'HR-Input'!$C$2:$C$500,"FDE",'HR-Input'!$J$2:$J$500,"&lt;&gt;")=0,"–",SUMIFS('HR-Input'!$J$2:$J$500,'HR-Input'!$A$2:$A$500,$L$2,'HR-Input'!$B$2:$B$500,"Cohort 2",'HR-Input'!$C$2:$C$500,"FDE"))</f>
        <v>–</v>
      </c>
      <c r="L51" s="59" t="str">
        <f>IF(COUNTIFS('HR-Input'!$A$2:$A$500,$L$2,'HR-Input'!$B$2:$B$500,"Cohort 2",'HR-Input'!$C$2:$C$500,"Senior FDE",'HR-Input'!$J$2:$J$500,"&lt;&gt;")=0,"–",SUMIFS('HR-Input'!$J$2:$J$500,'HR-Input'!$A$2:$A$500,$L$2,'HR-Input'!$B$2:$B$500,"Cohort 2",'HR-Input'!$C$2:$C$500,"Senior FDE"))</f>
        <v>–</v>
      </c>
      <c r="M51" s="60" t="str">
        <f t="shared" si="3"/>
        <v>–</v>
      </c>
    </row>
    <row r="52" spans="2:13" ht="15" customHeight="1" x14ac:dyDescent="0.35">
      <c r="H52" s="94" t="s">
        <v>59</v>
      </c>
      <c r="I52" s="94"/>
      <c r="J52" s="59">
        <f>IF(COUNTIFS('HR-Input'!$A$2:$A$500,$L$2,'HR-Input'!$B$2:$B$500,"Cohort 2",'HR-Input'!$C$2:$C$500,"Associate FDE",'HR-Input'!$L$2:$L$500,"&lt;&gt;")=0,"–",SUMIFS('HR-Input'!$L$2:$L$500,'HR-Input'!$A$2:$A$500,$L$2,'HR-Input'!$B$2:$B$500,"Cohort 2",'HR-Input'!$C$2:$C$500,"Associate FDE"))</f>
        <v>59</v>
      </c>
      <c r="K52" s="59" t="str">
        <f>IF(COUNTIFS('HR-Input'!$A$2:$A$500,$L$2,'HR-Input'!$B$2:$B$500,"Cohort 2",'HR-Input'!$C$2:$C$500,"FDE",'HR-Input'!$L$2:$L$500,"&lt;&gt;")=0,"–",SUMIFS('HR-Input'!$L$2:$L$500,'HR-Input'!$A$2:$A$500,$L$2,'HR-Input'!$B$2:$B$500,"Cohort 2",'HR-Input'!$C$2:$C$500,"FDE"))</f>
        <v>–</v>
      </c>
      <c r="L52" s="59" t="str">
        <f>IF(COUNTIFS('HR-Input'!$A$2:$A$500,$L$2,'HR-Input'!$B$2:$B$500,"Cohort 2",'HR-Input'!$C$2:$C$500,"Senior FDE",'HR-Input'!$L$2:$L$500,"&lt;&gt;")=0,"–",SUMIFS('HR-Input'!$L$2:$L$500,'HR-Input'!$A$2:$A$500,$L$2,'HR-Input'!$B$2:$B$500,"Cohort 2",'HR-Input'!$C$2:$C$500,"Senior FDE"))</f>
        <v>–</v>
      </c>
      <c r="M52" s="60">
        <f t="shared" si="3"/>
        <v>59</v>
      </c>
    </row>
    <row r="53" spans="2:13" ht="15" customHeight="1" x14ac:dyDescent="0.35">
      <c r="H53" s="94" t="s">
        <v>60</v>
      </c>
      <c r="I53" s="94"/>
      <c r="J53" s="59">
        <f>IF(COUNTIFS('HR-Input'!$A$2:$A$500,$L$2,'HR-Input'!$B$2:$B$500,"Cohort 2",'HR-Input'!$C$2:$C$500,"Associate FDE",'HR-Input'!$N$2:$N$500,"&lt;&gt;")=0,"–",SUMIFS('HR-Input'!$N$2:$N$500,'HR-Input'!$A$2:$A$500,$L$2,'HR-Input'!$B$2:$B$500,"Cohort 2",'HR-Input'!$C$2:$C$500,"Associate FDE"))</f>
        <v>5</v>
      </c>
      <c r="K53" s="59" t="str">
        <f>IF(COUNTIFS('HR-Input'!$A$2:$A$500,$L$2,'HR-Input'!$B$2:$B$500,"Cohort 2",'HR-Input'!$C$2:$C$500,"FDE",'HR-Input'!$N$2:$N$500,"&lt;&gt;")=0,"–",SUMIFS('HR-Input'!$N$2:$N$500,'HR-Input'!$A$2:$A$500,$L$2,'HR-Input'!$B$2:$B$500,"Cohort 2",'HR-Input'!$C$2:$C$500,"FDE"))</f>
        <v>–</v>
      </c>
      <c r="L53" s="59" t="str">
        <f>IF(COUNTIFS('HR-Input'!$A$2:$A$500,$L$2,'HR-Input'!$B$2:$B$500,"Cohort 2",'HR-Input'!$C$2:$C$500,"Senior FDE",'HR-Input'!$N$2:$N$500,"&lt;&gt;")=0,"–",SUMIFS('HR-Input'!$N$2:$N$500,'HR-Input'!$A$2:$A$500,$L$2,'HR-Input'!$B$2:$B$500,"Cohort 2",'HR-Input'!$C$2:$C$500,"Senior FDE"))</f>
        <v>–</v>
      </c>
      <c r="M53" s="60">
        <f t="shared" si="3"/>
        <v>5</v>
      </c>
    </row>
    <row r="54" spans="2:13" ht="15" customHeight="1" x14ac:dyDescent="0.35">
      <c r="H54" s="94" t="s">
        <v>61</v>
      </c>
      <c r="I54" s="94"/>
      <c r="J54" s="59">
        <f>IF(COUNTIFS('HR-Input'!$A$2:$A$500,$L$2,'HR-Input'!$B$2:$B$500,"Cohort 2",'HR-Input'!$C$2:$C$500,"Associate FDE",'HR-Input'!$P$2:$P$500,"&lt;&gt;")=0,"–",SUMIFS('HR-Input'!$P$2:$P$500,'HR-Input'!$A$2:$A$500,$L$2,'HR-Input'!$B$2:$B$500,"Cohort 2",'HR-Input'!$C$2:$C$500,"Associate FDE"))</f>
        <v>4</v>
      </c>
      <c r="K54" s="59" t="str">
        <f>IF(COUNTIFS('HR-Input'!$A$2:$A$500,$L$2,'HR-Input'!$B$2:$B$500,"Cohort 2",'HR-Input'!$C$2:$C$500,"FDE",'HR-Input'!$P$2:$P$500,"&lt;&gt;")=0,"–",SUMIFS('HR-Input'!$P$2:$P$500,'HR-Input'!$A$2:$A$500,$L$2,'HR-Input'!$B$2:$B$500,"Cohort 2",'HR-Input'!$C$2:$C$500,"FDE"))</f>
        <v>–</v>
      </c>
      <c r="L54" s="59" t="str">
        <f>IF(COUNTIFS('HR-Input'!$A$2:$A$500,$L$2,'HR-Input'!$B$2:$B$500,"Cohort 2",'HR-Input'!$C$2:$C$500,"Senior FDE",'HR-Input'!$P$2:$P$500,"&lt;&gt;")=0,"–",SUMIFS('HR-Input'!$P$2:$P$500,'HR-Input'!$A$2:$A$500,$L$2,'HR-Input'!$B$2:$B$500,"Cohort 2",'HR-Input'!$C$2:$C$500,"Senior FDE"))</f>
        <v>–</v>
      </c>
      <c r="M54" s="60">
        <f t="shared" si="3"/>
        <v>4</v>
      </c>
    </row>
    <row r="55" spans="2:13" ht="15" customHeight="1" x14ac:dyDescent="0.35">
      <c r="H55" s="94" t="s">
        <v>62</v>
      </c>
      <c r="I55" s="94"/>
      <c r="J55" s="59" t="str">
        <f>IF(COUNTIFS('HR-Input'!$A$2:$A$500,$L$2,'HR-Input'!$B$2:$B$500,"Cohort 2",'HR-Input'!$C$2:$C$500,"Associate FDE",'HR-Input'!$U$2:$U$500,"&lt;&gt;")=0,"–",SUMIFS('HR-Input'!$U$2:$U$500,'HR-Input'!$A$2:$A$500,$L$2,'HR-Input'!$B$2:$B$500,"Cohort 2",'HR-Input'!$C$2:$C$500,"Associate FDE"))</f>
        <v>–</v>
      </c>
      <c r="K55" s="59" t="str">
        <f>IF(COUNTIFS('HR-Input'!$A$2:$A$500,$L$2,'HR-Input'!$B$2:$B$500,"Cohort 2",'HR-Input'!$C$2:$C$500,"FDE",'HR-Input'!$U$2:$U$500,"&lt;&gt;")=0,"–",SUMIFS('HR-Input'!$U$2:$U$500,'HR-Input'!$A$2:$A$500,$L$2,'HR-Input'!$B$2:$B$500,"Cohort 2",'HR-Input'!$C$2:$C$500,"FDE"))</f>
        <v>–</v>
      </c>
      <c r="L55" s="59" t="str">
        <f>IF(COUNTIFS('HR-Input'!$A$2:$A$500,$L$2,'HR-Input'!$B$2:$B$500,"Cohort 2",'HR-Input'!$C$2:$C$500,"Senior FDE",'HR-Input'!$U$2:$U$500,"&lt;&gt;")=0,"–",SUMIFS('HR-Input'!$U$2:$U$500,'HR-Input'!$A$2:$A$500,$L$2,'HR-Input'!$B$2:$B$500,"Cohort 2",'HR-Input'!$C$2:$C$500,"Senior FDE"))</f>
        <v>–</v>
      </c>
      <c r="M55" s="60" t="str">
        <f t="shared" si="3"/>
        <v>–</v>
      </c>
    </row>
    <row r="56" spans="2:13" ht="15" customHeight="1" x14ac:dyDescent="0.35">
      <c r="H56" s="94" t="s">
        <v>49</v>
      </c>
      <c r="I56" s="94"/>
      <c r="J56" s="59" t="str">
        <f>IF(COUNTIFS('HR-Input'!$A$2:$A$500,$L$2,'HR-Input'!$B$2:$B$500,"Cohort 2",'HR-Input'!$C$2:$C$500,"Associate FDE",'HR-Input'!$V$2:$V$500,"&lt;&gt;")=0,"–",SUMIFS('HR-Input'!$V$2:$V$500,'HR-Input'!$A$2:$A$500,$L$2,'HR-Input'!$B$2:$B$500,"Cohort 2",'HR-Input'!$C$2:$C$500,"Associate FDE"))</f>
        <v>–</v>
      </c>
      <c r="K56" s="59" t="str">
        <f>IF(COUNTIFS('HR-Input'!$A$2:$A$500,$L$2,'HR-Input'!$B$2:$B$500,"Cohort 2",'HR-Input'!$C$2:$C$500,"FDE",'HR-Input'!$V$2:$V$500,"&lt;&gt;")=0,"–",SUMIFS('HR-Input'!$V$2:$V$500,'HR-Input'!$A$2:$A$500,$L$2,'HR-Input'!$B$2:$B$500,"Cohort 2",'HR-Input'!$C$2:$C$500,"FDE"))</f>
        <v>–</v>
      </c>
      <c r="L56" s="59" t="str">
        <f>IF(COUNTIFS('HR-Input'!$A$2:$A$500,$L$2,'HR-Input'!$B$2:$B$500,"Cohort 2",'HR-Input'!$C$2:$C$500,"Senior FDE",'HR-Input'!$V$2:$V$500,"&lt;&gt;")=0,"–",SUMIFS('HR-Input'!$V$2:$V$500,'HR-Input'!$A$2:$A$500,$L$2,'HR-Input'!$B$2:$B$500,"Cohort 2",'HR-Input'!$C$2:$C$500,"Senior FDE"))</f>
        <v>–</v>
      </c>
      <c r="M56" s="60" t="str">
        <f t="shared" si="3"/>
        <v>–</v>
      </c>
    </row>
    <row r="57" spans="2:13" ht="15" customHeight="1" x14ac:dyDescent="0.35">
      <c r="H57" s="94" t="s">
        <v>24</v>
      </c>
      <c r="I57" s="94"/>
      <c r="J57" s="59">
        <f>IF(COUNTIFS('HR-Input'!$A$2:$A$500,$L$2,'HR-Input'!$B$2:$B$500,"Cohort 2",'HR-Input'!$C$2:$C$500,"Associate FDE",'HR-Input'!$W$2:$W$500,"&lt;&gt;")=0,"–",SUMIFS('HR-Input'!$W$2:$W$500,'HR-Input'!$A$2:$A$500,$L$2,'HR-Input'!$B$2:$B$500,"Cohort 2",'HR-Input'!$C$2:$C$500,"Associate FDE"))</f>
        <v>50</v>
      </c>
      <c r="K57" s="59" t="str">
        <f>IF(COUNTIFS('HR-Input'!$A$2:$A$500,$L$2,'HR-Input'!$B$2:$B$500,"Cohort 2",'HR-Input'!$C$2:$C$500,"FDE",'HR-Input'!$W$2:$W$500,"&lt;&gt;")=0,"–",SUMIFS('HR-Input'!$W$2:$W$500,'HR-Input'!$A$2:$A$500,$L$2,'HR-Input'!$B$2:$B$500,"Cohort 2",'HR-Input'!$C$2:$C$500,"FDE"))</f>
        <v>–</v>
      </c>
      <c r="L57" s="59" t="str">
        <f>IF(COUNTIFS('HR-Input'!$A$2:$A$500,$L$2,'HR-Input'!$B$2:$B$500,"Cohort 2",'HR-Input'!$C$2:$C$500,"Senior FDE",'HR-Input'!$W$2:$W$500,"&lt;&gt;")=0,"–",SUMIFS('HR-Input'!$W$2:$W$500,'HR-Input'!$A$2:$A$500,$L$2,'HR-Input'!$B$2:$B$500,"Cohort 2",'HR-Input'!$C$2:$C$500,"Senior FDE"))</f>
        <v>–</v>
      </c>
      <c r="M57" s="60">
        <f t="shared" si="3"/>
        <v>50</v>
      </c>
    </row>
    <row r="61" spans="2:13" ht="21.75" customHeight="1" x14ac:dyDescent="0.35">
      <c r="B61" s="93" t="s">
        <v>64</v>
      </c>
      <c r="C61" s="93"/>
      <c r="D61" s="93"/>
      <c r="E61" s="93"/>
      <c r="F61" s="93"/>
      <c r="G61" s="93"/>
      <c r="H61" s="93"/>
      <c r="I61" s="93"/>
      <c r="J61" s="93"/>
      <c r="K61" s="93"/>
      <c r="L61" s="93"/>
      <c r="M61" s="93"/>
    </row>
    <row r="62" spans="2:13" ht="30" customHeight="1" x14ac:dyDescent="0.35">
      <c r="B62" s="92" t="s">
        <v>65</v>
      </c>
      <c r="C62" s="92"/>
      <c r="D62" s="92"/>
      <c r="E62" s="92"/>
      <c r="F62" s="92"/>
      <c r="G62" s="92"/>
      <c r="H62" s="92"/>
      <c r="I62" s="92"/>
      <c r="J62" s="92"/>
      <c r="K62" s="92"/>
      <c r="L62" s="92"/>
      <c r="M62" s="92"/>
    </row>
    <row r="63" spans="2:13" ht="30" customHeight="1" x14ac:dyDescent="0.35">
      <c r="B63" s="92" t="s">
        <v>66</v>
      </c>
      <c r="C63" s="92"/>
      <c r="D63" s="92"/>
      <c r="E63" s="92"/>
      <c r="F63" s="92"/>
      <c r="G63" s="92"/>
      <c r="H63" s="92"/>
      <c r="I63" s="92"/>
      <c r="J63" s="92"/>
      <c r="K63" s="92"/>
      <c r="L63" s="92"/>
      <c r="M63" s="92"/>
    </row>
    <row r="64" spans="2:13" ht="30" customHeight="1" x14ac:dyDescent="0.35">
      <c r="B64" s="92" t="s">
        <v>67</v>
      </c>
      <c r="C64" s="92"/>
      <c r="D64" s="92"/>
      <c r="E64" s="92"/>
      <c r="F64" s="92"/>
      <c r="G64" s="92"/>
      <c r="H64" s="92"/>
      <c r="I64" s="92"/>
      <c r="J64" s="92"/>
      <c r="K64" s="92"/>
      <c r="L64" s="92"/>
      <c r="M64" s="92"/>
    </row>
    <row r="65" spans="2:13" ht="30" customHeight="1" x14ac:dyDescent="0.35">
      <c r="B65" s="92" t="s">
        <v>68</v>
      </c>
      <c r="C65" s="92"/>
      <c r="D65" s="92"/>
      <c r="E65" s="92"/>
      <c r="F65" s="92"/>
      <c r="G65" s="92"/>
      <c r="H65" s="92"/>
      <c r="I65" s="92"/>
      <c r="J65" s="92"/>
      <c r="K65" s="92"/>
      <c r="L65" s="92"/>
      <c r="M65" s="92"/>
    </row>
    <row r="66" spans="2:13" ht="30" customHeight="1" x14ac:dyDescent="0.35">
      <c r="B66" s="92" t="s">
        <v>69</v>
      </c>
      <c r="C66" s="92"/>
      <c r="D66" s="92"/>
      <c r="E66" s="92"/>
      <c r="F66" s="92"/>
      <c r="G66" s="92"/>
      <c r="H66" s="92"/>
      <c r="I66" s="92"/>
      <c r="J66" s="92"/>
      <c r="K66" s="92"/>
      <c r="L66" s="92"/>
      <c r="M66" s="92"/>
    </row>
    <row r="67" spans="2:13" ht="30" customHeight="1" x14ac:dyDescent="0.35">
      <c r="B67" s="92" t="s">
        <v>70</v>
      </c>
      <c r="C67" s="92"/>
      <c r="D67" s="92"/>
      <c r="E67" s="92"/>
      <c r="F67" s="92"/>
      <c r="G67" s="92"/>
      <c r="H67" s="92"/>
      <c r="I67" s="92"/>
      <c r="J67" s="92"/>
      <c r="K67" s="92"/>
      <c r="L67" s="92"/>
      <c r="M67" s="92"/>
    </row>
    <row r="68" spans="2:13" ht="30" customHeight="1" x14ac:dyDescent="0.35">
      <c r="B68" s="92" t="s">
        <v>71</v>
      </c>
      <c r="C68" s="92"/>
      <c r="D68" s="92"/>
      <c r="E68" s="92"/>
      <c r="F68" s="92"/>
      <c r="G68" s="92"/>
      <c r="H68" s="92"/>
      <c r="I68" s="92"/>
      <c r="J68" s="92"/>
      <c r="K68" s="92"/>
      <c r="L68" s="92"/>
      <c r="M68" s="92"/>
    </row>
    <row r="70" spans="2:13" ht="21.75" customHeight="1" x14ac:dyDescent="0.35">
      <c r="B70" s="93" t="s">
        <v>72</v>
      </c>
      <c r="C70" s="93"/>
      <c r="D70" s="93"/>
      <c r="E70" s="93"/>
      <c r="F70" s="93"/>
      <c r="G70" s="93"/>
      <c r="H70" s="93"/>
      <c r="I70" s="93"/>
      <c r="J70" s="93"/>
      <c r="K70" s="93"/>
      <c r="L70" s="93"/>
      <c r="M70" s="93"/>
    </row>
    <row r="71" spans="2:13" x14ac:dyDescent="0.35">
      <c r="B71" s="17" t="s">
        <v>37</v>
      </c>
      <c r="C71" s="17" t="s">
        <v>38</v>
      </c>
    </row>
    <row r="72" spans="2:13" x14ac:dyDescent="0.35">
      <c r="B72" s="18">
        <f>SUMPRODUCT(--(COUNTIFS('HR-Input'!$B$2:$B$500,{"Cohort 1","Cohort 1","Cohort 1","Cohort 2","Cohort 2","Cohort 2"},'HR-Input'!$C$2:$C$500,{"Associate FDE","FDE","Senior FDE","Associate FDE","FDE","Senior FDE"},'HR-Input'!$A$2:$A$500,$L$2)=0))</f>
        <v>3</v>
      </c>
      <c r="C72" s="19" t="s">
        <v>73</v>
      </c>
    </row>
    <row r="73" spans="2:13" x14ac:dyDescent="0.35">
      <c r="B73" s="18">
        <f>SUMPRODUCT(('HR-Input'!$A$2:$A$500&lt;&gt;"")*((('HR-Input'!$B$2:$B$500="")+('HR-Input'!$C$2:$C$500=""))&gt;0))</f>
        <v>0</v>
      </c>
      <c r="C73" s="19" t="s">
        <v>74</v>
      </c>
    </row>
    <row r="74" spans="2:13" x14ac:dyDescent="0.35">
      <c r="B74" s="18" t="e">
        <f>(COUNTIFS(#REF!,"Cohort 1",#REF!,"Offer accepted")&gt;SUMIFS('HR-Input'!$S$2:$S$500,'HR-Input'!$A$2:$A$500,$L$2,'HR-Input'!$B$2:$B$500,"Cohort 1"))+(COUNTIFS(#REF!,"Cohort 2",#REF!,"Offer accepted")&gt;SUMIFS('HR-Input'!$S$2:$S$500,'HR-Input'!$A$2:$A$500,$L$2,'HR-Input'!$B$2:$B$500,"Cohort 2"))</f>
        <v>#REF!</v>
      </c>
      <c r="C74" s="19" t="s">
        <v>75</v>
      </c>
    </row>
  </sheetData>
  <mergeCells count="82">
    <mergeCell ref="B1:M1"/>
    <mergeCell ref="B2:H2"/>
    <mergeCell ref="J2:K2"/>
    <mergeCell ref="B4:M4"/>
    <mergeCell ref="B5:C5"/>
    <mergeCell ref="D5:E5"/>
    <mergeCell ref="F5:G5"/>
    <mergeCell ref="H5:I5"/>
    <mergeCell ref="J5:K5"/>
    <mergeCell ref="L5:M5"/>
    <mergeCell ref="B6:C6"/>
    <mergeCell ref="D6:E6"/>
    <mergeCell ref="F6:G6"/>
    <mergeCell ref="H6:I6"/>
    <mergeCell ref="J6:K6"/>
    <mergeCell ref="L6:M6"/>
    <mergeCell ref="H8:I8"/>
    <mergeCell ref="H9:M9"/>
    <mergeCell ref="H10:I10"/>
    <mergeCell ref="H11:I11"/>
    <mergeCell ref="H12:I12"/>
    <mergeCell ref="H13:I13"/>
    <mergeCell ref="H14:I14"/>
    <mergeCell ref="H15:I15"/>
    <mergeCell ref="H16:I16"/>
    <mergeCell ref="H17:I17"/>
    <mergeCell ref="H18:I18"/>
    <mergeCell ref="H19:I19"/>
    <mergeCell ref="H20:M20"/>
    <mergeCell ref="H21:I21"/>
    <mergeCell ref="H22:I22"/>
    <mergeCell ref="H23:I23"/>
    <mergeCell ref="H24:I24"/>
    <mergeCell ref="H25:I25"/>
    <mergeCell ref="H26:I26"/>
    <mergeCell ref="H27:I27"/>
    <mergeCell ref="H28:I28"/>
    <mergeCell ref="H29:I29"/>
    <mergeCell ref="B32:M32"/>
    <mergeCell ref="B33:C33"/>
    <mergeCell ref="D33:E33"/>
    <mergeCell ref="F33:G33"/>
    <mergeCell ref="H33:I33"/>
    <mergeCell ref="J33:K33"/>
    <mergeCell ref="L33:M33"/>
    <mergeCell ref="B34:C34"/>
    <mergeCell ref="D34:E34"/>
    <mergeCell ref="F34:G34"/>
    <mergeCell ref="H34:I34"/>
    <mergeCell ref="J34:K34"/>
    <mergeCell ref="L34:M34"/>
    <mergeCell ref="H36:I36"/>
    <mergeCell ref="H37:M37"/>
    <mergeCell ref="H38:I38"/>
    <mergeCell ref="H39:I39"/>
    <mergeCell ref="H40:I40"/>
    <mergeCell ref="H41:I41"/>
    <mergeCell ref="H42:I42"/>
    <mergeCell ref="H43:I43"/>
    <mergeCell ref="H44:I44"/>
    <mergeCell ref="H45:I45"/>
    <mergeCell ref="H46:I46"/>
    <mergeCell ref="H47:I47"/>
    <mergeCell ref="H48:M48"/>
    <mergeCell ref="H49:I49"/>
    <mergeCell ref="H50:I50"/>
    <mergeCell ref="H51:I51"/>
    <mergeCell ref="H52:I52"/>
    <mergeCell ref="H53:I53"/>
    <mergeCell ref="H54:I54"/>
    <mergeCell ref="H55:I55"/>
    <mergeCell ref="H56:I56"/>
    <mergeCell ref="H57:I57"/>
    <mergeCell ref="B61:M61"/>
    <mergeCell ref="B62:M62"/>
    <mergeCell ref="B68:M68"/>
    <mergeCell ref="B70:M70"/>
    <mergeCell ref="B63:M63"/>
    <mergeCell ref="B64:M64"/>
    <mergeCell ref="B65:M65"/>
    <mergeCell ref="B66:M66"/>
    <mergeCell ref="B67:M67"/>
  </mergeCells>
  <pageMargins left="0.75" right="0.75" top="1" bottom="1" header="0.511811023622047" footer="0.511811023622047"/>
  <pageSetup fitToHeight="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
  <sheetViews>
    <sheetView zoomScaleNormal="100" workbookViewId="0">
      <pane xSplit="4" ySplit="1" topLeftCell="E2" activePane="bottomRight" state="frozen"/>
      <selection pane="topRight" activeCell="E1" sqref="E1"/>
      <selection pane="bottomLeft" activeCell="A2" sqref="A2"/>
      <selection pane="bottomRight" activeCell="B4" sqref="B4"/>
    </sheetView>
  </sheetViews>
  <sheetFormatPr defaultColWidth="8.54296875" defaultRowHeight="14.5" x14ac:dyDescent="0.35"/>
  <cols>
    <col min="1" max="1" width="13" customWidth="1"/>
    <col min="2" max="2" width="11" customWidth="1"/>
    <col min="3" max="3" width="14" customWidth="1"/>
    <col min="4" max="4" width="11" customWidth="1"/>
    <col min="5" max="5" width="13" customWidth="1"/>
    <col min="6" max="7" width="12" customWidth="1"/>
    <col min="8" max="9" width="10" customWidth="1"/>
    <col min="10" max="11" width="12" customWidth="1"/>
    <col min="12" max="17" width="10" customWidth="1"/>
    <col min="18" max="18" width="13" customWidth="1"/>
    <col min="19" max="19" width="12" customWidth="1"/>
    <col min="20" max="20" width="10" customWidth="1"/>
    <col min="21" max="21" width="9" customWidth="1"/>
    <col min="22" max="22" width="11" customWidth="1"/>
    <col min="23" max="23" width="13" customWidth="1"/>
    <col min="24" max="24" width="110" customWidth="1"/>
  </cols>
  <sheetData>
    <row r="1" spans="1:24" ht="49.5" customHeight="1" x14ac:dyDescent="0.35">
      <c r="A1" s="20" t="s">
        <v>76</v>
      </c>
      <c r="B1" s="20" t="s">
        <v>77</v>
      </c>
      <c r="C1" s="20" t="s">
        <v>78</v>
      </c>
      <c r="D1" s="20" t="s">
        <v>79</v>
      </c>
      <c r="E1" s="20" t="s">
        <v>80</v>
      </c>
      <c r="F1" s="20" t="s">
        <v>81</v>
      </c>
      <c r="G1" s="20" t="s">
        <v>82</v>
      </c>
      <c r="H1" s="20" t="s">
        <v>83</v>
      </c>
      <c r="I1" s="20" t="s">
        <v>84</v>
      </c>
      <c r="J1" s="20" t="s">
        <v>85</v>
      </c>
      <c r="K1" s="20" t="s">
        <v>86</v>
      </c>
      <c r="L1" s="20" t="s">
        <v>87</v>
      </c>
      <c r="M1" s="20" t="s">
        <v>88</v>
      </c>
      <c r="N1" s="20" t="s">
        <v>89</v>
      </c>
      <c r="O1" s="20" t="s">
        <v>90</v>
      </c>
      <c r="P1" s="20" t="s">
        <v>91</v>
      </c>
      <c r="Q1" s="20" t="s">
        <v>92</v>
      </c>
      <c r="R1" s="20" t="s">
        <v>93</v>
      </c>
      <c r="S1" s="20" t="s">
        <v>94</v>
      </c>
      <c r="T1" s="20" t="s">
        <v>48</v>
      </c>
      <c r="U1" s="20" t="s">
        <v>95</v>
      </c>
      <c r="V1" s="20" t="s">
        <v>49</v>
      </c>
      <c r="W1" s="20" t="s">
        <v>96</v>
      </c>
      <c r="X1" s="20" t="s">
        <v>31</v>
      </c>
    </row>
    <row r="2" spans="1:24" ht="63.75" customHeight="1" x14ac:dyDescent="0.35">
      <c r="A2" s="61">
        <v>46290</v>
      </c>
      <c r="B2" s="62" t="s">
        <v>97</v>
      </c>
      <c r="C2" s="62" t="s">
        <v>11</v>
      </c>
      <c r="D2" s="62"/>
      <c r="E2" s="62"/>
      <c r="F2" s="62"/>
      <c r="G2" s="62"/>
      <c r="H2" s="62"/>
      <c r="I2" s="62"/>
      <c r="J2" s="62"/>
      <c r="K2" s="62"/>
      <c r="L2" s="62">
        <v>59</v>
      </c>
      <c r="M2" s="62"/>
      <c r="N2" s="62">
        <v>5</v>
      </c>
      <c r="O2" s="62"/>
      <c r="P2" s="62">
        <v>4</v>
      </c>
      <c r="Q2" s="62"/>
      <c r="R2" s="62"/>
      <c r="S2" s="62">
        <v>14</v>
      </c>
      <c r="T2" s="62"/>
      <c r="U2" s="62"/>
      <c r="V2" s="62"/>
      <c r="W2" s="62">
        <v>50</v>
      </c>
      <c r="X2" s="63" t="s">
        <v>98</v>
      </c>
    </row>
    <row r="3" spans="1:24" ht="63.75" customHeight="1" x14ac:dyDescent="0.35">
      <c r="A3" s="61">
        <v>46290</v>
      </c>
      <c r="B3" s="62" t="s">
        <v>99</v>
      </c>
      <c r="C3" s="62" t="s">
        <v>12</v>
      </c>
      <c r="D3" s="62" t="s">
        <v>100</v>
      </c>
      <c r="E3" s="62"/>
      <c r="F3" s="62"/>
      <c r="G3" s="62"/>
      <c r="H3" s="62"/>
      <c r="I3" s="62"/>
      <c r="J3" s="62"/>
      <c r="K3" s="62"/>
      <c r="L3" s="62">
        <v>15</v>
      </c>
      <c r="M3" s="62"/>
      <c r="N3" s="62"/>
      <c r="O3" s="62"/>
      <c r="P3" s="62">
        <v>2</v>
      </c>
      <c r="Q3" s="62"/>
      <c r="R3" s="62"/>
      <c r="S3" s="62">
        <v>3</v>
      </c>
      <c r="T3" s="62"/>
      <c r="U3" s="62">
        <v>4</v>
      </c>
      <c r="V3" s="62">
        <v>11</v>
      </c>
      <c r="W3" s="62">
        <v>10</v>
      </c>
      <c r="X3" s="63" t="s">
        <v>101</v>
      </c>
    </row>
    <row r="4" spans="1:24" ht="63.75" customHeight="1" x14ac:dyDescent="0.35">
      <c r="A4" s="61">
        <v>46290</v>
      </c>
      <c r="B4" s="62" t="s">
        <v>99</v>
      </c>
      <c r="C4" s="62" t="s">
        <v>13</v>
      </c>
      <c r="D4" s="62" t="s">
        <v>102</v>
      </c>
      <c r="E4" s="62">
        <v>16</v>
      </c>
      <c r="F4" s="62">
        <v>6</v>
      </c>
      <c r="G4" s="62"/>
      <c r="H4" s="62"/>
      <c r="I4" s="62"/>
      <c r="J4" s="62"/>
      <c r="K4" s="62"/>
      <c r="L4" s="62">
        <v>1</v>
      </c>
      <c r="M4" s="62"/>
      <c r="N4" s="62"/>
      <c r="O4" s="62"/>
      <c r="P4" s="62"/>
      <c r="Q4" s="62"/>
      <c r="R4" s="62"/>
      <c r="S4" s="62"/>
      <c r="T4" s="62"/>
      <c r="U4" s="62"/>
      <c r="V4" s="62">
        <v>9</v>
      </c>
      <c r="W4" s="62"/>
      <c r="X4" s="63" t="s">
        <v>103</v>
      </c>
    </row>
  </sheetData>
  <dataValidations count="3">
    <dataValidation type="list" allowBlank="1" sqref="D2:D500" xr:uid="{00000000-0002-0000-0500-000000000000}">
      <formula1>"Internal,External"</formula1>
      <formula2>0</formula2>
    </dataValidation>
    <dataValidation type="list" allowBlank="1" sqref="C2:C500" xr:uid="{00000000-0002-0000-0500-000001000000}">
      <formula1>"Associate FDE,FDE,Senior FDE"</formula1>
      <formula2>0</formula2>
    </dataValidation>
    <dataValidation type="list" errorStyle="warning" allowBlank="1" sqref="B2:B500" xr:uid="{00000000-0002-0000-0500-000002000000}">
      <formula1>"Cohort 1,Cohort 2"</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M46"/>
  <sheetViews>
    <sheetView showGridLines="0" topLeftCell="A8" zoomScaleNormal="100" workbookViewId="0"/>
  </sheetViews>
  <sheetFormatPr defaultColWidth="8.54296875" defaultRowHeight="14.5" x14ac:dyDescent="0.35"/>
  <cols>
    <col min="1" max="1" width="2" customWidth="1"/>
    <col min="2" max="13" width="13.453125" customWidth="1"/>
  </cols>
  <sheetData>
    <row r="1" spans="2:13" ht="37.5" customHeight="1" x14ac:dyDescent="0.35">
      <c r="B1" s="101" t="s">
        <v>107</v>
      </c>
      <c r="C1" s="101"/>
      <c r="D1" s="101"/>
      <c r="E1" s="101"/>
      <c r="F1" s="101"/>
      <c r="G1" s="101"/>
      <c r="H1" s="101"/>
      <c r="I1" s="101"/>
      <c r="J1" s="101"/>
      <c r="K1" s="101"/>
      <c r="L1" s="101"/>
      <c r="M1" s="101"/>
    </row>
    <row r="2" spans="2:13" x14ac:dyDescent="0.35">
      <c r="B2" s="102" t="s">
        <v>108</v>
      </c>
      <c r="C2" s="102"/>
      <c r="D2" s="102"/>
      <c r="E2" s="102"/>
      <c r="F2" s="102"/>
      <c r="G2" s="102"/>
      <c r="H2" s="102"/>
      <c r="I2" s="102"/>
      <c r="J2" s="102"/>
      <c r="K2" s="102"/>
      <c r="L2" s="102"/>
      <c r="M2" s="102"/>
    </row>
    <row r="4" spans="2:13" ht="27.75" customHeight="1" x14ac:dyDescent="0.35">
      <c r="B4" s="98" t="s">
        <v>109</v>
      </c>
      <c r="C4" s="98"/>
      <c r="D4" s="98" t="s">
        <v>110</v>
      </c>
      <c r="E4" s="98"/>
      <c r="F4" s="97" t="s">
        <v>111</v>
      </c>
      <c r="G4" s="97"/>
      <c r="H4" s="97" t="s">
        <v>112</v>
      </c>
      <c r="I4" s="97"/>
      <c r="J4" s="97" t="s">
        <v>28</v>
      </c>
      <c r="K4" s="97"/>
      <c r="L4" s="99" t="s">
        <v>113</v>
      </c>
      <c r="M4" s="99"/>
    </row>
    <row r="5" spans="2:13" ht="43.5" customHeight="1" x14ac:dyDescent="0.35">
      <c r="B5" s="111" t="str">
        <f>IF($F$43=0,"–","Week "&amp;INDEX('Input - Trainers'!$A:$A,$F$43))</f>
        <v>Week 6</v>
      </c>
      <c r="C5" s="111"/>
      <c r="D5" s="106">
        <f>IF($F$43=0,"–",INDEX('Input - Trainers'!$D:$D,$F$43))</f>
        <v>0.96</v>
      </c>
      <c r="E5" s="106"/>
      <c r="F5" s="106">
        <f>IF(OR($F$43=0,INDEX('Input - Trainers'!$B:$B,$F$43)=""),"–",INDEX('Input - Trainers'!$B:$B,$F$43))</f>
        <v>0.95</v>
      </c>
      <c r="G5" s="106"/>
      <c r="H5" s="106">
        <f>IF(OR($F$43=0,INDEX('Input - Trainers'!$C:$C,$F$43)=""),"–",INDEX('Input - Trainers'!$C:$C,$F$43))</f>
        <v>0.97</v>
      </c>
      <c r="I5" s="106"/>
      <c r="J5" s="96">
        <f>IF($F$46=0,"–",INDEX('Input - Trainers'!$E:$E,$F$46))</f>
        <v>20</v>
      </c>
      <c r="K5" s="96"/>
      <c r="L5" s="109" t="str">
        <f>IF(OR($F$43=0,$F$44=0),"–",(INDEX('Input - Trainers'!$D:$D,$F$43)-INDEX('Input - Trainers'!$D:$D,$F$44))*100)</f>
        <v>–</v>
      </c>
      <c r="M5" s="109"/>
    </row>
    <row r="7" spans="2:13" ht="27.75" customHeight="1" x14ac:dyDescent="0.35">
      <c r="B7" s="98" t="s">
        <v>114</v>
      </c>
      <c r="C7" s="98"/>
      <c r="D7" s="98" t="s">
        <v>115</v>
      </c>
      <c r="E7" s="98"/>
      <c r="F7" s="98" t="s">
        <v>116</v>
      </c>
      <c r="G7" s="98"/>
      <c r="H7" s="98" t="s">
        <v>117</v>
      </c>
      <c r="I7" s="98"/>
      <c r="J7" s="99" t="s">
        <v>118</v>
      </c>
      <c r="K7" s="99"/>
      <c r="L7" s="110"/>
      <c r="M7" s="110"/>
    </row>
    <row r="8" spans="2:13" ht="43.5" customHeight="1" x14ac:dyDescent="0.35">
      <c r="B8" s="106">
        <f>IF(COUNT('Input - Trainers'!$D$2:$D$500)=0,"–",AVERAGE('Input - Trainers'!$D$2:$D$500))</f>
        <v>0.96</v>
      </c>
      <c r="C8" s="106"/>
      <c r="D8" s="107" t="str">
        <f>IF(COUNT('Input - Trainers'!$D$2:$D$500)=0,"–","Week "&amp;INDEX('Input - Trainers'!$A$2:$A$500,MATCH(MAX('Input - Trainers'!$D$2:$D$500),'Input - Trainers'!$D$2:$D$500,0))&amp;" ("&amp;TEXT(MAX('Input - Trainers'!$D$2:$D$500),"0%")&amp;")")</f>
        <v>Week 6 (96%)</v>
      </c>
      <c r="E8" s="107"/>
      <c r="F8" s="107" t="str">
        <f>IF(COUNT('Input - Trainers'!$D$2:$D$500)=0,"–","Week "&amp;INDEX('Input - Trainers'!$A$2:$A$500,MATCH(MIN('Input - Trainers'!$D$2:$D$500),'Input - Trainers'!$D$2:$D$500,0))&amp;" ("&amp;TEXT(MIN('Input - Trainers'!$D$2:$D$500),"0%")&amp;")")</f>
        <v>Week 6 (96%)</v>
      </c>
      <c r="G8" s="107"/>
      <c r="H8" s="96">
        <f>COUNT('Input - Trainers'!$D$2:$D$500)</f>
        <v>1</v>
      </c>
      <c r="I8" s="96"/>
      <c r="J8" s="108">
        <f>IF($F$45=0,"–",INDEX('Input - Trainers'!$E:$E,$F$46)-INDEX('Input - Trainers'!$E:$E,$F$45))</f>
        <v>0</v>
      </c>
      <c r="K8" s="108"/>
      <c r="L8" s="105"/>
      <c r="M8" s="105"/>
    </row>
    <row r="28" spans="2:13" ht="21.75" customHeight="1" x14ac:dyDescent="0.35">
      <c r="B28" s="93" t="s">
        <v>31</v>
      </c>
      <c r="C28" s="93"/>
      <c r="D28" s="93"/>
      <c r="E28" s="93"/>
      <c r="F28" s="93"/>
      <c r="G28" s="93"/>
      <c r="H28" s="93"/>
      <c r="I28" s="93"/>
      <c r="J28" s="93"/>
      <c r="K28" s="93"/>
      <c r="L28" s="93"/>
      <c r="M28" s="93"/>
    </row>
    <row r="29" spans="2:13" ht="30" customHeight="1" x14ac:dyDescent="0.35">
      <c r="B29" s="92" t="s">
        <v>119</v>
      </c>
      <c r="C29" s="92"/>
      <c r="D29" s="92"/>
      <c r="E29" s="92"/>
      <c r="F29" s="92"/>
      <c r="G29" s="92"/>
      <c r="H29" s="92"/>
      <c r="I29" s="92"/>
      <c r="J29" s="92"/>
      <c r="K29" s="92"/>
      <c r="L29" s="92"/>
      <c r="M29" s="92"/>
    </row>
    <row r="30" spans="2:13" ht="30" customHeight="1" x14ac:dyDescent="0.35">
      <c r="B30" s="92" t="s">
        <v>120</v>
      </c>
      <c r="C30" s="92"/>
      <c r="D30" s="92"/>
      <c r="E30" s="92"/>
      <c r="F30" s="92"/>
      <c r="G30" s="92"/>
      <c r="H30" s="92"/>
      <c r="I30" s="92"/>
      <c r="J30" s="92"/>
      <c r="K30" s="92"/>
      <c r="L30" s="92"/>
      <c r="M30" s="92"/>
    </row>
    <row r="31" spans="2:13" ht="30" customHeight="1" x14ac:dyDescent="0.35">
      <c r="B31" s="92" t="s">
        <v>121</v>
      </c>
      <c r="C31" s="92"/>
      <c r="D31" s="92"/>
      <c r="E31" s="92"/>
      <c r="F31" s="92"/>
      <c r="G31" s="92"/>
      <c r="H31" s="92"/>
      <c r="I31" s="92"/>
      <c r="J31" s="92"/>
      <c r="K31" s="92"/>
      <c r="L31" s="92"/>
      <c r="M31" s="92"/>
    </row>
    <row r="33" spans="2:13" ht="21.75" customHeight="1" x14ac:dyDescent="0.35">
      <c r="B33" s="93" t="s">
        <v>72</v>
      </c>
      <c r="C33" s="93"/>
      <c r="D33" s="93"/>
      <c r="E33" s="93"/>
      <c r="F33" s="93"/>
      <c r="G33" s="93"/>
      <c r="H33" s="93"/>
      <c r="I33" s="93"/>
      <c r="J33" s="93"/>
      <c r="K33" s="93"/>
      <c r="L33" s="93"/>
      <c r="M33" s="93"/>
    </row>
    <row r="34" spans="2:13" x14ac:dyDescent="0.35">
      <c r="B34" s="17" t="s">
        <v>37</v>
      </c>
      <c r="C34" s="17" t="s">
        <v>38</v>
      </c>
    </row>
    <row r="35" spans="2:13" x14ac:dyDescent="0.35">
      <c r="B35" s="18">
        <f>SUMPRODUCT(('Input - Trainers'!$B$2:$B$500&lt;&gt;"")*('Input - Trainers'!$C$2:$C$500&lt;&gt;"")*('Input - Trainers'!$D$2:$D$500&lt;&gt;"")*(ABS('Input - Trainers'!$D$2:$D$500-('Input - Trainers'!$B$2:$B$500+'Input - Trainers'!$C$2:$C$500)/2)&gt;0.01))</f>
        <v>0</v>
      </c>
      <c r="C35" s="19" t="s">
        <v>122</v>
      </c>
    </row>
    <row r="36" spans="2:13" x14ac:dyDescent="0.35">
      <c r="B36" s="18">
        <f>SUMPRODUCT(((('Input - Trainers'!$B$2:$B$500&lt;&gt;"")+('Input - Trainers'!$C$2:$C$500&lt;&gt;"")+('Input - Trainers'!$D$2:$D$500&lt;&gt;""))&gt;0)*('Input - Trainers'!$E$2:$E$500=""))</f>
        <v>0</v>
      </c>
      <c r="C36" s="19" t="s">
        <v>123</v>
      </c>
    </row>
    <row r="37" spans="2:13" x14ac:dyDescent="0.35">
      <c r="B37" s="18">
        <f>SUMPRODUCT(('Input - Trainers'!$A$2:$A$500&lt;&gt;"")*(COUNTIF('Input - Trainers'!$A$2:$A$500,'Input - Trainers'!$A$2:$A$500)&gt;1))</f>
        <v>0</v>
      </c>
      <c r="C37" s="19" t="s">
        <v>124</v>
      </c>
    </row>
    <row r="38" spans="2:13" x14ac:dyDescent="0.35">
      <c r="B38" s="18">
        <f>SUMPRODUCT(((('Input - Trainers'!$B$2:$B$500&lt;&gt;"")+('Input - Trainers'!$C$2:$C$500&lt;&gt;""))&gt;0)*('Input - Trainers'!$D$2:$D$500=""))</f>
        <v>0</v>
      </c>
      <c r="C38" s="19" t="s">
        <v>125</v>
      </c>
    </row>
    <row r="41" spans="2:13" ht="21.75" customHeight="1" x14ac:dyDescent="0.35">
      <c r="B41" s="93" t="s">
        <v>126</v>
      </c>
      <c r="C41" s="93"/>
      <c r="D41" s="93"/>
      <c r="E41" s="93"/>
      <c r="F41" s="93"/>
      <c r="G41" s="93"/>
      <c r="H41" s="93"/>
      <c r="I41" s="93"/>
      <c r="J41" s="93"/>
      <c r="K41" s="93"/>
      <c r="L41" s="93"/>
      <c r="M41" s="93"/>
    </row>
    <row r="42" spans="2:13" x14ac:dyDescent="0.35">
      <c r="B42" s="7" t="s">
        <v>127</v>
      </c>
    </row>
    <row r="43" spans="2:13" x14ac:dyDescent="0.35">
      <c r="B43" s="104" t="s">
        <v>128</v>
      </c>
      <c r="C43" s="104"/>
      <c r="D43" s="104"/>
      <c r="E43" s="104"/>
      <c r="F43" s="14">
        <f>IFERROR(LOOKUP(2,1/('Input - Trainers'!$D$2:$D$500&lt;&gt;""),ROW('Input - Trainers'!$D$2:$D$500)),0)</f>
        <v>7</v>
      </c>
    </row>
    <row r="44" spans="2:13" x14ac:dyDescent="0.35">
      <c r="B44" s="104" t="s">
        <v>129</v>
      </c>
      <c r="C44" s="104"/>
      <c r="D44" s="104"/>
      <c r="E44" s="104"/>
      <c r="F44" s="14">
        <f>IFERROR(LOOKUP(2,1/(('Input - Trainers'!$D$2:$D$500&lt;&gt;"")*(ROW('Input - Trainers'!$D$2:$D$500)&lt;F43)),ROW('Input - Trainers'!$D$2:$D$500)),0)</f>
        <v>0</v>
      </c>
    </row>
    <row r="45" spans="2:13" x14ac:dyDescent="0.35">
      <c r="B45" s="104" t="s">
        <v>130</v>
      </c>
      <c r="C45" s="104"/>
      <c r="D45" s="104"/>
      <c r="E45" s="104"/>
      <c r="F45" s="14">
        <f>IFERROR(MATCH(1,INDEX(--('Input - Trainers'!$E$2:$E$500&lt;&gt;""),0),0)+1,0)</f>
        <v>7</v>
      </c>
    </row>
    <row r="46" spans="2:13" x14ac:dyDescent="0.35">
      <c r="B46" s="104" t="s">
        <v>131</v>
      </c>
      <c r="C46" s="104"/>
      <c r="D46" s="104"/>
      <c r="E46" s="104"/>
      <c r="F46" s="14">
        <f>IFERROR(LOOKUP(2,1/('Input - Trainers'!$E$2:$E$500&lt;&gt;""),ROW('Input - Trainers'!$E$2:$E$500)),0)</f>
        <v>7</v>
      </c>
    </row>
  </sheetData>
  <mergeCells count="36">
    <mergeCell ref="B1:M1"/>
    <mergeCell ref="B2:M2"/>
    <mergeCell ref="B4:C4"/>
    <mergeCell ref="D4:E4"/>
    <mergeCell ref="F4:G4"/>
    <mergeCell ref="H4:I4"/>
    <mergeCell ref="J4:K4"/>
    <mergeCell ref="L4:M4"/>
    <mergeCell ref="L5:M5"/>
    <mergeCell ref="B7:C7"/>
    <mergeCell ref="D7:E7"/>
    <mergeCell ref="F7:G7"/>
    <mergeCell ref="H7:I7"/>
    <mergeCell ref="J7:K7"/>
    <mergeCell ref="L7:M7"/>
    <mergeCell ref="B5:C5"/>
    <mergeCell ref="D5:E5"/>
    <mergeCell ref="F5:G5"/>
    <mergeCell ref="H5:I5"/>
    <mergeCell ref="J5:K5"/>
    <mergeCell ref="L8:M8"/>
    <mergeCell ref="B28:M28"/>
    <mergeCell ref="B29:M29"/>
    <mergeCell ref="B30:M30"/>
    <mergeCell ref="B31:M31"/>
    <mergeCell ref="B8:C8"/>
    <mergeCell ref="D8:E8"/>
    <mergeCell ref="F8:G8"/>
    <mergeCell ref="H8:I8"/>
    <mergeCell ref="J8:K8"/>
    <mergeCell ref="B46:E46"/>
    <mergeCell ref="B33:M33"/>
    <mergeCell ref="B41:M41"/>
    <mergeCell ref="B43:E43"/>
    <mergeCell ref="B44:E44"/>
    <mergeCell ref="B45:E45"/>
  </mergeCells>
  <pageMargins left="0.75" right="0.75" top="1" bottom="1" header="0.511811023622047" footer="0.511811023622047"/>
  <pageSetup fitToHeight="0"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00"/>
  <sheetViews>
    <sheetView zoomScaleNormal="100" workbookViewId="0">
      <pane xSplit="1" ySplit="1" topLeftCell="B2" activePane="bottomRight" state="frozen"/>
      <selection pane="topRight" activeCell="B1" sqref="B1"/>
      <selection pane="bottomLeft" activeCell="A2" sqref="A2"/>
      <selection pane="bottomRight" activeCell="C10" sqref="C10"/>
    </sheetView>
  </sheetViews>
  <sheetFormatPr defaultColWidth="8.54296875" defaultRowHeight="14.5" x14ac:dyDescent="0.35"/>
  <cols>
    <col min="1" max="1" width="8" customWidth="1"/>
    <col min="2" max="4" width="17" customWidth="1"/>
    <col min="5" max="5" width="12" customWidth="1"/>
    <col min="6" max="6" width="70" customWidth="1"/>
  </cols>
  <sheetData>
    <row r="1" spans="1:6" ht="43.5" customHeight="1" x14ac:dyDescent="0.35">
      <c r="A1" s="20" t="s">
        <v>132</v>
      </c>
      <c r="B1" s="20" t="s">
        <v>133</v>
      </c>
      <c r="C1" s="20" t="s">
        <v>134</v>
      </c>
      <c r="D1" s="20" t="s">
        <v>135</v>
      </c>
      <c r="E1" s="20" t="s">
        <v>28</v>
      </c>
      <c r="F1" s="20" t="s">
        <v>136</v>
      </c>
    </row>
    <row r="2" spans="1:6" x14ac:dyDescent="0.35">
      <c r="A2" s="65">
        <v>1</v>
      </c>
      <c r="B2" s="66"/>
      <c r="C2" s="66"/>
      <c r="D2" s="66"/>
      <c r="E2" s="65"/>
      <c r="F2" s="64"/>
    </row>
    <row r="3" spans="1:6" x14ac:dyDescent="0.35">
      <c r="A3" s="65">
        <v>2</v>
      </c>
      <c r="B3" s="66"/>
      <c r="C3" s="66"/>
      <c r="D3" s="66"/>
      <c r="E3" s="65"/>
      <c r="F3" s="64"/>
    </row>
    <row r="4" spans="1:6" x14ac:dyDescent="0.35">
      <c r="A4" s="65">
        <v>3</v>
      </c>
      <c r="B4" s="66"/>
      <c r="C4" s="66"/>
      <c r="D4" s="66"/>
      <c r="E4" s="65"/>
      <c r="F4" s="64"/>
    </row>
    <row r="5" spans="1:6" x14ac:dyDescent="0.35">
      <c r="A5" s="65">
        <v>4</v>
      </c>
      <c r="B5" s="66"/>
      <c r="C5" s="66"/>
      <c r="D5" s="66"/>
      <c r="E5" s="65"/>
      <c r="F5" s="64"/>
    </row>
    <row r="6" spans="1:6" x14ac:dyDescent="0.35">
      <c r="A6" s="65">
        <v>5</v>
      </c>
      <c r="B6" s="66"/>
      <c r="C6" s="66"/>
      <c r="D6" s="66"/>
      <c r="E6" s="65"/>
      <c r="F6" s="64"/>
    </row>
    <row r="7" spans="1:6" x14ac:dyDescent="0.35">
      <c r="A7" s="65">
        <v>6</v>
      </c>
      <c r="B7" s="66">
        <v>0.95</v>
      </c>
      <c r="C7" s="66">
        <v>0.97</v>
      </c>
      <c r="D7" s="66">
        <v>0.96</v>
      </c>
      <c r="E7" s="65">
        <v>20</v>
      </c>
      <c r="F7" s="64" t="s">
        <v>137</v>
      </c>
    </row>
    <row r="8" spans="1:6" x14ac:dyDescent="0.35">
      <c r="A8" s="65">
        <v>7</v>
      </c>
      <c r="B8" s="66"/>
      <c r="C8" s="66"/>
      <c r="D8" s="66"/>
      <c r="E8" s="65"/>
      <c r="F8" s="64"/>
    </row>
    <row r="9" spans="1:6" x14ac:dyDescent="0.35">
      <c r="A9" s="65">
        <v>8</v>
      </c>
      <c r="B9" s="66"/>
      <c r="C9" s="66"/>
      <c r="D9" s="66"/>
      <c r="E9" s="65"/>
      <c r="F9" s="64"/>
    </row>
    <row r="10" spans="1:6" x14ac:dyDescent="0.35">
      <c r="A10" s="65">
        <v>9</v>
      </c>
      <c r="B10" s="66"/>
      <c r="C10" s="66"/>
      <c r="D10" s="66"/>
      <c r="E10" s="65"/>
      <c r="F10" s="64"/>
    </row>
    <row r="11" spans="1:6" x14ac:dyDescent="0.35">
      <c r="A11" s="65">
        <v>10</v>
      </c>
      <c r="B11" s="66"/>
      <c r="C11" s="66"/>
      <c r="D11" s="66"/>
      <c r="E11" s="65"/>
      <c r="F11" s="64"/>
    </row>
    <row r="12" spans="1:6" x14ac:dyDescent="0.35">
      <c r="A12" s="65">
        <v>11</v>
      </c>
      <c r="B12" s="66"/>
      <c r="C12" s="66"/>
      <c r="D12" s="66"/>
      <c r="E12" s="65"/>
      <c r="F12" s="64"/>
    </row>
    <row r="13" spans="1:6" x14ac:dyDescent="0.35">
      <c r="A13" s="65">
        <v>12</v>
      </c>
      <c r="B13" s="66"/>
      <c r="C13" s="66"/>
      <c r="D13" s="66"/>
      <c r="E13" s="65"/>
      <c r="F13" s="64"/>
    </row>
    <row r="14" spans="1:6" x14ac:dyDescent="0.35">
      <c r="A14" s="65"/>
      <c r="B14" s="66"/>
      <c r="C14" s="66"/>
      <c r="D14" s="66"/>
      <c r="E14" s="65"/>
      <c r="F14" s="64"/>
    </row>
    <row r="15" spans="1:6" x14ac:dyDescent="0.35">
      <c r="A15" s="65"/>
      <c r="B15" s="66"/>
      <c r="C15" s="66"/>
      <c r="D15" s="66"/>
      <c r="E15" s="65"/>
      <c r="F15" s="64"/>
    </row>
    <row r="16" spans="1:6" x14ac:dyDescent="0.35">
      <c r="A16" s="65"/>
      <c r="B16" s="66"/>
      <c r="C16" s="66"/>
      <c r="D16" s="66"/>
      <c r="E16" s="65"/>
      <c r="F16" s="64"/>
    </row>
    <row r="17" spans="1:6" x14ac:dyDescent="0.35">
      <c r="A17" s="65"/>
      <c r="B17" s="66"/>
      <c r="C17" s="66"/>
      <c r="D17" s="66"/>
      <c r="E17" s="65"/>
      <c r="F17" s="64"/>
    </row>
    <row r="18" spans="1:6" x14ac:dyDescent="0.35">
      <c r="A18" s="65"/>
      <c r="B18" s="66"/>
      <c r="C18" s="66"/>
      <c r="D18" s="66"/>
      <c r="E18" s="65"/>
      <c r="F18" s="64"/>
    </row>
    <row r="19" spans="1:6" x14ac:dyDescent="0.35">
      <c r="A19" s="65"/>
      <c r="B19" s="66"/>
      <c r="C19" s="66"/>
      <c r="D19" s="66"/>
      <c r="E19" s="65"/>
      <c r="F19" s="64"/>
    </row>
    <row r="20" spans="1:6" x14ac:dyDescent="0.35">
      <c r="A20" s="65"/>
      <c r="B20" s="66"/>
      <c r="C20" s="66"/>
      <c r="D20" s="66"/>
      <c r="E20" s="65"/>
      <c r="F20" s="64"/>
    </row>
    <row r="21" spans="1:6" x14ac:dyDescent="0.35">
      <c r="A21" s="65"/>
      <c r="B21" s="66"/>
      <c r="C21" s="66"/>
      <c r="D21" s="66"/>
      <c r="E21" s="65"/>
      <c r="F21" s="64"/>
    </row>
    <row r="22" spans="1:6" x14ac:dyDescent="0.35">
      <c r="A22" s="65"/>
      <c r="B22" s="66"/>
      <c r="C22" s="66"/>
      <c r="D22" s="66"/>
      <c r="E22" s="65"/>
      <c r="F22" s="64"/>
    </row>
    <row r="23" spans="1:6" x14ac:dyDescent="0.35">
      <c r="A23" s="65"/>
      <c r="B23" s="66"/>
      <c r="C23" s="66"/>
      <c r="D23" s="66"/>
      <c r="E23" s="65"/>
      <c r="F23" s="64"/>
    </row>
    <row r="24" spans="1:6" x14ac:dyDescent="0.35">
      <c r="A24" s="65"/>
      <c r="B24" s="66"/>
      <c r="C24" s="66"/>
      <c r="D24" s="66"/>
      <c r="E24" s="65"/>
      <c r="F24" s="64"/>
    </row>
    <row r="25" spans="1:6" x14ac:dyDescent="0.35">
      <c r="A25" s="65"/>
      <c r="B25" s="66"/>
      <c r="C25" s="66"/>
      <c r="D25" s="66"/>
      <c r="E25" s="65"/>
      <c r="F25" s="64"/>
    </row>
    <row r="26" spans="1:6" x14ac:dyDescent="0.35">
      <c r="A26" s="65"/>
      <c r="B26" s="66"/>
      <c r="C26" s="66"/>
      <c r="D26" s="66"/>
      <c r="E26" s="65"/>
      <c r="F26" s="64"/>
    </row>
    <row r="27" spans="1:6" x14ac:dyDescent="0.35">
      <c r="A27" s="65"/>
      <c r="B27" s="66"/>
      <c r="C27" s="66"/>
      <c r="D27" s="66"/>
      <c r="E27" s="65"/>
      <c r="F27" s="64"/>
    </row>
    <row r="28" spans="1:6" x14ac:dyDescent="0.35">
      <c r="A28" s="65"/>
      <c r="B28" s="66"/>
      <c r="C28" s="66"/>
      <c r="D28" s="66"/>
      <c r="E28" s="65"/>
      <c r="F28" s="64"/>
    </row>
    <row r="29" spans="1:6" x14ac:dyDescent="0.35">
      <c r="A29" s="65"/>
      <c r="B29" s="66"/>
      <c r="C29" s="66"/>
      <c r="D29" s="66"/>
      <c r="E29" s="65"/>
      <c r="F29" s="64"/>
    </row>
    <row r="30" spans="1:6" x14ac:dyDescent="0.35">
      <c r="A30" s="65"/>
      <c r="B30" s="66"/>
      <c r="C30" s="66"/>
      <c r="D30" s="66"/>
      <c r="E30" s="65"/>
      <c r="F30" s="64"/>
    </row>
    <row r="31" spans="1:6" x14ac:dyDescent="0.35">
      <c r="A31" s="65"/>
      <c r="B31" s="66"/>
      <c r="C31" s="66"/>
      <c r="D31" s="66"/>
      <c r="E31" s="65"/>
      <c r="F31" s="64"/>
    </row>
    <row r="32" spans="1:6" x14ac:dyDescent="0.35">
      <c r="A32" s="65"/>
      <c r="B32" s="66"/>
      <c r="C32" s="66"/>
      <c r="D32" s="66"/>
      <c r="E32" s="65"/>
      <c r="F32" s="64"/>
    </row>
    <row r="33" spans="1:6" x14ac:dyDescent="0.35">
      <c r="A33" s="65"/>
      <c r="B33" s="66"/>
      <c r="C33" s="66"/>
      <c r="D33" s="66"/>
      <c r="E33" s="65"/>
      <c r="F33" s="64"/>
    </row>
    <row r="34" spans="1:6" x14ac:dyDescent="0.35">
      <c r="A34" s="65"/>
      <c r="B34" s="66"/>
      <c r="C34" s="66"/>
      <c r="D34" s="66"/>
      <c r="E34" s="65"/>
      <c r="F34" s="64"/>
    </row>
    <row r="35" spans="1:6" x14ac:dyDescent="0.35">
      <c r="A35" s="65"/>
      <c r="B35" s="66"/>
      <c r="C35" s="66"/>
      <c r="D35" s="66"/>
      <c r="E35" s="65"/>
      <c r="F35" s="64"/>
    </row>
    <row r="36" spans="1:6" x14ac:dyDescent="0.35">
      <c r="A36" s="65"/>
      <c r="B36" s="66"/>
      <c r="C36" s="66"/>
      <c r="D36" s="66"/>
      <c r="E36" s="65"/>
      <c r="F36" s="64"/>
    </row>
    <row r="37" spans="1:6" x14ac:dyDescent="0.35">
      <c r="A37" s="65"/>
      <c r="B37" s="66"/>
      <c r="C37" s="66"/>
      <c r="D37" s="66"/>
      <c r="E37" s="65"/>
      <c r="F37" s="64"/>
    </row>
    <row r="38" spans="1:6" x14ac:dyDescent="0.35">
      <c r="A38" s="65"/>
      <c r="B38" s="66"/>
      <c r="C38" s="66"/>
      <c r="D38" s="66"/>
      <c r="E38" s="65"/>
      <c r="F38" s="64"/>
    </row>
    <row r="39" spans="1:6" x14ac:dyDescent="0.35">
      <c r="A39" s="65"/>
      <c r="B39" s="66"/>
      <c r="C39" s="66"/>
      <c r="D39" s="66"/>
      <c r="E39" s="65"/>
      <c r="F39" s="64"/>
    </row>
    <row r="40" spans="1:6" x14ac:dyDescent="0.35">
      <c r="A40" s="65"/>
      <c r="B40" s="66"/>
      <c r="C40" s="66"/>
      <c r="D40" s="66"/>
      <c r="E40" s="65"/>
      <c r="F40" s="64"/>
    </row>
    <row r="41" spans="1:6" x14ac:dyDescent="0.35">
      <c r="A41" s="65"/>
      <c r="B41" s="66"/>
      <c r="C41" s="66"/>
      <c r="D41" s="66"/>
      <c r="E41" s="65"/>
      <c r="F41" s="64"/>
    </row>
    <row r="42" spans="1:6" x14ac:dyDescent="0.35">
      <c r="A42" s="65"/>
      <c r="B42" s="66"/>
      <c r="C42" s="66"/>
      <c r="D42" s="66"/>
      <c r="E42" s="65"/>
      <c r="F42" s="64"/>
    </row>
    <row r="43" spans="1:6" x14ac:dyDescent="0.35">
      <c r="A43" s="65"/>
      <c r="B43" s="66"/>
      <c r="C43" s="66"/>
      <c r="D43" s="66"/>
      <c r="E43" s="65"/>
      <c r="F43" s="64"/>
    </row>
    <row r="44" spans="1:6" x14ac:dyDescent="0.35">
      <c r="A44" s="65"/>
      <c r="B44" s="66"/>
      <c r="C44" s="66"/>
      <c r="D44" s="66"/>
      <c r="E44" s="65"/>
      <c r="F44" s="64"/>
    </row>
    <row r="45" spans="1:6" x14ac:dyDescent="0.35">
      <c r="A45" s="65"/>
      <c r="B45" s="66"/>
      <c r="C45" s="66"/>
      <c r="D45" s="66"/>
      <c r="E45" s="65"/>
      <c r="F45" s="64"/>
    </row>
    <row r="46" spans="1:6" x14ac:dyDescent="0.35">
      <c r="A46" s="65"/>
      <c r="B46" s="66"/>
      <c r="C46" s="66"/>
      <c r="D46" s="66"/>
      <c r="E46" s="65"/>
      <c r="F46" s="64"/>
    </row>
    <row r="47" spans="1:6" x14ac:dyDescent="0.35">
      <c r="A47" s="65"/>
      <c r="B47" s="66"/>
      <c r="C47" s="66"/>
      <c r="D47" s="66"/>
      <c r="E47" s="65"/>
      <c r="F47" s="64"/>
    </row>
    <row r="48" spans="1:6" x14ac:dyDescent="0.35">
      <c r="A48" s="65"/>
      <c r="B48" s="66"/>
      <c r="C48" s="66"/>
      <c r="D48" s="66"/>
      <c r="E48" s="65"/>
      <c r="F48" s="64"/>
    </row>
    <row r="49" spans="1:6" x14ac:dyDescent="0.35">
      <c r="A49" s="65"/>
      <c r="B49" s="66"/>
      <c r="C49" s="66"/>
      <c r="D49" s="66"/>
      <c r="E49" s="65"/>
      <c r="F49" s="64"/>
    </row>
    <row r="50" spans="1:6" x14ac:dyDescent="0.35">
      <c r="A50" s="65"/>
      <c r="B50" s="66"/>
      <c r="C50" s="66"/>
      <c r="D50" s="66"/>
      <c r="E50" s="65"/>
      <c r="F50" s="64"/>
    </row>
    <row r="51" spans="1:6" x14ac:dyDescent="0.35">
      <c r="A51" s="65"/>
      <c r="B51" s="66"/>
      <c r="C51" s="66"/>
      <c r="D51" s="66"/>
      <c r="E51" s="65"/>
      <c r="F51" s="64"/>
    </row>
    <row r="52" spans="1:6" x14ac:dyDescent="0.35">
      <c r="A52" s="65"/>
      <c r="B52" s="66"/>
      <c r="C52" s="66"/>
      <c r="D52" s="66"/>
      <c r="E52" s="65"/>
      <c r="F52" s="64"/>
    </row>
    <row r="53" spans="1:6" x14ac:dyDescent="0.35">
      <c r="A53" s="65"/>
      <c r="B53" s="66"/>
      <c r="C53" s="66"/>
      <c r="D53" s="66"/>
      <c r="E53" s="65"/>
      <c r="F53" s="64"/>
    </row>
    <row r="54" spans="1:6" x14ac:dyDescent="0.35">
      <c r="A54" s="65"/>
      <c r="B54" s="66"/>
      <c r="C54" s="66"/>
      <c r="D54" s="66"/>
      <c r="E54" s="65"/>
      <c r="F54" s="64"/>
    </row>
    <row r="55" spans="1:6" x14ac:dyDescent="0.35">
      <c r="A55" s="65"/>
      <c r="B55" s="66"/>
      <c r="C55" s="66"/>
      <c r="D55" s="66"/>
      <c r="E55" s="65"/>
      <c r="F55" s="64"/>
    </row>
    <row r="56" spans="1:6" x14ac:dyDescent="0.35">
      <c r="A56" s="65"/>
      <c r="B56" s="66"/>
      <c r="C56" s="66"/>
      <c r="D56" s="66"/>
      <c r="E56" s="65"/>
      <c r="F56" s="64"/>
    </row>
    <row r="57" spans="1:6" x14ac:dyDescent="0.35">
      <c r="A57" s="65"/>
      <c r="B57" s="66"/>
      <c r="C57" s="66"/>
      <c r="D57" s="66"/>
      <c r="E57" s="65"/>
      <c r="F57" s="64"/>
    </row>
    <row r="58" spans="1:6" x14ac:dyDescent="0.35">
      <c r="A58" s="65"/>
      <c r="B58" s="66"/>
      <c r="C58" s="66"/>
      <c r="D58" s="66"/>
      <c r="E58" s="65"/>
      <c r="F58" s="64"/>
    </row>
    <row r="59" spans="1:6" x14ac:dyDescent="0.35">
      <c r="A59" s="65"/>
      <c r="B59" s="66"/>
      <c r="C59" s="66"/>
      <c r="D59" s="66"/>
      <c r="E59" s="65"/>
      <c r="F59" s="64"/>
    </row>
    <row r="60" spans="1:6" x14ac:dyDescent="0.35">
      <c r="A60" s="65"/>
      <c r="B60" s="66"/>
      <c r="C60" s="66"/>
      <c r="D60" s="66"/>
      <c r="E60" s="65"/>
      <c r="F60" s="64"/>
    </row>
    <row r="61" spans="1:6" x14ac:dyDescent="0.35">
      <c r="A61" s="65"/>
      <c r="B61" s="66"/>
      <c r="C61" s="66"/>
      <c r="D61" s="66"/>
      <c r="E61" s="65"/>
      <c r="F61" s="64"/>
    </row>
    <row r="62" spans="1:6" x14ac:dyDescent="0.35">
      <c r="A62" s="65"/>
      <c r="B62" s="66"/>
      <c r="C62" s="66"/>
      <c r="D62" s="66"/>
      <c r="E62" s="65"/>
      <c r="F62" s="64"/>
    </row>
    <row r="63" spans="1:6" x14ac:dyDescent="0.35">
      <c r="A63" s="65"/>
      <c r="B63" s="66"/>
      <c r="C63" s="66"/>
      <c r="D63" s="66"/>
      <c r="E63" s="65"/>
      <c r="F63" s="64"/>
    </row>
    <row r="64" spans="1:6" x14ac:dyDescent="0.35">
      <c r="A64" s="65"/>
      <c r="B64" s="66"/>
      <c r="C64" s="66"/>
      <c r="D64" s="66"/>
      <c r="E64" s="65"/>
      <c r="F64" s="64"/>
    </row>
    <row r="65" spans="1:6" x14ac:dyDescent="0.35">
      <c r="A65" s="65"/>
      <c r="B65" s="66"/>
      <c r="C65" s="66"/>
      <c r="D65" s="66"/>
      <c r="E65" s="65"/>
      <c r="F65" s="64"/>
    </row>
    <row r="66" spans="1:6" x14ac:dyDescent="0.35">
      <c r="A66" s="65"/>
      <c r="B66" s="66"/>
      <c r="C66" s="66"/>
      <c r="D66" s="66"/>
      <c r="E66" s="65"/>
      <c r="F66" s="64"/>
    </row>
    <row r="67" spans="1:6" x14ac:dyDescent="0.35">
      <c r="A67" s="65"/>
      <c r="B67" s="66"/>
      <c r="C67" s="66"/>
      <c r="D67" s="66"/>
      <c r="E67" s="65"/>
      <c r="F67" s="64"/>
    </row>
    <row r="68" spans="1:6" x14ac:dyDescent="0.35">
      <c r="A68" s="65"/>
      <c r="B68" s="66"/>
      <c r="C68" s="66"/>
      <c r="D68" s="66"/>
      <c r="E68" s="65"/>
      <c r="F68" s="64"/>
    </row>
    <row r="69" spans="1:6" x14ac:dyDescent="0.35">
      <c r="A69" s="65"/>
      <c r="B69" s="66"/>
      <c r="C69" s="66"/>
      <c r="D69" s="66"/>
      <c r="E69" s="65"/>
      <c r="F69" s="64"/>
    </row>
    <row r="70" spans="1:6" x14ac:dyDescent="0.35">
      <c r="A70" s="65"/>
      <c r="B70" s="66"/>
      <c r="C70" s="66"/>
      <c r="D70" s="66"/>
      <c r="E70" s="65"/>
      <c r="F70" s="64"/>
    </row>
    <row r="71" spans="1:6" x14ac:dyDescent="0.35">
      <c r="A71" s="65"/>
      <c r="B71" s="66"/>
      <c r="C71" s="66"/>
      <c r="D71" s="66"/>
      <c r="E71" s="65"/>
      <c r="F71" s="64"/>
    </row>
    <row r="72" spans="1:6" x14ac:dyDescent="0.35">
      <c r="A72" s="65"/>
      <c r="B72" s="66"/>
      <c r="C72" s="66"/>
      <c r="D72" s="66"/>
      <c r="E72" s="65"/>
      <c r="F72" s="64"/>
    </row>
    <row r="73" spans="1:6" x14ac:dyDescent="0.35">
      <c r="A73" s="65"/>
      <c r="B73" s="66"/>
      <c r="C73" s="66"/>
      <c r="D73" s="66"/>
      <c r="E73" s="65"/>
      <c r="F73" s="64"/>
    </row>
    <row r="74" spans="1:6" x14ac:dyDescent="0.35">
      <c r="A74" s="65"/>
      <c r="B74" s="66"/>
      <c r="C74" s="66"/>
      <c r="D74" s="66"/>
      <c r="E74" s="65"/>
      <c r="F74" s="64"/>
    </row>
    <row r="75" spans="1:6" x14ac:dyDescent="0.35">
      <c r="A75" s="65"/>
      <c r="B75" s="66"/>
      <c r="C75" s="66"/>
      <c r="D75" s="66"/>
      <c r="E75" s="65"/>
      <c r="F75" s="64"/>
    </row>
    <row r="76" spans="1:6" x14ac:dyDescent="0.35">
      <c r="A76" s="65"/>
      <c r="B76" s="66"/>
      <c r="C76" s="66"/>
      <c r="D76" s="66"/>
      <c r="E76" s="65"/>
      <c r="F76" s="64"/>
    </row>
    <row r="77" spans="1:6" x14ac:dyDescent="0.35">
      <c r="A77" s="65"/>
      <c r="B77" s="66"/>
      <c r="C77" s="66"/>
      <c r="D77" s="66"/>
      <c r="E77" s="65"/>
      <c r="F77" s="64"/>
    </row>
    <row r="78" spans="1:6" x14ac:dyDescent="0.35">
      <c r="A78" s="65"/>
      <c r="B78" s="66"/>
      <c r="C78" s="66"/>
      <c r="D78" s="66"/>
      <c r="E78" s="65"/>
      <c r="F78" s="64"/>
    </row>
    <row r="79" spans="1:6" x14ac:dyDescent="0.35">
      <c r="A79" s="65"/>
      <c r="B79" s="66"/>
      <c r="C79" s="66"/>
      <c r="D79" s="66"/>
      <c r="E79" s="65"/>
      <c r="F79" s="64"/>
    </row>
    <row r="80" spans="1:6" x14ac:dyDescent="0.35">
      <c r="A80" s="65"/>
      <c r="B80" s="66"/>
      <c r="C80" s="66"/>
      <c r="D80" s="66"/>
      <c r="E80" s="65"/>
      <c r="F80" s="64"/>
    </row>
    <row r="81" spans="1:6" x14ac:dyDescent="0.35">
      <c r="A81" s="65"/>
      <c r="B81" s="66"/>
      <c r="C81" s="66"/>
      <c r="D81" s="66"/>
      <c r="E81" s="65"/>
      <c r="F81" s="64"/>
    </row>
    <row r="82" spans="1:6" x14ac:dyDescent="0.35">
      <c r="A82" s="65"/>
      <c r="B82" s="66"/>
      <c r="C82" s="66"/>
      <c r="D82" s="66"/>
      <c r="E82" s="65"/>
      <c r="F82" s="64"/>
    </row>
    <row r="83" spans="1:6" x14ac:dyDescent="0.35">
      <c r="A83" s="65"/>
      <c r="B83" s="66"/>
      <c r="C83" s="66"/>
      <c r="D83" s="66"/>
      <c r="E83" s="65"/>
      <c r="F83" s="64"/>
    </row>
    <row r="84" spans="1:6" x14ac:dyDescent="0.35">
      <c r="A84" s="65"/>
      <c r="B84" s="66"/>
      <c r="C84" s="66"/>
      <c r="D84" s="66"/>
      <c r="E84" s="65"/>
      <c r="F84" s="64"/>
    </row>
    <row r="85" spans="1:6" x14ac:dyDescent="0.35">
      <c r="A85" s="65"/>
      <c r="B85" s="66"/>
      <c r="C85" s="66"/>
      <c r="D85" s="66"/>
      <c r="E85" s="65"/>
      <c r="F85" s="64"/>
    </row>
    <row r="86" spans="1:6" x14ac:dyDescent="0.35">
      <c r="A86" s="65"/>
      <c r="B86" s="66"/>
      <c r="C86" s="66"/>
      <c r="D86" s="66"/>
      <c r="E86" s="65"/>
      <c r="F86" s="64"/>
    </row>
    <row r="87" spans="1:6" x14ac:dyDescent="0.35">
      <c r="A87" s="65"/>
      <c r="B87" s="66"/>
      <c r="C87" s="66"/>
      <c r="D87" s="66"/>
      <c r="E87" s="65"/>
      <c r="F87" s="64"/>
    </row>
    <row r="88" spans="1:6" x14ac:dyDescent="0.35">
      <c r="A88" s="65"/>
      <c r="B88" s="66"/>
      <c r="C88" s="66"/>
      <c r="D88" s="66"/>
      <c r="E88" s="65"/>
      <c r="F88" s="64"/>
    </row>
    <row r="89" spans="1:6" x14ac:dyDescent="0.35">
      <c r="A89" s="65"/>
      <c r="B89" s="66"/>
      <c r="C89" s="66"/>
      <c r="D89" s="66"/>
      <c r="E89" s="65"/>
      <c r="F89" s="64"/>
    </row>
    <row r="90" spans="1:6" x14ac:dyDescent="0.35">
      <c r="A90" s="65"/>
      <c r="B90" s="66"/>
      <c r="C90" s="66"/>
      <c r="D90" s="66"/>
      <c r="E90" s="65"/>
      <c r="F90" s="64"/>
    </row>
    <row r="91" spans="1:6" x14ac:dyDescent="0.35">
      <c r="A91" s="65"/>
      <c r="B91" s="66"/>
      <c r="C91" s="66"/>
      <c r="D91" s="66"/>
      <c r="E91" s="65"/>
      <c r="F91" s="64"/>
    </row>
    <row r="92" spans="1:6" x14ac:dyDescent="0.35">
      <c r="A92" s="65"/>
      <c r="B92" s="66"/>
      <c r="C92" s="66"/>
      <c r="D92" s="66"/>
      <c r="E92" s="65"/>
      <c r="F92" s="64"/>
    </row>
    <row r="93" spans="1:6" x14ac:dyDescent="0.35">
      <c r="A93" s="65"/>
      <c r="B93" s="66"/>
      <c r="C93" s="66"/>
      <c r="D93" s="66"/>
      <c r="E93" s="65"/>
      <c r="F93" s="64"/>
    </row>
    <row r="94" spans="1:6" x14ac:dyDescent="0.35">
      <c r="A94" s="65"/>
      <c r="B94" s="66"/>
      <c r="C94" s="66"/>
      <c r="D94" s="66"/>
      <c r="E94" s="65"/>
      <c r="F94" s="64"/>
    </row>
    <row r="95" spans="1:6" x14ac:dyDescent="0.35">
      <c r="A95" s="65"/>
      <c r="B95" s="66"/>
      <c r="C95" s="66"/>
      <c r="D95" s="66"/>
      <c r="E95" s="65"/>
      <c r="F95" s="64"/>
    </row>
    <row r="96" spans="1:6" x14ac:dyDescent="0.35">
      <c r="A96" s="65"/>
      <c r="B96" s="66"/>
      <c r="C96" s="66"/>
      <c r="D96" s="66"/>
      <c r="E96" s="65"/>
      <c r="F96" s="64"/>
    </row>
    <row r="97" spans="1:6" x14ac:dyDescent="0.35">
      <c r="A97" s="65"/>
      <c r="B97" s="66"/>
      <c r="C97" s="66"/>
      <c r="D97" s="66"/>
      <c r="E97" s="65"/>
      <c r="F97" s="64"/>
    </row>
    <row r="98" spans="1:6" x14ac:dyDescent="0.35">
      <c r="A98" s="65"/>
      <c r="B98" s="66"/>
      <c r="C98" s="66"/>
      <c r="D98" s="66"/>
      <c r="E98" s="65"/>
      <c r="F98" s="64"/>
    </row>
    <row r="99" spans="1:6" x14ac:dyDescent="0.35">
      <c r="A99" s="65"/>
      <c r="B99" s="66"/>
      <c r="C99" s="66"/>
      <c r="D99" s="66"/>
      <c r="E99" s="65"/>
      <c r="F99" s="64"/>
    </row>
    <row r="100" spans="1:6" x14ac:dyDescent="0.35">
      <c r="A100" s="65"/>
      <c r="B100" s="66"/>
      <c r="C100" s="66"/>
      <c r="D100" s="66"/>
      <c r="E100" s="65"/>
      <c r="F100" s="64"/>
    </row>
    <row r="101" spans="1:6" x14ac:dyDescent="0.35">
      <c r="A101" s="65"/>
      <c r="B101" s="66"/>
      <c r="C101" s="66"/>
      <c r="D101" s="66"/>
      <c r="E101" s="65"/>
      <c r="F101" s="64"/>
    </row>
    <row r="102" spans="1:6" x14ac:dyDescent="0.35">
      <c r="A102" s="65"/>
      <c r="B102" s="66"/>
      <c r="C102" s="66"/>
      <c r="D102" s="66"/>
      <c r="E102" s="65"/>
      <c r="F102" s="64"/>
    </row>
    <row r="103" spans="1:6" x14ac:dyDescent="0.35">
      <c r="A103" s="65"/>
      <c r="B103" s="66"/>
      <c r="C103" s="66"/>
      <c r="D103" s="66"/>
      <c r="E103" s="65"/>
      <c r="F103" s="64"/>
    </row>
    <row r="104" spans="1:6" x14ac:dyDescent="0.35">
      <c r="A104" s="65"/>
      <c r="B104" s="66"/>
      <c r="C104" s="66"/>
      <c r="D104" s="66"/>
      <c r="E104" s="65"/>
      <c r="F104" s="64"/>
    </row>
    <row r="105" spans="1:6" x14ac:dyDescent="0.35">
      <c r="A105" s="65"/>
      <c r="B105" s="66"/>
      <c r="C105" s="66"/>
      <c r="D105" s="66"/>
      <c r="E105" s="65"/>
      <c r="F105" s="64"/>
    </row>
    <row r="106" spans="1:6" x14ac:dyDescent="0.35">
      <c r="A106" s="65"/>
      <c r="B106" s="66"/>
      <c r="C106" s="66"/>
      <c r="D106" s="66"/>
      <c r="E106" s="65"/>
      <c r="F106" s="64"/>
    </row>
    <row r="107" spans="1:6" x14ac:dyDescent="0.35">
      <c r="A107" s="65"/>
      <c r="B107" s="66"/>
      <c r="C107" s="66"/>
      <c r="D107" s="66"/>
      <c r="E107" s="65"/>
      <c r="F107" s="64"/>
    </row>
    <row r="108" spans="1:6" x14ac:dyDescent="0.35">
      <c r="A108" s="65"/>
      <c r="B108" s="66"/>
      <c r="C108" s="66"/>
      <c r="D108" s="66"/>
      <c r="E108" s="65"/>
      <c r="F108" s="64"/>
    </row>
    <row r="109" spans="1:6" x14ac:dyDescent="0.35">
      <c r="A109" s="65"/>
      <c r="B109" s="66"/>
      <c r="C109" s="66"/>
      <c r="D109" s="66"/>
      <c r="E109" s="65"/>
      <c r="F109" s="64"/>
    </row>
    <row r="110" spans="1:6" x14ac:dyDescent="0.35">
      <c r="A110" s="65"/>
      <c r="B110" s="66"/>
      <c r="C110" s="66"/>
      <c r="D110" s="66"/>
      <c r="E110" s="65"/>
      <c r="F110" s="64"/>
    </row>
    <row r="111" spans="1:6" x14ac:dyDescent="0.35">
      <c r="A111" s="65"/>
      <c r="B111" s="66"/>
      <c r="C111" s="66"/>
      <c r="D111" s="66"/>
      <c r="E111" s="65"/>
      <c r="F111" s="64"/>
    </row>
    <row r="112" spans="1:6" x14ac:dyDescent="0.35">
      <c r="A112" s="65"/>
      <c r="B112" s="66"/>
      <c r="C112" s="66"/>
      <c r="D112" s="66"/>
      <c r="E112" s="65"/>
      <c r="F112" s="64"/>
    </row>
    <row r="113" spans="1:6" x14ac:dyDescent="0.35">
      <c r="A113" s="65"/>
      <c r="B113" s="66"/>
      <c r="C113" s="66"/>
      <c r="D113" s="66"/>
      <c r="E113" s="65"/>
      <c r="F113" s="64"/>
    </row>
    <row r="114" spans="1:6" x14ac:dyDescent="0.35">
      <c r="A114" s="65"/>
      <c r="B114" s="66"/>
      <c r="C114" s="66"/>
      <c r="D114" s="66"/>
      <c r="E114" s="65"/>
      <c r="F114" s="64"/>
    </row>
    <row r="115" spans="1:6" x14ac:dyDescent="0.35">
      <c r="A115" s="65"/>
      <c r="B115" s="66"/>
      <c r="C115" s="66"/>
      <c r="D115" s="66"/>
      <c r="E115" s="65"/>
      <c r="F115" s="64"/>
    </row>
    <row r="116" spans="1:6" x14ac:dyDescent="0.35">
      <c r="A116" s="65"/>
      <c r="B116" s="66"/>
      <c r="C116" s="66"/>
      <c r="D116" s="66"/>
      <c r="E116" s="65"/>
      <c r="F116" s="64"/>
    </row>
    <row r="117" spans="1:6" x14ac:dyDescent="0.35">
      <c r="A117" s="65"/>
      <c r="B117" s="66"/>
      <c r="C117" s="66"/>
      <c r="D117" s="66"/>
      <c r="E117" s="65"/>
      <c r="F117" s="64"/>
    </row>
    <row r="118" spans="1:6" x14ac:dyDescent="0.35">
      <c r="A118" s="65"/>
      <c r="B118" s="66"/>
      <c r="C118" s="66"/>
      <c r="D118" s="66"/>
      <c r="E118" s="65"/>
      <c r="F118" s="64"/>
    </row>
    <row r="119" spans="1:6" x14ac:dyDescent="0.35">
      <c r="A119" s="65"/>
      <c r="B119" s="66"/>
      <c r="C119" s="66"/>
      <c r="D119" s="66"/>
      <c r="E119" s="65"/>
      <c r="F119" s="64"/>
    </row>
    <row r="120" spans="1:6" x14ac:dyDescent="0.35">
      <c r="A120" s="65"/>
      <c r="B120" s="66"/>
      <c r="C120" s="66"/>
      <c r="D120" s="66"/>
      <c r="E120" s="65"/>
      <c r="F120" s="64"/>
    </row>
    <row r="121" spans="1:6" x14ac:dyDescent="0.35">
      <c r="A121" s="65"/>
      <c r="B121" s="66"/>
      <c r="C121" s="66"/>
      <c r="D121" s="66"/>
      <c r="E121" s="65"/>
      <c r="F121" s="64"/>
    </row>
    <row r="122" spans="1:6" x14ac:dyDescent="0.35">
      <c r="A122" s="65"/>
      <c r="B122" s="66"/>
      <c r="C122" s="66"/>
      <c r="D122" s="66"/>
      <c r="E122" s="65"/>
      <c r="F122" s="64"/>
    </row>
    <row r="123" spans="1:6" x14ac:dyDescent="0.35">
      <c r="A123" s="65"/>
      <c r="B123" s="66"/>
      <c r="C123" s="66"/>
      <c r="D123" s="66"/>
      <c r="E123" s="65"/>
      <c r="F123" s="64"/>
    </row>
    <row r="124" spans="1:6" x14ac:dyDescent="0.35">
      <c r="A124" s="65"/>
      <c r="B124" s="66"/>
      <c r="C124" s="66"/>
      <c r="D124" s="66"/>
      <c r="E124" s="65"/>
      <c r="F124" s="64"/>
    </row>
    <row r="125" spans="1:6" x14ac:dyDescent="0.35">
      <c r="A125" s="65"/>
      <c r="B125" s="66"/>
      <c r="C125" s="66"/>
      <c r="D125" s="66"/>
      <c r="E125" s="65"/>
      <c r="F125" s="64"/>
    </row>
    <row r="126" spans="1:6" x14ac:dyDescent="0.35">
      <c r="A126" s="65"/>
      <c r="B126" s="66"/>
      <c r="C126" s="66"/>
      <c r="D126" s="66"/>
      <c r="E126" s="65"/>
      <c r="F126" s="64"/>
    </row>
    <row r="127" spans="1:6" x14ac:dyDescent="0.35">
      <c r="A127" s="65"/>
      <c r="B127" s="66"/>
      <c r="C127" s="66"/>
      <c r="D127" s="66"/>
      <c r="E127" s="65"/>
      <c r="F127" s="64"/>
    </row>
    <row r="128" spans="1:6" x14ac:dyDescent="0.35">
      <c r="A128" s="65"/>
      <c r="B128" s="66"/>
      <c r="C128" s="66"/>
      <c r="D128" s="66"/>
      <c r="E128" s="65"/>
      <c r="F128" s="64"/>
    </row>
    <row r="129" spans="1:6" x14ac:dyDescent="0.35">
      <c r="A129" s="65"/>
      <c r="B129" s="66"/>
      <c r="C129" s="66"/>
      <c r="D129" s="66"/>
      <c r="E129" s="65"/>
      <c r="F129" s="64"/>
    </row>
    <row r="130" spans="1:6" x14ac:dyDescent="0.35">
      <c r="A130" s="65"/>
      <c r="B130" s="66"/>
      <c r="C130" s="66"/>
      <c r="D130" s="66"/>
      <c r="E130" s="65"/>
      <c r="F130" s="64"/>
    </row>
    <row r="131" spans="1:6" x14ac:dyDescent="0.35">
      <c r="A131" s="65"/>
      <c r="B131" s="66"/>
      <c r="C131" s="66"/>
      <c r="D131" s="66"/>
      <c r="E131" s="65"/>
      <c r="F131" s="64"/>
    </row>
    <row r="132" spans="1:6" x14ac:dyDescent="0.35">
      <c r="A132" s="65"/>
      <c r="B132" s="66"/>
      <c r="C132" s="66"/>
      <c r="D132" s="66"/>
      <c r="E132" s="65"/>
      <c r="F132" s="64"/>
    </row>
    <row r="133" spans="1:6" x14ac:dyDescent="0.35">
      <c r="A133" s="65"/>
      <c r="B133" s="66"/>
      <c r="C133" s="66"/>
      <c r="D133" s="66"/>
      <c r="E133" s="65"/>
      <c r="F133" s="64"/>
    </row>
    <row r="134" spans="1:6" x14ac:dyDescent="0.35">
      <c r="A134" s="65"/>
      <c r="B134" s="66"/>
      <c r="C134" s="66"/>
      <c r="D134" s="66"/>
      <c r="E134" s="65"/>
      <c r="F134" s="64"/>
    </row>
    <row r="135" spans="1:6" x14ac:dyDescent="0.35">
      <c r="A135" s="65"/>
      <c r="B135" s="66"/>
      <c r="C135" s="66"/>
      <c r="D135" s="66"/>
      <c r="E135" s="65"/>
      <c r="F135" s="64"/>
    </row>
    <row r="136" spans="1:6" x14ac:dyDescent="0.35">
      <c r="A136" s="65"/>
      <c r="B136" s="66"/>
      <c r="C136" s="66"/>
      <c r="D136" s="66"/>
      <c r="E136" s="65"/>
      <c r="F136" s="64"/>
    </row>
    <row r="137" spans="1:6" x14ac:dyDescent="0.35">
      <c r="A137" s="65"/>
      <c r="B137" s="66"/>
      <c r="C137" s="66"/>
      <c r="D137" s="66"/>
      <c r="E137" s="65"/>
      <c r="F137" s="64"/>
    </row>
    <row r="138" spans="1:6" x14ac:dyDescent="0.35">
      <c r="A138" s="65"/>
      <c r="B138" s="66"/>
      <c r="C138" s="66"/>
      <c r="D138" s="66"/>
      <c r="E138" s="65"/>
      <c r="F138" s="64"/>
    </row>
    <row r="139" spans="1:6" x14ac:dyDescent="0.35">
      <c r="A139" s="65"/>
      <c r="B139" s="66"/>
      <c r="C139" s="66"/>
      <c r="D139" s="66"/>
      <c r="E139" s="65"/>
      <c r="F139" s="64"/>
    </row>
    <row r="140" spans="1:6" x14ac:dyDescent="0.35">
      <c r="A140" s="65"/>
      <c r="B140" s="66"/>
      <c r="C140" s="66"/>
      <c r="D140" s="66"/>
      <c r="E140" s="65"/>
      <c r="F140" s="64"/>
    </row>
    <row r="141" spans="1:6" x14ac:dyDescent="0.35">
      <c r="A141" s="65"/>
      <c r="B141" s="66"/>
      <c r="C141" s="66"/>
      <c r="D141" s="66"/>
      <c r="E141" s="65"/>
      <c r="F141" s="64"/>
    </row>
    <row r="142" spans="1:6" x14ac:dyDescent="0.35">
      <c r="A142" s="65"/>
      <c r="B142" s="66"/>
      <c r="C142" s="66"/>
      <c r="D142" s="66"/>
      <c r="E142" s="65"/>
      <c r="F142" s="64"/>
    </row>
    <row r="143" spans="1:6" x14ac:dyDescent="0.35">
      <c r="A143" s="65"/>
      <c r="B143" s="66"/>
      <c r="C143" s="66"/>
      <c r="D143" s="66"/>
      <c r="E143" s="65"/>
      <c r="F143" s="64"/>
    </row>
    <row r="144" spans="1:6" x14ac:dyDescent="0.35">
      <c r="A144" s="65"/>
      <c r="B144" s="66"/>
      <c r="C144" s="66"/>
      <c r="D144" s="66"/>
      <c r="E144" s="65"/>
      <c r="F144" s="64"/>
    </row>
    <row r="145" spans="1:6" x14ac:dyDescent="0.35">
      <c r="A145" s="65"/>
      <c r="B145" s="66"/>
      <c r="C145" s="66"/>
      <c r="D145" s="66"/>
      <c r="E145" s="65"/>
      <c r="F145" s="64"/>
    </row>
    <row r="146" spans="1:6" x14ac:dyDescent="0.35">
      <c r="A146" s="65"/>
      <c r="B146" s="66"/>
      <c r="C146" s="66"/>
      <c r="D146" s="66"/>
      <c r="E146" s="65"/>
      <c r="F146" s="64"/>
    </row>
    <row r="147" spans="1:6" x14ac:dyDescent="0.35">
      <c r="A147" s="65"/>
      <c r="B147" s="66"/>
      <c r="C147" s="66"/>
      <c r="D147" s="66"/>
      <c r="E147" s="65"/>
      <c r="F147" s="64"/>
    </row>
    <row r="148" spans="1:6" x14ac:dyDescent="0.35">
      <c r="A148" s="65"/>
      <c r="B148" s="66"/>
      <c r="C148" s="66"/>
      <c r="D148" s="66"/>
      <c r="E148" s="65"/>
      <c r="F148" s="64"/>
    </row>
    <row r="149" spans="1:6" x14ac:dyDescent="0.35">
      <c r="A149" s="65"/>
      <c r="B149" s="66"/>
      <c r="C149" s="66"/>
      <c r="D149" s="66"/>
      <c r="E149" s="65"/>
      <c r="F149" s="64"/>
    </row>
    <row r="150" spans="1:6" x14ac:dyDescent="0.35">
      <c r="A150" s="65"/>
      <c r="B150" s="66"/>
      <c r="C150" s="66"/>
      <c r="D150" s="66"/>
      <c r="E150" s="65"/>
      <c r="F150" s="64"/>
    </row>
    <row r="151" spans="1:6" x14ac:dyDescent="0.35">
      <c r="A151" s="65"/>
      <c r="B151" s="66"/>
      <c r="C151" s="66"/>
      <c r="D151" s="66"/>
      <c r="E151" s="65"/>
      <c r="F151" s="64"/>
    </row>
    <row r="152" spans="1:6" x14ac:dyDescent="0.35">
      <c r="A152" s="65"/>
      <c r="B152" s="66"/>
      <c r="C152" s="66"/>
      <c r="D152" s="66"/>
      <c r="E152" s="65"/>
      <c r="F152" s="64"/>
    </row>
    <row r="153" spans="1:6" x14ac:dyDescent="0.35">
      <c r="A153" s="65"/>
      <c r="B153" s="66"/>
      <c r="C153" s="66"/>
      <c r="D153" s="66"/>
      <c r="E153" s="65"/>
      <c r="F153" s="64"/>
    </row>
    <row r="154" spans="1:6" x14ac:dyDescent="0.35">
      <c r="A154" s="65"/>
      <c r="B154" s="66"/>
      <c r="C154" s="66"/>
      <c r="D154" s="66"/>
      <c r="E154" s="65"/>
      <c r="F154" s="64"/>
    </row>
    <row r="155" spans="1:6" x14ac:dyDescent="0.35">
      <c r="A155" s="65"/>
      <c r="B155" s="66"/>
      <c r="C155" s="66"/>
      <c r="D155" s="66"/>
      <c r="E155" s="65"/>
      <c r="F155" s="64"/>
    </row>
    <row r="156" spans="1:6" x14ac:dyDescent="0.35">
      <c r="A156" s="65"/>
      <c r="B156" s="66"/>
      <c r="C156" s="66"/>
      <c r="D156" s="66"/>
      <c r="E156" s="65"/>
      <c r="F156" s="64"/>
    </row>
    <row r="157" spans="1:6" x14ac:dyDescent="0.35">
      <c r="A157" s="65"/>
      <c r="B157" s="66"/>
      <c r="C157" s="66"/>
      <c r="D157" s="66"/>
      <c r="E157" s="65"/>
      <c r="F157" s="64"/>
    </row>
    <row r="158" spans="1:6" x14ac:dyDescent="0.35">
      <c r="A158" s="65"/>
      <c r="B158" s="66"/>
      <c r="C158" s="66"/>
      <c r="D158" s="66"/>
      <c r="E158" s="65"/>
      <c r="F158" s="64"/>
    </row>
    <row r="159" spans="1:6" x14ac:dyDescent="0.35">
      <c r="A159" s="65"/>
      <c r="B159" s="66"/>
      <c r="C159" s="66"/>
      <c r="D159" s="66"/>
      <c r="E159" s="65"/>
      <c r="F159" s="64"/>
    </row>
    <row r="160" spans="1:6" x14ac:dyDescent="0.35">
      <c r="A160" s="65"/>
      <c r="B160" s="66"/>
      <c r="C160" s="66"/>
      <c r="D160" s="66"/>
      <c r="E160" s="65"/>
      <c r="F160" s="64"/>
    </row>
    <row r="161" spans="1:6" x14ac:dyDescent="0.35">
      <c r="A161" s="65"/>
      <c r="B161" s="66"/>
      <c r="C161" s="66"/>
      <c r="D161" s="66"/>
      <c r="E161" s="65"/>
      <c r="F161" s="64"/>
    </row>
    <row r="162" spans="1:6" x14ac:dyDescent="0.35">
      <c r="A162" s="65"/>
      <c r="B162" s="66"/>
      <c r="C162" s="66"/>
      <c r="D162" s="66"/>
      <c r="E162" s="65"/>
      <c r="F162" s="64"/>
    </row>
    <row r="163" spans="1:6" x14ac:dyDescent="0.35">
      <c r="A163" s="65"/>
      <c r="B163" s="66"/>
      <c r="C163" s="66"/>
      <c r="D163" s="66"/>
      <c r="E163" s="65"/>
      <c r="F163" s="64"/>
    </row>
    <row r="164" spans="1:6" x14ac:dyDescent="0.35">
      <c r="A164" s="65"/>
      <c r="B164" s="66"/>
      <c r="C164" s="66"/>
      <c r="D164" s="66"/>
      <c r="E164" s="65"/>
      <c r="F164" s="64"/>
    </row>
    <row r="165" spans="1:6" x14ac:dyDescent="0.35">
      <c r="A165" s="65"/>
      <c r="B165" s="66"/>
      <c r="C165" s="66"/>
      <c r="D165" s="66"/>
      <c r="E165" s="65"/>
      <c r="F165" s="64"/>
    </row>
    <row r="166" spans="1:6" x14ac:dyDescent="0.35">
      <c r="A166" s="65"/>
      <c r="B166" s="66"/>
      <c r="C166" s="66"/>
      <c r="D166" s="66"/>
      <c r="E166" s="65"/>
      <c r="F166" s="64"/>
    </row>
    <row r="167" spans="1:6" x14ac:dyDescent="0.35">
      <c r="A167" s="65"/>
      <c r="B167" s="66"/>
      <c r="C167" s="66"/>
      <c r="D167" s="66"/>
      <c r="E167" s="65"/>
      <c r="F167" s="64"/>
    </row>
    <row r="168" spans="1:6" x14ac:dyDescent="0.35">
      <c r="A168" s="65"/>
      <c r="B168" s="66"/>
      <c r="C168" s="66"/>
      <c r="D168" s="66"/>
      <c r="E168" s="65"/>
      <c r="F168" s="64"/>
    </row>
    <row r="169" spans="1:6" x14ac:dyDescent="0.35">
      <c r="A169" s="65"/>
      <c r="B169" s="66"/>
      <c r="C169" s="66"/>
      <c r="D169" s="66"/>
      <c r="E169" s="65"/>
      <c r="F169" s="64"/>
    </row>
    <row r="170" spans="1:6" x14ac:dyDescent="0.35">
      <c r="A170" s="65"/>
      <c r="B170" s="66"/>
      <c r="C170" s="66"/>
      <c r="D170" s="66"/>
      <c r="E170" s="65"/>
      <c r="F170" s="64"/>
    </row>
    <row r="171" spans="1:6" x14ac:dyDescent="0.35">
      <c r="A171" s="65"/>
      <c r="B171" s="66"/>
      <c r="C171" s="66"/>
      <c r="D171" s="66"/>
      <c r="E171" s="65"/>
      <c r="F171" s="64"/>
    </row>
    <row r="172" spans="1:6" x14ac:dyDescent="0.35">
      <c r="A172" s="65"/>
      <c r="B172" s="66"/>
      <c r="C172" s="66"/>
      <c r="D172" s="66"/>
      <c r="E172" s="65"/>
      <c r="F172" s="64"/>
    </row>
    <row r="173" spans="1:6" x14ac:dyDescent="0.35">
      <c r="A173" s="65"/>
      <c r="B173" s="66"/>
      <c r="C173" s="66"/>
      <c r="D173" s="66"/>
      <c r="E173" s="65"/>
      <c r="F173" s="64"/>
    </row>
    <row r="174" spans="1:6" x14ac:dyDescent="0.35">
      <c r="A174" s="65"/>
      <c r="B174" s="66"/>
      <c r="C174" s="66"/>
      <c r="D174" s="66"/>
      <c r="E174" s="65"/>
      <c r="F174" s="64"/>
    </row>
    <row r="175" spans="1:6" x14ac:dyDescent="0.35">
      <c r="A175" s="65"/>
      <c r="B175" s="66"/>
      <c r="C175" s="66"/>
      <c r="D175" s="66"/>
      <c r="E175" s="65"/>
      <c r="F175" s="64"/>
    </row>
    <row r="176" spans="1:6" x14ac:dyDescent="0.35">
      <c r="A176" s="65"/>
      <c r="B176" s="66"/>
      <c r="C176" s="66"/>
      <c r="D176" s="66"/>
      <c r="E176" s="65"/>
      <c r="F176" s="64"/>
    </row>
    <row r="177" spans="1:6" x14ac:dyDescent="0.35">
      <c r="A177" s="65"/>
      <c r="B177" s="66"/>
      <c r="C177" s="66"/>
      <c r="D177" s="66"/>
      <c r="E177" s="65"/>
      <c r="F177" s="64"/>
    </row>
    <row r="178" spans="1:6" x14ac:dyDescent="0.35">
      <c r="A178" s="65"/>
      <c r="B178" s="66"/>
      <c r="C178" s="66"/>
      <c r="D178" s="66"/>
      <c r="E178" s="65"/>
      <c r="F178" s="64"/>
    </row>
    <row r="179" spans="1:6" x14ac:dyDescent="0.35">
      <c r="A179" s="65"/>
      <c r="B179" s="66"/>
      <c r="C179" s="66"/>
      <c r="D179" s="66"/>
      <c r="E179" s="65"/>
      <c r="F179" s="64"/>
    </row>
    <row r="180" spans="1:6" x14ac:dyDescent="0.35">
      <c r="A180" s="65"/>
      <c r="B180" s="66"/>
      <c r="C180" s="66"/>
      <c r="D180" s="66"/>
      <c r="E180" s="65"/>
      <c r="F180" s="64"/>
    </row>
    <row r="181" spans="1:6" x14ac:dyDescent="0.35">
      <c r="A181" s="65"/>
      <c r="B181" s="66"/>
      <c r="C181" s="66"/>
      <c r="D181" s="66"/>
      <c r="E181" s="65"/>
      <c r="F181" s="64"/>
    </row>
    <row r="182" spans="1:6" x14ac:dyDescent="0.35">
      <c r="A182" s="65"/>
      <c r="B182" s="66"/>
      <c r="C182" s="66"/>
      <c r="D182" s="66"/>
      <c r="E182" s="65"/>
      <c r="F182" s="64"/>
    </row>
    <row r="183" spans="1:6" x14ac:dyDescent="0.35">
      <c r="A183" s="65"/>
      <c r="B183" s="66"/>
      <c r="C183" s="66"/>
      <c r="D183" s="66"/>
      <c r="E183" s="65"/>
      <c r="F183" s="64"/>
    </row>
    <row r="184" spans="1:6" x14ac:dyDescent="0.35">
      <c r="A184" s="65"/>
      <c r="B184" s="66"/>
      <c r="C184" s="66"/>
      <c r="D184" s="66"/>
      <c r="E184" s="65"/>
      <c r="F184" s="64"/>
    </row>
    <row r="185" spans="1:6" x14ac:dyDescent="0.35">
      <c r="A185" s="65"/>
      <c r="B185" s="66"/>
      <c r="C185" s="66"/>
      <c r="D185" s="66"/>
      <c r="E185" s="65"/>
      <c r="F185" s="64"/>
    </row>
    <row r="186" spans="1:6" x14ac:dyDescent="0.35">
      <c r="A186" s="65"/>
      <c r="B186" s="66"/>
      <c r="C186" s="66"/>
      <c r="D186" s="66"/>
      <c r="E186" s="65"/>
      <c r="F186" s="64"/>
    </row>
    <row r="187" spans="1:6" x14ac:dyDescent="0.35">
      <c r="A187" s="65"/>
      <c r="B187" s="66"/>
      <c r="C187" s="66"/>
      <c r="D187" s="66"/>
      <c r="E187" s="65"/>
      <c r="F187" s="64"/>
    </row>
    <row r="188" spans="1:6" x14ac:dyDescent="0.35">
      <c r="A188" s="65"/>
      <c r="B188" s="66"/>
      <c r="C188" s="66"/>
      <c r="D188" s="66"/>
      <c r="E188" s="65"/>
      <c r="F188" s="64"/>
    </row>
    <row r="189" spans="1:6" x14ac:dyDescent="0.35">
      <c r="A189" s="65"/>
      <c r="B189" s="66"/>
      <c r="C189" s="66"/>
      <c r="D189" s="66"/>
      <c r="E189" s="65"/>
      <c r="F189" s="64"/>
    </row>
    <row r="190" spans="1:6" x14ac:dyDescent="0.35">
      <c r="A190" s="65"/>
      <c r="B190" s="66"/>
      <c r="C190" s="66"/>
      <c r="D190" s="66"/>
      <c r="E190" s="65"/>
      <c r="F190" s="64"/>
    </row>
    <row r="191" spans="1:6" x14ac:dyDescent="0.35">
      <c r="A191" s="65"/>
      <c r="B191" s="66"/>
      <c r="C191" s="66"/>
      <c r="D191" s="66"/>
      <c r="E191" s="65"/>
      <c r="F191" s="64"/>
    </row>
    <row r="192" spans="1:6" x14ac:dyDescent="0.35">
      <c r="A192" s="65"/>
      <c r="B192" s="66"/>
      <c r="C192" s="66"/>
      <c r="D192" s="66"/>
      <c r="E192" s="65"/>
      <c r="F192" s="64"/>
    </row>
    <row r="193" spans="1:6" x14ac:dyDescent="0.35">
      <c r="A193" s="65"/>
      <c r="B193" s="66"/>
      <c r="C193" s="66"/>
      <c r="D193" s="66"/>
      <c r="E193" s="65"/>
      <c r="F193" s="64"/>
    </row>
    <row r="194" spans="1:6" x14ac:dyDescent="0.35">
      <c r="A194" s="65"/>
      <c r="B194" s="66"/>
      <c r="C194" s="66"/>
      <c r="D194" s="66"/>
      <c r="E194" s="65"/>
      <c r="F194" s="64"/>
    </row>
    <row r="195" spans="1:6" x14ac:dyDescent="0.35">
      <c r="A195" s="65"/>
      <c r="B195" s="66"/>
      <c r="C195" s="66"/>
      <c r="D195" s="66"/>
      <c r="E195" s="65"/>
      <c r="F195" s="64"/>
    </row>
    <row r="196" spans="1:6" x14ac:dyDescent="0.35">
      <c r="A196" s="65"/>
      <c r="B196" s="66"/>
      <c r="C196" s="66"/>
      <c r="D196" s="66"/>
      <c r="E196" s="65"/>
      <c r="F196" s="64"/>
    </row>
    <row r="197" spans="1:6" x14ac:dyDescent="0.35">
      <c r="A197" s="65"/>
      <c r="B197" s="66"/>
      <c r="C197" s="66"/>
      <c r="D197" s="66"/>
      <c r="E197" s="65"/>
      <c r="F197" s="64"/>
    </row>
    <row r="198" spans="1:6" x14ac:dyDescent="0.35">
      <c r="A198" s="65"/>
      <c r="B198" s="66"/>
      <c r="C198" s="66"/>
      <c r="D198" s="66"/>
      <c r="E198" s="65"/>
      <c r="F198" s="64"/>
    </row>
    <row r="199" spans="1:6" x14ac:dyDescent="0.35">
      <c r="A199" s="65"/>
      <c r="B199" s="66"/>
      <c r="C199" s="66"/>
      <c r="D199" s="66"/>
      <c r="E199" s="65"/>
      <c r="F199" s="64"/>
    </row>
    <row r="200" spans="1:6" x14ac:dyDescent="0.35">
      <c r="A200" s="65"/>
      <c r="B200" s="66"/>
      <c r="C200" s="66"/>
      <c r="D200" s="66"/>
      <c r="E200" s="65"/>
      <c r="F200" s="64"/>
    </row>
    <row r="201" spans="1:6" x14ac:dyDescent="0.35">
      <c r="A201" s="65"/>
      <c r="B201" s="66"/>
      <c r="C201" s="66"/>
      <c r="D201" s="66"/>
      <c r="E201" s="65"/>
      <c r="F201" s="64"/>
    </row>
    <row r="202" spans="1:6" x14ac:dyDescent="0.35">
      <c r="A202" s="65"/>
      <c r="B202" s="66"/>
      <c r="C202" s="66"/>
      <c r="D202" s="66"/>
      <c r="E202" s="65"/>
      <c r="F202" s="64"/>
    </row>
    <row r="203" spans="1:6" x14ac:dyDescent="0.35">
      <c r="A203" s="65"/>
      <c r="B203" s="66"/>
      <c r="C203" s="66"/>
      <c r="D203" s="66"/>
      <c r="E203" s="65"/>
      <c r="F203" s="64"/>
    </row>
    <row r="204" spans="1:6" x14ac:dyDescent="0.35">
      <c r="A204" s="65"/>
      <c r="B204" s="66"/>
      <c r="C204" s="66"/>
      <c r="D204" s="66"/>
      <c r="E204" s="65"/>
      <c r="F204" s="64"/>
    </row>
    <row r="205" spans="1:6" x14ac:dyDescent="0.35">
      <c r="A205" s="65"/>
      <c r="B205" s="66"/>
      <c r="C205" s="66"/>
      <c r="D205" s="66"/>
      <c r="E205" s="65"/>
      <c r="F205" s="64"/>
    </row>
    <row r="206" spans="1:6" x14ac:dyDescent="0.35">
      <c r="A206" s="65"/>
      <c r="B206" s="66"/>
      <c r="C206" s="66"/>
      <c r="D206" s="66"/>
      <c r="E206" s="65"/>
      <c r="F206" s="64"/>
    </row>
    <row r="207" spans="1:6" x14ac:dyDescent="0.35">
      <c r="A207" s="65"/>
      <c r="B207" s="66"/>
      <c r="C207" s="66"/>
      <c r="D207" s="66"/>
      <c r="E207" s="65"/>
      <c r="F207" s="64"/>
    </row>
    <row r="208" spans="1:6" x14ac:dyDescent="0.35">
      <c r="A208" s="65"/>
      <c r="B208" s="66"/>
      <c r="C208" s="66"/>
      <c r="D208" s="66"/>
      <c r="E208" s="65"/>
      <c r="F208" s="64"/>
    </row>
    <row r="209" spans="1:6" x14ac:dyDescent="0.35">
      <c r="A209" s="65"/>
      <c r="B209" s="66"/>
      <c r="C209" s="66"/>
      <c r="D209" s="66"/>
      <c r="E209" s="65"/>
      <c r="F209" s="64"/>
    </row>
    <row r="210" spans="1:6" x14ac:dyDescent="0.35">
      <c r="A210" s="65"/>
      <c r="B210" s="66"/>
      <c r="C210" s="66"/>
      <c r="D210" s="66"/>
      <c r="E210" s="65"/>
      <c r="F210" s="64"/>
    </row>
    <row r="211" spans="1:6" x14ac:dyDescent="0.35">
      <c r="A211" s="65"/>
      <c r="B211" s="66"/>
      <c r="C211" s="66"/>
      <c r="D211" s="66"/>
      <c r="E211" s="65"/>
      <c r="F211" s="64"/>
    </row>
    <row r="212" spans="1:6" x14ac:dyDescent="0.35">
      <c r="A212" s="65"/>
      <c r="B212" s="66"/>
      <c r="C212" s="66"/>
      <c r="D212" s="66"/>
      <c r="E212" s="65"/>
      <c r="F212" s="64"/>
    </row>
    <row r="213" spans="1:6" x14ac:dyDescent="0.35">
      <c r="A213" s="65"/>
      <c r="B213" s="66"/>
      <c r="C213" s="66"/>
      <c r="D213" s="66"/>
      <c r="E213" s="65"/>
      <c r="F213" s="64"/>
    </row>
    <row r="214" spans="1:6" x14ac:dyDescent="0.35">
      <c r="A214" s="65"/>
      <c r="B214" s="66"/>
      <c r="C214" s="66"/>
      <c r="D214" s="66"/>
      <c r="E214" s="65"/>
      <c r="F214" s="64"/>
    </row>
    <row r="215" spans="1:6" x14ac:dyDescent="0.35">
      <c r="A215" s="65"/>
      <c r="B215" s="66"/>
      <c r="C215" s="66"/>
      <c r="D215" s="66"/>
      <c r="E215" s="65"/>
      <c r="F215" s="64"/>
    </row>
    <row r="216" spans="1:6" x14ac:dyDescent="0.35">
      <c r="A216" s="65"/>
      <c r="B216" s="66"/>
      <c r="C216" s="66"/>
      <c r="D216" s="66"/>
      <c r="E216" s="65"/>
      <c r="F216" s="64"/>
    </row>
    <row r="217" spans="1:6" x14ac:dyDescent="0.35">
      <c r="A217" s="65"/>
      <c r="B217" s="66"/>
      <c r="C217" s="66"/>
      <c r="D217" s="66"/>
      <c r="E217" s="65"/>
      <c r="F217" s="64"/>
    </row>
    <row r="218" spans="1:6" x14ac:dyDescent="0.35">
      <c r="A218" s="65"/>
      <c r="B218" s="66"/>
      <c r="C218" s="66"/>
      <c r="D218" s="66"/>
      <c r="E218" s="65"/>
      <c r="F218" s="64"/>
    </row>
    <row r="219" spans="1:6" x14ac:dyDescent="0.35">
      <c r="A219" s="65"/>
      <c r="B219" s="66"/>
      <c r="C219" s="66"/>
      <c r="D219" s="66"/>
      <c r="E219" s="65"/>
      <c r="F219" s="64"/>
    </row>
    <row r="220" spans="1:6" x14ac:dyDescent="0.35">
      <c r="A220" s="65"/>
      <c r="B220" s="66"/>
      <c r="C220" s="66"/>
      <c r="D220" s="66"/>
      <c r="E220" s="65"/>
      <c r="F220" s="64"/>
    </row>
    <row r="221" spans="1:6" x14ac:dyDescent="0.35">
      <c r="A221" s="65"/>
      <c r="B221" s="66"/>
      <c r="C221" s="66"/>
      <c r="D221" s="66"/>
      <c r="E221" s="65"/>
      <c r="F221" s="64"/>
    </row>
    <row r="222" spans="1:6" x14ac:dyDescent="0.35">
      <c r="A222" s="65"/>
      <c r="B222" s="66"/>
      <c r="C222" s="66"/>
      <c r="D222" s="66"/>
      <c r="E222" s="65"/>
      <c r="F222" s="64"/>
    </row>
    <row r="223" spans="1:6" x14ac:dyDescent="0.35">
      <c r="A223" s="65"/>
      <c r="B223" s="66"/>
      <c r="C223" s="66"/>
      <c r="D223" s="66"/>
      <c r="E223" s="65"/>
      <c r="F223" s="64"/>
    </row>
    <row r="224" spans="1:6" x14ac:dyDescent="0.35">
      <c r="A224" s="65"/>
      <c r="B224" s="66"/>
      <c r="C224" s="66"/>
      <c r="D224" s="66"/>
      <c r="E224" s="65"/>
      <c r="F224" s="64"/>
    </row>
    <row r="225" spans="1:6" x14ac:dyDescent="0.35">
      <c r="A225" s="65"/>
      <c r="B225" s="66"/>
      <c r="C225" s="66"/>
      <c r="D225" s="66"/>
      <c r="E225" s="65"/>
      <c r="F225" s="64"/>
    </row>
    <row r="226" spans="1:6" x14ac:dyDescent="0.35">
      <c r="A226" s="65"/>
      <c r="B226" s="66"/>
      <c r="C226" s="66"/>
      <c r="D226" s="66"/>
      <c r="E226" s="65"/>
      <c r="F226" s="64"/>
    </row>
    <row r="227" spans="1:6" x14ac:dyDescent="0.35">
      <c r="A227" s="65"/>
      <c r="B227" s="66"/>
      <c r="C227" s="66"/>
      <c r="D227" s="66"/>
      <c r="E227" s="65"/>
      <c r="F227" s="64"/>
    </row>
    <row r="228" spans="1:6" x14ac:dyDescent="0.35">
      <c r="A228" s="65"/>
      <c r="B228" s="66"/>
      <c r="C228" s="66"/>
      <c r="D228" s="66"/>
      <c r="E228" s="65"/>
      <c r="F228" s="64"/>
    </row>
    <row r="229" spans="1:6" x14ac:dyDescent="0.35">
      <c r="A229" s="65"/>
      <c r="B229" s="66"/>
      <c r="C229" s="66"/>
      <c r="D229" s="66"/>
      <c r="E229" s="65"/>
      <c r="F229" s="64"/>
    </row>
    <row r="230" spans="1:6" x14ac:dyDescent="0.35">
      <c r="A230" s="65"/>
      <c r="B230" s="66"/>
      <c r="C230" s="66"/>
      <c r="D230" s="66"/>
      <c r="E230" s="65"/>
      <c r="F230" s="64"/>
    </row>
    <row r="231" spans="1:6" x14ac:dyDescent="0.35">
      <c r="A231" s="65"/>
      <c r="B231" s="66"/>
      <c r="C231" s="66"/>
      <c r="D231" s="66"/>
      <c r="E231" s="65"/>
      <c r="F231" s="64"/>
    </row>
    <row r="232" spans="1:6" x14ac:dyDescent="0.35">
      <c r="A232" s="65"/>
      <c r="B232" s="66"/>
      <c r="C232" s="66"/>
      <c r="D232" s="66"/>
      <c r="E232" s="65"/>
      <c r="F232" s="64"/>
    </row>
    <row r="233" spans="1:6" x14ac:dyDescent="0.35">
      <c r="A233" s="65"/>
      <c r="B233" s="66"/>
      <c r="C233" s="66"/>
      <c r="D233" s="66"/>
      <c r="E233" s="65"/>
      <c r="F233" s="64"/>
    </row>
    <row r="234" spans="1:6" x14ac:dyDescent="0.35">
      <c r="A234" s="65"/>
      <c r="B234" s="66"/>
      <c r="C234" s="66"/>
      <c r="D234" s="66"/>
      <c r="E234" s="65"/>
      <c r="F234" s="64"/>
    </row>
    <row r="235" spans="1:6" x14ac:dyDescent="0.35">
      <c r="A235" s="65"/>
      <c r="B235" s="66"/>
      <c r="C235" s="66"/>
      <c r="D235" s="66"/>
      <c r="E235" s="65"/>
      <c r="F235" s="64"/>
    </row>
    <row r="236" spans="1:6" x14ac:dyDescent="0.35">
      <c r="A236" s="65"/>
      <c r="B236" s="66"/>
      <c r="C236" s="66"/>
      <c r="D236" s="66"/>
      <c r="E236" s="65"/>
      <c r="F236" s="64"/>
    </row>
    <row r="237" spans="1:6" x14ac:dyDescent="0.35">
      <c r="A237" s="65"/>
      <c r="B237" s="66"/>
      <c r="C237" s="66"/>
      <c r="D237" s="66"/>
      <c r="E237" s="65"/>
      <c r="F237" s="64"/>
    </row>
    <row r="238" spans="1:6" x14ac:dyDescent="0.35">
      <c r="A238" s="65"/>
      <c r="B238" s="66"/>
      <c r="C238" s="66"/>
      <c r="D238" s="66"/>
      <c r="E238" s="65"/>
      <c r="F238" s="64"/>
    </row>
    <row r="239" spans="1:6" x14ac:dyDescent="0.35">
      <c r="A239" s="65"/>
      <c r="B239" s="66"/>
      <c r="C239" s="66"/>
      <c r="D239" s="66"/>
      <c r="E239" s="65"/>
      <c r="F239" s="64"/>
    </row>
    <row r="240" spans="1:6" x14ac:dyDescent="0.35">
      <c r="A240" s="65"/>
      <c r="B240" s="66"/>
      <c r="C240" s="66"/>
      <c r="D240" s="66"/>
      <c r="E240" s="65"/>
      <c r="F240" s="64"/>
    </row>
    <row r="241" spans="1:6" x14ac:dyDescent="0.35">
      <c r="A241" s="65"/>
      <c r="B241" s="66"/>
      <c r="C241" s="66"/>
      <c r="D241" s="66"/>
      <c r="E241" s="65"/>
      <c r="F241" s="64"/>
    </row>
    <row r="242" spans="1:6" x14ac:dyDescent="0.35">
      <c r="A242" s="65"/>
      <c r="B242" s="66"/>
      <c r="C242" s="66"/>
      <c r="D242" s="66"/>
      <c r="E242" s="65"/>
      <c r="F242" s="64"/>
    </row>
    <row r="243" spans="1:6" x14ac:dyDescent="0.35">
      <c r="A243" s="65"/>
      <c r="B243" s="66"/>
      <c r="C243" s="66"/>
      <c r="D243" s="66"/>
      <c r="E243" s="65"/>
      <c r="F243" s="64"/>
    </row>
    <row r="244" spans="1:6" x14ac:dyDescent="0.35">
      <c r="A244" s="65"/>
      <c r="B244" s="66"/>
      <c r="C244" s="66"/>
      <c r="D244" s="66"/>
      <c r="E244" s="65"/>
      <c r="F244" s="64"/>
    </row>
    <row r="245" spans="1:6" x14ac:dyDescent="0.35">
      <c r="A245" s="65"/>
      <c r="B245" s="66"/>
      <c r="C245" s="66"/>
      <c r="D245" s="66"/>
      <c r="E245" s="65"/>
      <c r="F245" s="64"/>
    </row>
    <row r="246" spans="1:6" x14ac:dyDescent="0.35">
      <c r="A246" s="65"/>
      <c r="B246" s="66"/>
      <c r="C246" s="66"/>
      <c r="D246" s="66"/>
      <c r="E246" s="65"/>
      <c r="F246" s="64"/>
    </row>
    <row r="247" spans="1:6" x14ac:dyDescent="0.35">
      <c r="A247" s="65"/>
      <c r="B247" s="66"/>
      <c r="C247" s="66"/>
      <c r="D247" s="66"/>
      <c r="E247" s="65"/>
      <c r="F247" s="64"/>
    </row>
    <row r="248" spans="1:6" x14ac:dyDescent="0.35">
      <c r="A248" s="65"/>
      <c r="B248" s="66"/>
      <c r="C248" s="66"/>
      <c r="D248" s="66"/>
      <c r="E248" s="65"/>
      <c r="F248" s="64"/>
    </row>
    <row r="249" spans="1:6" x14ac:dyDescent="0.35">
      <c r="A249" s="65"/>
      <c r="B249" s="66"/>
      <c r="C249" s="66"/>
      <c r="D249" s="66"/>
      <c r="E249" s="65"/>
      <c r="F249" s="64"/>
    </row>
    <row r="250" spans="1:6" x14ac:dyDescent="0.35">
      <c r="A250" s="65"/>
      <c r="B250" s="66"/>
      <c r="C250" s="66"/>
      <c r="D250" s="66"/>
      <c r="E250" s="65"/>
      <c r="F250" s="64"/>
    </row>
    <row r="251" spans="1:6" x14ac:dyDescent="0.35">
      <c r="A251" s="65"/>
      <c r="B251" s="66"/>
      <c r="C251" s="66"/>
      <c r="D251" s="66"/>
      <c r="E251" s="65"/>
      <c r="F251" s="64"/>
    </row>
    <row r="252" spans="1:6" x14ac:dyDescent="0.35">
      <c r="A252" s="65"/>
      <c r="B252" s="66"/>
      <c r="C252" s="66"/>
      <c r="D252" s="66"/>
      <c r="E252" s="65"/>
      <c r="F252" s="64"/>
    </row>
    <row r="253" spans="1:6" x14ac:dyDescent="0.35">
      <c r="A253" s="65"/>
      <c r="B253" s="66"/>
      <c r="C253" s="66"/>
      <c r="D253" s="66"/>
      <c r="E253" s="65"/>
      <c r="F253" s="64"/>
    </row>
    <row r="254" spans="1:6" x14ac:dyDescent="0.35">
      <c r="A254" s="65"/>
      <c r="B254" s="66"/>
      <c r="C254" s="66"/>
      <c r="D254" s="66"/>
      <c r="E254" s="65"/>
      <c r="F254" s="64"/>
    </row>
    <row r="255" spans="1:6" x14ac:dyDescent="0.35">
      <c r="A255" s="65"/>
      <c r="B255" s="66"/>
      <c r="C255" s="66"/>
      <c r="D255" s="66"/>
      <c r="E255" s="65"/>
      <c r="F255" s="64"/>
    </row>
    <row r="256" spans="1:6" x14ac:dyDescent="0.35">
      <c r="A256" s="65"/>
      <c r="B256" s="66"/>
      <c r="C256" s="66"/>
      <c r="D256" s="66"/>
      <c r="E256" s="65"/>
      <c r="F256" s="64"/>
    </row>
    <row r="257" spans="1:6" x14ac:dyDescent="0.35">
      <c r="A257" s="65"/>
      <c r="B257" s="66"/>
      <c r="C257" s="66"/>
      <c r="D257" s="66"/>
      <c r="E257" s="65"/>
      <c r="F257" s="64"/>
    </row>
    <row r="258" spans="1:6" x14ac:dyDescent="0.35">
      <c r="A258" s="65"/>
      <c r="B258" s="66"/>
      <c r="C258" s="66"/>
      <c r="D258" s="66"/>
      <c r="E258" s="65"/>
      <c r="F258" s="64"/>
    </row>
    <row r="259" spans="1:6" x14ac:dyDescent="0.35">
      <c r="A259" s="65"/>
      <c r="B259" s="66"/>
      <c r="C259" s="66"/>
      <c r="D259" s="66"/>
      <c r="E259" s="65"/>
      <c r="F259" s="64"/>
    </row>
    <row r="260" spans="1:6" x14ac:dyDescent="0.35">
      <c r="A260" s="65"/>
      <c r="B260" s="66"/>
      <c r="C260" s="66"/>
      <c r="D260" s="66"/>
      <c r="E260" s="65"/>
      <c r="F260" s="64"/>
    </row>
    <row r="261" spans="1:6" x14ac:dyDescent="0.35">
      <c r="A261" s="65"/>
      <c r="B261" s="66"/>
      <c r="C261" s="66"/>
      <c r="D261" s="66"/>
      <c r="E261" s="65"/>
      <c r="F261" s="64"/>
    </row>
    <row r="262" spans="1:6" x14ac:dyDescent="0.35">
      <c r="A262" s="65"/>
      <c r="B262" s="66"/>
      <c r="C262" s="66"/>
      <c r="D262" s="66"/>
      <c r="E262" s="65"/>
      <c r="F262" s="64"/>
    </row>
    <row r="263" spans="1:6" x14ac:dyDescent="0.35">
      <c r="A263" s="65"/>
      <c r="B263" s="66"/>
      <c r="C263" s="66"/>
      <c r="D263" s="66"/>
      <c r="E263" s="65"/>
      <c r="F263" s="64"/>
    </row>
    <row r="264" spans="1:6" x14ac:dyDescent="0.35">
      <c r="A264" s="65"/>
      <c r="B264" s="66"/>
      <c r="C264" s="66"/>
      <c r="D264" s="66"/>
      <c r="E264" s="65"/>
      <c r="F264" s="64"/>
    </row>
    <row r="265" spans="1:6" x14ac:dyDescent="0.35">
      <c r="A265" s="65"/>
      <c r="B265" s="66"/>
      <c r="C265" s="66"/>
      <c r="D265" s="66"/>
      <c r="E265" s="65"/>
      <c r="F265" s="64"/>
    </row>
    <row r="266" spans="1:6" x14ac:dyDescent="0.35">
      <c r="A266" s="65"/>
      <c r="B266" s="66"/>
      <c r="C266" s="66"/>
      <c r="D266" s="66"/>
      <c r="E266" s="65"/>
      <c r="F266" s="64"/>
    </row>
    <row r="267" spans="1:6" x14ac:dyDescent="0.35">
      <c r="A267" s="65"/>
      <c r="B267" s="66"/>
      <c r="C267" s="66"/>
      <c r="D267" s="66"/>
      <c r="E267" s="65"/>
      <c r="F267" s="64"/>
    </row>
    <row r="268" spans="1:6" x14ac:dyDescent="0.35">
      <c r="A268" s="65"/>
      <c r="B268" s="66"/>
      <c r="C268" s="66"/>
      <c r="D268" s="66"/>
      <c r="E268" s="65"/>
      <c r="F268" s="64"/>
    </row>
    <row r="269" spans="1:6" x14ac:dyDescent="0.35">
      <c r="A269" s="65"/>
      <c r="B269" s="66"/>
      <c r="C269" s="66"/>
      <c r="D269" s="66"/>
      <c r="E269" s="65"/>
      <c r="F269" s="64"/>
    </row>
    <row r="270" spans="1:6" x14ac:dyDescent="0.35">
      <c r="A270" s="65"/>
      <c r="B270" s="66"/>
      <c r="C270" s="66"/>
      <c r="D270" s="66"/>
      <c r="E270" s="65"/>
      <c r="F270" s="64"/>
    </row>
    <row r="271" spans="1:6" x14ac:dyDescent="0.35">
      <c r="A271" s="65"/>
      <c r="B271" s="66"/>
      <c r="C271" s="66"/>
      <c r="D271" s="66"/>
      <c r="E271" s="65"/>
      <c r="F271" s="64"/>
    </row>
    <row r="272" spans="1:6" x14ac:dyDescent="0.35">
      <c r="A272" s="65"/>
      <c r="B272" s="66"/>
      <c r="C272" s="66"/>
      <c r="D272" s="66"/>
      <c r="E272" s="65"/>
      <c r="F272" s="64"/>
    </row>
    <row r="273" spans="1:6" x14ac:dyDescent="0.35">
      <c r="A273" s="65"/>
      <c r="B273" s="66"/>
      <c r="C273" s="66"/>
      <c r="D273" s="66"/>
      <c r="E273" s="65"/>
      <c r="F273" s="64"/>
    </row>
    <row r="274" spans="1:6" x14ac:dyDescent="0.35">
      <c r="A274" s="65"/>
      <c r="B274" s="66"/>
      <c r="C274" s="66"/>
      <c r="D274" s="66"/>
      <c r="E274" s="65"/>
      <c r="F274" s="64"/>
    </row>
    <row r="275" spans="1:6" x14ac:dyDescent="0.35">
      <c r="A275" s="65"/>
      <c r="B275" s="66"/>
      <c r="C275" s="66"/>
      <c r="D275" s="66"/>
      <c r="E275" s="65"/>
      <c r="F275" s="64"/>
    </row>
    <row r="276" spans="1:6" x14ac:dyDescent="0.35">
      <c r="A276" s="65"/>
      <c r="B276" s="66"/>
      <c r="C276" s="66"/>
      <c r="D276" s="66"/>
      <c r="E276" s="65"/>
      <c r="F276" s="64"/>
    </row>
    <row r="277" spans="1:6" x14ac:dyDescent="0.35">
      <c r="A277" s="65"/>
      <c r="B277" s="66"/>
      <c r="C277" s="66"/>
      <c r="D277" s="66"/>
      <c r="E277" s="65"/>
      <c r="F277" s="64"/>
    </row>
    <row r="278" spans="1:6" x14ac:dyDescent="0.35">
      <c r="A278" s="65"/>
      <c r="B278" s="66"/>
      <c r="C278" s="66"/>
      <c r="D278" s="66"/>
      <c r="E278" s="65"/>
      <c r="F278" s="64"/>
    </row>
    <row r="279" spans="1:6" x14ac:dyDescent="0.35">
      <c r="A279" s="65"/>
      <c r="B279" s="66"/>
      <c r="C279" s="66"/>
      <c r="D279" s="66"/>
      <c r="E279" s="65"/>
      <c r="F279" s="64"/>
    </row>
    <row r="280" spans="1:6" x14ac:dyDescent="0.35">
      <c r="A280" s="65"/>
      <c r="B280" s="66"/>
      <c r="C280" s="66"/>
      <c r="D280" s="66"/>
      <c r="E280" s="65"/>
      <c r="F280" s="64"/>
    </row>
    <row r="281" spans="1:6" x14ac:dyDescent="0.35">
      <c r="A281" s="65"/>
      <c r="B281" s="66"/>
      <c r="C281" s="66"/>
      <c r="D281" s="66"/>
      <c r="E281" s="65"/>
      <c r="F281" s="64"/>
    </row>
    <row r="282" spans="1:6" x14ac:dyDescent="0.35">
      <c r="A282" s="65"/>
      <c r="B282" s="66"/>
      <c r="C282" s="66"/>
      <c r="D282" s="66"/>
      <c r="E282" s="65"/>
      <c r="F282" s="64"/>
    </row>
    <row r="283" spans="1:6" x14ac:dyDescent="0.35">
      <c r="A283" s="65"/>
      <c r="B283" s="66"/>
      <c r="C283" s="66"/>
      <c r="D283" s="66"/>
      <c r="E283" s="65"/>
      <c r="F283" s="64"/>
    </row>
    <row r="284" spans="1:6" x14ac:dyDescent="0.35">
      <c r="A284" s="65"/>
      <c r="B284" s="66"/>
      <c r="C284" s="66"/>
      <c r="D284" s="66"/>
      <c r="E284" s="65"/>
      <c r="F284" s="64"/>
    </row>
    <row r="285" spans="1:6" x14ac:dyDescent="0.35">
      <c r="A285" s="65"/>
      <c r="B285" s="66"/>
      <c r="C285" s="66"/>
      <c r="D285" s="66"/>
      <c r="E285" s="65"/>
      <c r="F285" s="64"/>
    </row>
    <row r="286" spans="1:6" x14ac:dyDescent="0.35">
      <c r="A286" s="65"/>
      <c r="B286" s="66"/>
      <c r="C286" s="66"/>
      <c r="D286" s="66"/>
      <c r="E286" s="65"/>
      <c r="F286" s="64"/>
    </row>
    <row r="287" spans="1:6" x14ac:dyDescent="0.35">
      <c r="A287" s="65"/>
      <c r="B287" s="66"/>
      <c r="C287" s="66"/>
      <c r="D287" s="66"/>
      <c r="E287" s="65"/>
      <c r="F287" s="64"/>
    </row>
    <row r="288" spans="1:6" x14ac:dyDescent="0.35">
      <c r="A288" s="65"/>
      <c r="B288" s="66"/>
      <c r="C288" s="66"/>
      <c r="D288" s="66"/>
      <c r="E288" s="65"/>
      <c r="F288" s="64"/>
    </row>
    <row r="289" spans="1:6" x14ac:dyDescent="0.35">
      <c r="A289" s="65"/>
      <c r="B289" s="66"/>
      <c r="C289" s="66"/>
      <c r="D289" s="66"/>
      <c r="E289" s="65"/>
      <c r="F289" s="64"/>
    </row>
    <row r="290" spans="1:6" x14ac:dyDescent="0.35">
      <c r="A290" s="65"/>
      <c r="B290" s="66"/>
      <c r="C290" s="66"/>
      <c r="D290" s="66"/>
      <c r="E290" s="65"/>
      <c r="F290" s="64"/>
    </row>
    <row r="291" spans="1:6" x14ac:dyDescent="0.35">
      <c r="A291" s="65"/>
      <c r="B291" s="66"/>
      <c r="C291" s="66"/>
      <c r="D291" s="66"/>
      <c r="E291" s="65"/>
      <c r="F291" s="64"/>
    </row>
    <row r="292" spans="1:6" x14ac:dyDescent="0.35">
      <c r="A292" s="65"/>
      <c r="B292" s="66"/>
      <c r="C292" s="66"/>
      <c r="D292" s="66"/>
      <c r="E292" s="65"/>
      <c r="F292" s="64"/>
    </row>
    <row r="293" spans="1:6" x14ac:dyDescent="0.35">
      <c r="A293" s="65"/>
      <c r="B293" s="66"/>
      <c r="C293" s="66"/>
      <c r="D293" s="66"/>
      <c r="E293" s="65"/>
      <c r="F293" s="64"/>
    </row>
    <row r="294" spans="1:6" x14ac:dyDescent="0.35">
      <c r="A294" s="65"/>
      <c r="B294" s="66"/>
      <c r="C294" s="66"/>
      <c r="D294" s="66"/>
      <c r="E294" s="65"/>
      <c r="F294" s="64"/>
    </row>
    <row r="295" spans="1:6" x14ac:dyDescent="0.35">
      <c r="A295" s="65"/>
      <c r="B295" s="66"/>
      <c r="C295" s="66"/>
      <c r="D295" s="66"/>
      <c r="E295" s="65"/>
      <c r="F295" s="64"/>
    </row>
    <row r="296" spans="1:6" x14ac:dyDescent="0.35">
      <c r="A296" s="65"/>
      <c r="B296" s="66"/>
      <c r="C296" s="66"/>
      <c r="D296" s="66"/>
      <c r="E296" s="65"/>
      <c r="F296" s="64"/>
    </row>
    <row r="297" spans="1:6" x14ac:dyDescent="0.35">
      <c r="A297" s="65"/>
      <c r="B297" s="66"/>
      <c r="C297" s="66"/>
      <c r="D297" s="66"/>
      <c r="E297" s="65"/>
      <c r="F297" s="64"/>
    </row>
    <row r="298" spans="1:6" x14ac:dyDescent="0.35">
      <c r="A298" s="65"/>
      <c r="B298" s="66"/>
      <c r="C298" s="66"/>
      <c r="D298" s="66"/>
      <c r="E298" s="65"/>
      <c r="F298" s="64"/>
    </row>
    <row r="299" spans="1:6" x14ac:dyDescent="0.35">
      <c r="A299" s="65"/>
      <c r="B299" s="66"/>
      <c r="C299" s="66"/>
      <c r="D299" s="66"/>
      <c r="E299" s="65"/>
      <c r="F299" s="64"/>
    </row>
    <row r="300" spans="1:6" x14ac:dyDescent="0.35">
      <c r="A300" s="65"/>
      <c r="B300" s="66"/>
      <c r="C300" s="66"/>
      <c r="D300" s="66"/>
      <c r="E300" s="65"/>
      <c r="F300" s="64"/>
    </row>
    <row r="301" spans="1:6" x14ac:dyDescent="0.35">
      <c r="A301" s="65"/>
      <c r="B301" s="66"/>
      <c r="C301" s="66"/>
      <c r="D301" s="66"/>
      <c r="E301" s="65"/>
      <c r="F301" s="64"/>
    </row>
    <row r="302" spans="1:6" x14ac:dyDescent="0.35">
      <c r="A302" s="65"/>
      <c r="B302" s="66"/>
      <c r="C302" s="66"/>
      <c r="D302" s="66"/>
      <c r="E302" s="65"/>
      <c r="F302" s="64"/>
    </row>
    <row r="303" spans="1:6" x14ac:dyDescent="0.35">
      <c r="A303" s="65"/>
      <c r="B303" s="66"/>
      <c r="C303" s="66"/>
      <c r="D303" s="66"/>
      <c r="E303" s="65"/>
      <c r="F303" s="64"/>
    </row>
    <row r="304" spans="1:6" x14ac:dyDescent="0.35">
      <c r="A304" s="65"/>
      <c r="B304" s="66"/>
      <c r="C304" s="66"/>
      <c r="D304" s="66"/>
      <c r="E304" s="65"/>
      <c r="F304" s="64"/>
    </row>
    <row r="305" spans="1:6" x14ac:dyDescent="0.35">
      <c r="A305" s="65"/>
      <c r="B305" s="66"/>
      <c r="C305" s="66"/>
      <c r="D305" s="66"/>
      <c r="E305" s="65"/>
      <c r="F305" s="64"/>
    </row>
    <row r="306" spans="1:6" x14ac:dyDescent="0.35">
      <c r="A306" s="65"/>
      <c r="B306" s="66"/>
      <c r="C306" s="66"/>
      <c r="D306" s="66"/>
      <c r="E306" s="65"/>
      <c r="F306" s="64"/>
    </row>
    <row r="307" spans="1:6" x14ac:dyDescent="0.35">
      <c r="A307" s="65"/>
      <c r="B307" s="66"/>
      <c r="C307" s="66"/>
      <c r="D307" s="66"/>
      <c r="E307" s="65"/>
      <c r="F307" s="64"/>
    </row>
    <row r="308" spans="1:6" x14ac:dyDescent="0.35">
      <c r="A308" s="65"/>
      <c r="B308" s="66"/>
      <c r="C308" s="66"/>
      <c r="D308" s="66"/>
      <c r="E308" s="65"/>
      <c r="F308" s="64"/>
    </row>
    <row r="309" spans="1:6" x14ac:dyDescent="0.35">
      <c r="A309" s="65"/>
      <c r="B309" s="66"/>
      <c r="C309" s="66"/>
      <c r="D309" s="66"/>
      <c r="E309" s="65"/>
      <c r="F309" s="64"/>
    </row>
    <row r="310" spans="1:6" x14ac:dyDescent="0.35">
      <c r="A310" s="65"/>
      <c r="B310" s="66"/>
      <c r="C310" s="66"/>
      <c r="D310" s="66"/>
      <c r="E310" s="65"/>
      <c r="F310" s="64"/>
    </row>
    <row r="311" spans="1:6" x14ac:dyDescent="0.35">
      <c r="A311" s="65"/>
      <c r="B311" s="66"/>
      <c r="C311" s="66"/>
      <c r="D311" s="66"/>
      <c r="E311" s="65"/>
      <c r="F311" s="64"/>
    </row>
    <row r="312" spans="1:6" x14ac:dyDescent="0.35">
      <c r="A312" s="65"/>
      <c r="B312" s="66"/>
      <c r="C312" s="66"/>
      <c r="D312" s="66"/>
      <c r="E312" s="65"/>
      <c r="F312" s="64"/>
    </row>
    <row r="313" spans="1:6" x14ac:dyDescent="0.35">
      <c r="A313" s="65"/>
      <c r="B313" s="66"/>
      <c r="C313" s="66"/>
      <c r="D313" s="66"/>
      <c r="E313" s="65"/>
      <c r="F313" s="64"/>
    </row>
    <row r="314" spans="1:6" x14ac:dyDescent="0.35">
      <c r="A314" s="65"/>
      <c r="B314" s="66"/>
      <c r="C314" s="66"/>
      <c r="D314" s="66"/>
      <c r="E314" s="65"/>
      <c r="F314" s="64"/>
    </row>
    <row r="315" spans="1:6" x14ac:dyDescent="0.35">
      <c r="A315" s="65"/>
      <c r="B315" s="66"/>
      <c r="C315" s="66"/>
      <c r="D315" s="66"/>
      <c r="E315" s="65"/>
      <c r="F315" s="64"/>
    </row>
    <row r="316" spans="1:6" x14ac:dyDescent="0.35">
      <c r="A316" s="65"/>
      <c r="B316" s="66"/>
      <c r="C316" s="66"/>
      <c r="D316" s="66"/>
      <c r="E316" s="65"/>
      <c r="F316" s="64"/>
    </row>
    <row r="317" spans="1:6" x14ac:dyDescent="0.35">
      <c r="A317" s="65"/>
      <c r="B317" s="66"/>
      <c r="C317" s="66"/>
      <c r="D317" s="66"/>
      <c r="E317" s="65"/>
      <c r="F317" s="64"/>
    </row>
    <row r="318" spans="1:6" x14ac:dyDescent="0.35">
      <c r="A318" s="65"/>
      <c r="B318" s="66"/>
      <c r="C318" s="66"/>
      <c r="D318" s="66"/>
      <c r="E318" s="65"/>
      <c r="F318" s="64"/>
    </row>
    <row r="319" spans="1:6" x14ac:dyDescent="0.35">
      <c r="A319" s="65"/>
      <c r="B319" s="66"/>
      <c r="C319" s="66"/>
      <c r="D319" s="66"/>
      <c r="E319" s="65"/>
      <c r="F319" s="64"/>
    </row>
    <row r="320" spans="1:6" x14ac:dyDescent="0.35">
      <c r="A320" s="65"/>
      <c r="B320" s="66"/>
      <c r="C320" s="66"/>
      <c r="D320" s="66"/>
      <c r="E320" s="65"/>
      <c r="F320" s="64"/>
    </row>
    <row r="321" spans="1:6" x14ac:dyDescent="0.35">
      <c r="A321" s="65"/>
      <c r="B321" s="66"/>
      <c r="C321" s="66"/>
      <c r="D321" s="66"/>
      <c r="E321" s="65"/>
      <c r="F321" s="64"/>
    </row>
    <row r="322" spans="1:6" x14ac:dyDescent="0.35">
      <c r="A322" s="65"/>
      <c r="B322" s="66"/>
      <c r="C322" s="66"/>
      <c r="D322" s="66"/>
      <c r="E322" s="65"/>
      <c r="F322" s="64"/>
    </row>
    <row r="323" spans="1:6" x14ac:dyDescent="0.35">
      <c r="A323" s="65"/>
      <c r="B323" s="66"/>
      <c r="C323" s="66"/>
      <c r="D323" s="66"/>
      <c r="E323" s="65"/>
      <c r="F323" s="64"/>
    </row>
    <row r="324" spans="1:6" x14ac:dyDescent="0.35">
      <c r="A324" s="65"/>
      <c r="B324" s="66"/>
      <c r="C324" s="66"/>
      <c r="D324" s="66"/>
      <c r="E324" s="65"/>
      <c r="F324" s="64"/>
    </row>
    <row r="325" spans="1:6" x14ac:dyDescent="0.35">
      <c r="A325" s="65"/>
      <c r="B325" s="66"/>
      <c r="C325" s="66"/>
      <c r="D325" s="66"/>
      <c r="E325" s="65"/>
      <c r="F325" s="64"/>
    </row>
    <row r="326" spans="1:6" x14ac:dyDescent="0.35">
      <c r="A326" s="65"/>
      <c r="B326" s="66"/>
      <c r="C326" s="66"/>
      <c r="D326" s="66"/>
      <c r="E326" s="65"/>
      <c r="F326" s="64"/>
    </row>
    <row r="327" spans="1:6" x14ac:dyDescent="0.35">
      <c r="A327" s="65"/>
      <c r="B327" s="66"/>
      <c r="C327" s="66"/>
      <c r="D327" s="66"/>
      <c r="E327" s="65"/>
      <c r="F327" s="64"/>
    </row>
    <row r="328" spans="1:6" x14ac:dyDescent="0.35">
      <c r="A328" s="65"/>
      <c r="B328" s="66"/>
      <c r="C328" s="66"/>
      <c r="D328" s="66"/>
      <c r="E328" s="65"/>
      <c r="F328" s="64"/>
    </row>
    <row r="329" spans="1:6" x14ac:dyDescent="0.35">
      <c r="A329" s="65"/>
      <c r="B329" s="66"/>
      <c r="C329" s="66"/>
      <c r="D329" s="66"/>
      <c r="E329" s="65"/>
      <c r="F329" s="64"/>
    </row>
    <row r="330" spans="1:6" x14ac:dyDescent="0.35">
      <c r="A330" s="65"/>
      <c r="B330" s="66"/>
      <c r="C330" s="66"/>
      <c r="D330" s="66"/>
      <c r="E330" s="65"/>
      <c r="F330" s="64"/>
    </row>
    <row r="331" spans="1:6" x14ac:dyDescent="0.35">
      <c r="A331" s="65"/>
      <c r="B331" s="66"/>
      <c r="C331" s="66"/>
      <c r="D331" s="66"/>
      <c r="E331" s="65"/>
      <c r="F331" s="64"/>
    </row>
    <row r="332" spans="1:6" x14ac:dyDescent="0.35">
      <c r="A332" s="65"/>
      <c r="B332" s="66"/>
      <c r="C332" s="66"/>
      <c r="D332" s="66"/>
      <c r="E332" s="65"/>
      <c r="F332" s="64"/>
    </row>
    <row r="333" spans="1:6" x14ac:dyDescent="0.35">
      <c r="A333" s="65"/>
      <c r="B333" s="66"/>
      <c r="C333" s="66"/>
      <c r="D333" s="66"/>
      <c r="E333" s="65"/>
      <c r="F333" s="64"/>
    </row>
    <row r="334" spans="1:6" x14ac:dyDescent="0.35">
      <c r="A334" s="65"/>
      <c r="B334" s="66"/>
      <c r="C334" s="66"/>
      <c r="D334" s="66"/>
      <c r="E334" s="65"/>
      <c r="F334" s="64"/>
    </row>
    <row r="335" spans="1:6" x14ac:dyDescent="0.35">
      <c r="A335" s="65"/>
      <c r="B335" s="66"/>
      <c r="C335" s="66"/>
      <c r="D335" s="66"/>
      <c r="E335" s="65"/>
      <c r="F335" s="64"/>
    </row>
    <row r="336" spans="1:6" x14ac:dyDescent="0.35">
      <c r="A336" s="65"/>
      <c r="B336" s="66"/>
      <c r="C336" s="66"/>
      <c r="D336" s="66"/>
      <c r="E336" s="65"/>
      <c r="F336" s="64"/>
    </row>
    <row r="337" spans="1:6" x14ac:dyDescent="0.35">
      <c r="A337" s="65"/>
      <c r="B337" s="66"/>
      <c r="C337" s="66"/>
      <c r="D337" s="66"/>
      <c r="E337" s="65"/>
      <c r="F337" s="64"/>
    </row>
    <row r="338" spans="1:6" x14ac:dyDescent="0.35">
      <c r="A338" s="65"/>
      <c r="B338" s="66"/>
      <c r="C338" s="66"/>
      <c r="D338" s="66"/>
      <c r="E338" s="65"/>
      <c r="F338" s="64"/>
    </row>
    <row r="339" spans="1:6" x14ac:dyDescent="0.35">
      <c r="A339" s="65"/>
      <c r="B339" s="66"/>
      <c r="C339" s="66"/>
      <c r="D339" s="66"/>
      <c r="E339" s="65"/>
      <c r="F339" s="64"/>
    </row>
    <row r="340" spans="1:6" x14ac:dyDescent="0.35">
      <c r="A340" s="65"/>
      <c r="B340" s="66"/>
      <c r="C340" s="66"/>
      <c r="D340" s="66"/>
      <c r="E340" s="65"/>
      <c r="F340" s="64"/>
    </row>
    <row r="341" spans="1:6" x14ac:dyDescent="0.35">
      <c r="A341" s="65"/>
      <c r="B341" s="66"/>
      <c r="C341" s="66"/>
      <c r="D341" s="66"/>
      <c r="E341" s="65"/>
      <c r="F341" s="64"/>
    </row>
    <row r="342" spans="1:6" x14ac:dyDescent="0.35">
      <c r="A342" s="65"/>
      <c r="B342" s="66"/>
      <c r="C342" s="66"/>
      <c r="D342" s="66"/>
      <c r="E342" s="65"/>
      <c r="F342" s="64"/>
    </row>
    <row r="343" spans="1:6" x14ac:dyDescent="0.35">
      <c r="A343" s="65"/>
      <c r="B343" s="66"/>
      <c r="C343" s="66"/>
      <c r="D343" s="66"/>
      <c r="E343" s="65"/>
      <c r="F343" s="64"/>
    </row>
    <row r="344" spans="1:6" x14ac:dyDescent="0.35">
      <c r="A344" s="65"/>
      <c r="B344" s="66"/>
      <c r="C344" s="66"/>
      <c r="D344" s="66"/>
      <c r="E344" s="65"/>
      <c r="F344" s="64"/>
    </row>
    <row r="345" spans="1:6" x14ac:dyDescent="0.35">
      <c r="A345" s="65"/>
      <c r="B345" s="66"/>
      <c r="C345" s="66"/>
      <c r="D345" s="66"/>
      <c r="E345" s="65"/>
      <c r="F345" s="64"/>
    </row>
    <row r="346" spans="1:6" x14ac:dyDescent="0.35">
      <c r="A346" s="65"/>
      <c r="B346" s="66"/>
      <c r="C346" s="66"/>
      <c r="D346" s="66"/>
      <c r="E346" s="65"/>
      <c r="F346" s="64"/>
    </row>
    <row r="347" spans="1:6" x14ac:dyDescent="0.35">
      <c r="A347" s="65"/>
      <c r="B347" s="66"/>
      <c r="C347" s="66"/>
      <c r="D347" s="66"/>
      <c r="E347" s="65"/>
      <c r="F347" s="64"/>
    </row>
    <row r="348" spans="1:6" x14ac:dyDescent="0.35">
      <c r="A348" s="65"/>
      <c r="B348" s="66"/>
      <c r="C348" s="66"/>
      <c r="D348" s="66"/>
      <c r="E348" s="65"/>
      <c r="F348" s="64"/>
    </row>
    <row r="349" spans="1:6" x14ac:dyDescent="0.35">
      <c r="A349" s="65"/>
      <c r="B349" s="66"/>
      <c r="C349" s="66"/>
      <c r="D349" s="66"/>
      <c r="E349" s="65"/>
      <c r="F349" s="64"/>
    </row>
    <row r="350" spans="1:6" x14ac:dyDescent="0.35">
      <c r="A350" s="65"/>
      <c r="B350" s="66"/>
      <c r="C350" s="66"/>
      <c r="D350" s="66"/>
      <c r="E350" s="65"/>
      <c r="F350" s="64"/>
    </row>
    <row r="351" spans="1:6" x14ac:dyDescent="0.35">
      <c r="A351" s="65"/>
      <c r="B351" s="66"/>
      <c r="C351" s="66"/>
      <c r="D351" s="66"/>
      <c r="E351" s="65"/>
      <c r="F351" s="64"/>
    </row>
    <row r="352" spans="1:6" x14ac:dyDescent="0.35">
      <c r="A352" s="65"/>
      <c r="B352" s="66"/>
      <c r="C352" s="66"/>
      <c r="D352" s="66"/>
      <c r="E352" s="65"/>
      <c r="F352" s="64"/>
    </row>
    <row r="353" spans="1:6" x14ac:dyDescent="0.35">
      <c r="A353" s="65"/>
      <c r="B353" s="66"/>
      <c r="C353" s="66"/>
      <c r="D353" s="66"/>
      <c r="E353" s="65"/>
      <c r="F353" s="64"/>
    </row>
    <row r="354" spans="1:6" x14ac:dyDescent="0.35">
      <c r="A354" s="65"/>
      <c r="B354" s="66"/>
      <c r="C354" s="66"/>
      <c r="D354" s="66"/>
      <c r="E354" s="65"/>
      <c r="F354" s="64"/>
    </row>
    <row r="355" spans="1:6" x14ac:dyDescent="0.35">
      <c r="A355" s="65"/>
      <c r="B355" s="66"/>
      <c r="C355" s="66"/>
      <c r="D355" s="66"/>
      <c r="E355" s="65"/>
      <c r="F355" s="64"/>
    </row>
    <row r="356" spans="1:6" x14ac:dyDescent="0.35">
      <c r="A356" s="65"/>
      <c r="B356" s="66"/>
      <c r="C356" s="66"/>
      <c r="D356" s="66"/>
      <c r="E356" s="65"/>
      <c r="F356" s="64"/>
    </row>
    <row r="357" spans="1:6" x14ac:dyDescent="0.35">
      <c r="A357" s="65"/>
      <c r="B357" s="66"/>
      <c r="C357" s="66"/>
      <c r="D357" s="66"/>
      <c r="E357" s="65"/>
      <c r="F357" s="64"/>
    </row>
    <row r="358" spans="1:6" x14ac:dyDescent="0.35">
      <c r="A358" s="65"/>
      <c r="B358" s="66"/>
      <c r="C358" s="66"/>
      <c r="D358" s="66"/>
      <c r="E358" s="65"/>
      <c r="F358" s="64"/>
    </row>
    <row r="359" spans="1:6" x14ac:dyDescent="0.35">
      <c r="A359" s="65"/>
      <c r="B359" s="66"/>
      <c r="C359" s="66"/>
      <c r="D359" s="66"/>
      <c r="E359" s="65"/>
      <c r="F359" s="64"/>
    </row>
    <row r="360" spans="1:6" x14ac:dyDescent="0.35">
      <c r="A360" s="65"/>
      <c r="B360" s="66"/>
      <c r="C360" s="66"/>
      <c r="D360" s="66"/>
      <c r="E360" s="65"/>
      <c r="F360" s="64"/>
    </row>
    <row r="361" spans="1:6" x14ac:dyDescent="0.35">
      <c r="A361" s="65"/>
      <c r="B361" s="66"/>
      <c r="C361" s="66"/>
      <c r="D361" s="66"/>
      <c r="E361" s="65"/>
      <c r="F361" s="64"/>
    </row>
    <row r="362" spans="1:6" x14ac:dyDescent="0.35">
      <c r="A362" s="65"/>
      <c r="B362" s="66"/>
      <c r="C362" s="66"/>
      <c r="D362" s="66"/>
      <c r="E362" s="65"/>
      <c r="F362" s="64"/>
    </row>
    <row r="363" spans="1:6" x14ac:dyDescent="0.35">
      <c r="A363" s="65"/>
      <c r="B363" s="66"/>
      <c r="C363" s="66"/>
      <c r="D363" s="66"/>
      <c r="E363" s="65"/>
      <c r="F363" s="64"/>
    </row>
    <row r="364" spans="1:6" x14ac:dyDescent="0.35">
      <c r="A364" s="65"/>
      <c r="B364" s="66"/>
      <c r="C364" s="66"/>
      <c r="D364" s="66"/>
      <c r="E364" s="65"/>
      <c r="F364" s="64"/>
    </row>
    <row r="365" spans="1:6" x14ac:dyDescent="0.35">
      <c r="A365" s="65"/>
      <c r="B365" s="66"/>
      <c r="C365" s="66"/>
      <c r="D365" s="66"/>
      <c r="E365" s="65"/>
      <c r="F365" s="64"/>
    </row>
    <row r="366" spans="1:6" x14ac:dyDescent="0.35">
      <c r="A366" s="65"/>
      <c r="B366" s="66"/>
      <c r="C366" s="66"/>
      <c r="D366" s="66"/>
      <c r="E366" s="65"/>
      <c r="F366" s="64"/>
    </row>
    <row r="367" spans="1:6" x14ac:dyDescent="0.35">
      <c r="A367" s="65"/>
      <c r="B367" s="66"/>
      <c r="C367" s="66"/>
      <c r="D367" s="66"/>
      <c r="E367" s="65"/>
      <c r="F367" s="64"/>
    </row>
    <row r="368" spans="1:6" x14ac:dyDescent="0.35">
      <c r="A368" s="65"/>
      <c r="B368" s="66"/>
      <c r="C368" s="66"/>
      <c r="D368" s="66"/>
      <c r="E368" s="65"/>
      <c r="F368" s="64"/>
    </row>
    <row r="369" spans="1:6" x14ac:dyDescent="0.35">
      <c r="A369" s="65"/>
      <c r="B369" s="66"/>
      <c r="C369" s="66"/>
      <c r="D369" s="66"/>
      <c r="E369" s="65"/>
      <c r="F369" s="64"/>
    </row>
    <row r="370" spans="1:6" x14ac:dyDescent="0.35">
      <c r="A370" s="65"/>
      <c r="B370" s="66"/>
      <c r="C370" s="66"/>
      <c r="D370" s="66"/>
      <c r="E370" s="65"/>
      <c r="F370" s="64"/>
    </row>
    <row r="371" spans="1:6" x14ac:dyDescent="0.35">
      <c r="A371" s="65"/>
      <c r="B371" s="66"/>
      <c r="C371" s="66"/>
      <c r="D371" s="66"/>
      <c r="E371" s="65"/>
      <c r="F371" s="64"/>
    </row>
    <row r="372" spans="1:6" x14ac:dyDescent="0.35">
      <c r="A372" s="65"/>
      <c r="B372" s="66"/>
      <c r="C372" s="66"/>
      <c r="D372" s="66"/>
      <c r="E372" s="65"/>
      <c r="F372" s="64"/>
    </row>
    <row r="373" spans="1:6" x14ac:dyDescent="0.35">
      <c r="A373" s="65"/>
      <c r="B373" s="66"/>
      <c r="C373" s="66"/>
      <c r="D373" s="66"/>
      <c r="E373" s="65"/>
      <c r="F373" s="64"/>
    </row>
    <row r="374" spans="1:6" x14ac:dyDescent="0.35">
      <c r="A374" s="65"/>
      <c r="B374" s="66"/>
      <c r="C374" s="66"/>
      <c r="D374" s="66"/>
      <c r="E374" s="65"/>
      <c r="F374" s="64"/>
    </row>
    <row r="375" spans="1:6" x14ac:dyDescent="0.35">
      <c r="A375" s="65"/>
      <c r="B375" s="66"/>
      <c r="C375" s="66"/>
      <c r="D375" s="66"/>
      <c r="E375" s="65"/>
      <c r="F375" s="64"/>
    </row>
    <row r="376" spans="1:6" x14ac:dyDescent="0.35">
      <c r="A376" s="65"/>
      <c r="B376" s="66"/>
      <c r="C376" s="66"/>
      <c r="D376" s="66"/>
      <c r="E376" s="65"/>
      <c r="F376" s="64"/>
    </row>
    <row r="377" spans="1:6" x14ac:dyDescent="0.35">
      <c r="A377" s="65"/>
      <c r="B377" s="66"/>
      <c r="C377" s="66"/>
      <c r="D377" s="66"/>
      <c r="E377" s="65"/>
      <c r="F377" s="64"/>
    </row>
    <row r="378" spans="1:6" x14ac:dyDescent="0.35">
      <c r="A378" s="65"/>
      <c r="B378" s="66"/>
      <c r="C378" s="66"/>
      <c r="D378" s="66"/>
      <c r="E378" s="65"/>
      <c r="F378" s="64"/>
    </row>
    <row r="379" spans="1:6" x14ac:dyDescent="0.35">
      <c r="A379" s="65"/>
      <c r="B379" s="66"/>
      <c r="C379" s="66"/>
      <c r="D379" s="66"/>
      <c r="E379" s="65"/>
      <c r="F379" s="64"/>
    </row>
    <row r="380" spans="1:6" x14ac:dyDescent="0.35">
      <c r="A380" s="65"/>
      <c r="B380" s="66"/>
      <c r="C380" s="66"/>
      <c r="D380" s="66"/>
      <c r="E380" s="65"/>
      <c r="F380" s="64"/>
    </row>
    <row r="381" spans="1:6" x14ac:dyDescent="0.35">
      <c r="A381" s="65"/>
      <c r="B381" s="66"/>
      <c r="C381" s="66"/>
      <c r="D381" s="66"/>
      <c r="E381" s="65"/>
      <c r="F381" s="64"/>
    </row>
    <row r="382" spans="1:6" x14ac:dyDescent="0.35">
      <c r="A382" s="65"/>
      <c r="B382" s="66"/>
      <c r="C382" s="66"/>
      <c r="D382" s="66"/>
      <c r="E382" s="65"/>
      <c r="F382" s="64"/>
    </row>
    <row r="383" spans="1:6" x14ac:dyDescent="0.35">
      <c r="A383" s="65"/>
      <c r="B383" s="66"/>
      <c r="C383" s="66"/>
      <c r="D383" s="66"/>
      <c r="E383" s="65"/>
      <c r="F383" s="64"/>
    </row>
    <row r="384" spans="1:6" x14ac:dyDescent="0.35">
      <c r="A384" s="65"/>
      <c r="B384" s="66"/>
      <c r="C384" s="66"/>
      <c r="D384" s="66"/>
      <c r="E384" s="65"/>
      <c r="F384" s="64"/>
    </row>
    <row r="385" spans="1:6" x14ac:dyDescent="0.35">
      <c r="A385" s="65"/>
      <c r="B385" s="66"/>
      <c r="C385" s="66"/>
      <c r="D385" s="66"/>
      <c r="E385" s="65"/>
      <c r="F385" s="64"/>
    </row>
    <row r="386" spans="1:6" x14ac:dyDescent="0.35">
      <c r="A386" s="65"/>
      <c r="B386" s="66"/>
      <c r="C386" s="66"/>
      <c r="D386" s="66"/>
      <c r="E386" s="65"/>
      <c r="F386" s="64"/>
    </row>
    <row r="387" spans="1:6" x14ac:dyDescent="0.35">
      <c r="A387" s="65"/>
      <c r="B387" s="66"/>
      <c r="C387" s="66"/>
      <c r="D387" s="66"/>
      <c r="E387" s="65"/>
      <c r="F387" s="64"/>
    </row>
    <row r="388" spans="1:6" x14ac:dyDescent="0.35">
      <c r="A388" s="65"/>
      <c r="B388" s="66"/>
      <c r="C388" s="66"/>
      <c r="D388" s="66"/>
      <c r="E388" s="65"/>
      <c r="F388" s="64"/>
    </row>
    <row r="389" spans="1:6" x14ac:dyDescent="0.35">
      <c r="A389" s="65"/>
      <c r="B389" s="66"/>
      <c r="C389" s="66"/>
      <c r="D389" s="66"/>
      <c r="E389" s="65"/>
      <c r="F389" s="64"/>
    </row>
    <row r="390" spans="1:6" x14ac:dyDescent="0.35">
      <c r="A390" s="65"/>
      <c r="B390" s="66"/>
      <c r="C390" s="66"/>
      <c r="D390" s="66"/>
      <c r="E390" s="65"/>
      <c r="F390" s="64"/>
    </row>
    <row r="391" spans="1:6" x14ac:dyDescent="0.35">
      <c r="A391" s="65"/>
      <c r="B391" s="66"/>
      <c r="C391" s="66"/>
      <c r="D391" s="66"/>
      <c r="E391" s="65"/>
      <c r="F391" s="64"/>
    </row>
    <row r="392" spans="1:6" x14ac:dyDescent="0.35">
      <c r="A392" s="65"/>
      <c r="B392" s="66"/>
      <c r="C392" s="66"/>
      <c r="D392" s="66"/>
      <c r="E392" s="65"/>
      <c r="F392" s="64"/>
    </row>
    <row r="393" spans="1:6" x14ac:dyDescent="0.35">
      <c r="A393" s="65"/>
      <c r="B393" s="66"/>
      <c r="C393" s="66"/>
      <c r="D393" s="66"/>
      <c r="E393" s="65"/>
      <c r="F393" s="64"/>
    </row>
    <row r="394" spans="1:6" x14ac:dyDescent="0.35">
      <c r="A394" s="65"/>
      <c r="B394" s="66"/>
      <c r="C394" s="66"/>
      <c r="D394" s="66"/>
      <c r="E394" s="65"/>
      <c r="F394" s="64"/>
    </row>
    <row r="395" spans="1:6" x14ac:dyDescent="0.35">
      <c r="A395" s="65"/>
      <c r="B395" s="66"/>
      <c r="C395" s="66"/>
      <c r="D395" s="66"/>
      <c r="E395" s="65"/>
      <c r="F395" s="64"/>
    </row>
    <row r="396" spans="1:6" x14ac:dyDescent="0.35">
      <c r="A396" s="65"/>
      <c r="B396" s="66"/>
      <c r="C396" s="66"/>
      <c r="D396" s="66"/>
      <c r="E396" s="65"/>
      <c r="F396" s="64"/>
    </row>
    <row r="397" spans="1:6" x14ac:dyDescent="0.35">
      <c r="A397" s="65"/>
      <c r="B397" s="66"/>
      <c r="C397" s="66"/>
      <c r="D397" s="66"/>
      <c r="E397" s="65"/>
      <c r="F397" s="64"/>
    </row>
    <row r="398" spans="1:6" x14ac:dyDescent="0.35">
      <c r="A398" s="65"/>
      <c r="B398" s="66"/>
      <c r="C398" s="66"/>
      <c r="D398" s="66"/>
      <c r="E398" s="65"/>
      <c r="F398" s="64"/>
    </row>
    <row r="399" spans="1:6" x14ac:dyDescent="0.35">
      <c r="A399" s="65"/>
      <c r="B399" s="66"/>
      <c r="C399" s="66"/>
      <c r="D399" s="66"/>
      <c r="E399" s="65"/>
      <c r="F399" s="64"/>
    </row>
    <row r="400" spans="1:6" x14ac:dyDescent="0.35">
      <c r="A400" s="65"/>
      <c r="B400" s="66"/>
      <c r="C400" s="66"/>
      <c r="D400" s="66"/>
      <c r="E400" s="65"/>
      <c r="F400" s="64"/>
    </row>
    <row r="401" spans="1:6" x14ac:dyDescent="0.35">
      <c r="A401" s="65"/>
      <c r="B401" s="66"/>
      <c r="C401" s="66"/>
      <c r="D401" s="66"/>
      <c r="E401" s="65"/>
      <c r="F401" s="64"/>
    </row>
    <row r="402" spans="1:6" x14ac:dyDescent="0.35">
      <c r="A402" s="65"/>
      <c r="B402" s="66"/>
      <c r="C402" s="66"/>
      <c r="D402" s="66"/>
      <c r="E402" s="65"/>
      <c r="F402" s="64"/>
    </row>
    <row r="403" spans="1:6" x14ac:dyDescent="0.35">
      <c r="A403" s="65"/>
      <c r="B403" s="66"/>
      <c r="C403" s="66"/>
      <c r="D403" s="66"/>
      <c r="E403" s="65"/>
      <c r="F403" s="64"/>
    </row>
    <row r="404" spans="1:6" x14ac:dyDescent="0.35">
      <c r="A404" s="65"/>
      <c r="B404" s="66"/>
      <c r="C404" s="66"/>
      <c r="D404" s="66"/>
      <c r="E404" s="65"/>
      <c r="F404" s="64"/>
    </row>
    <row r="405" spans="1:6" x14ac:dyDescent="0.35">
      <c r="A405" s="65"/>
      <c r="B405" s="66"/>
      <c r="C405" s="66"/>
      <c r="D405" s="66"/>
      <c r="E405" s="65"/>
      <c r="F405" s="64"/>
    </row>
    <row r="406" spans="1:6" x14ac:dyDescent="0.35">
      <c r="A406" s="65"/>
      <c r="B406" s="66"/>
      <c r="C406" s="66"/>
      <c r="D406" s="66"/>
      <c r="E406" s="65"/>
      <c r="F406" s="64"/>
    </row>
    <row r="407" spans="1:6" x14ac:dyDescent="0.35">
      <c r="A407" s="65"/>
      <c r="B407" s="66"/>
      <c r="C407" s="66"/>
      <c r="D407" s="66"/>
      <c r="E407" s="65"/>
      <c r="F407" s="64"/>
    </row>
    <row r="408" spans="1:6" x14ac:dyDescent="0.35">
      <c r="A408" s="65"/>
      <c r="B408" s="66"/>
      <c r="C408" s="66"/>
      <c r="D408" s="66"/>
      <c r="E408" s="65"/>
      <c r="F408" s="64"/>
    </row>
    <row r="409" spans="1:6" x14ac:dyDescent="0.35">
      <c r="A409" s="65"/>
      <c r="B409" s="66"/>
      <c r="C409" s="66"/>
      <c r="D409" s="66"/>
      <c r="E409" s="65"/>
      <c r="F409" s="64"/>
    </row>
    <row r="410" spans="1:6" x14ac:dyDescent="0.35">
      <c r="A410" s="65"/>
      <c r="B410" s="66"/>
      <c r="C410" s="66"/>
      <c r="D410" s="66"/>
      <c r="E410" s="65"/>
      <c r="F410" s="64"/>
    </row>
    <row r="411" spans="1:6" x14ac:dyDescent="0.35">
      <c r="A411" s="65"/>
      <c r="B411" s="66"/>
      <c r="C411" s="66"/>
      <c r="D411" s="66"/>
      <c r="E411" s="65"/>
      <c r="F411" s="64"/>
    </row>
    <row r="412" spans="1:6" x14ac:dyDescent="0.35">
      <c r="A412" s="65"/>
      <c r="B412" s="66"/>
      <c r="C412" s="66"/>
      <c r="D412" s="66"/>
      <c r="E412" s="65"/>
      <c r="F412" s="64"/>
    </row>
    <row r="413" spans="1:6" x14ac:dyDescent="0.35">
      <c r="A413" s="65"/>
      <c r="B413" s="66"/>
      <c r="C413" s="66"/>
      <c r="D413" s="66"/>
      <c r="E413" s="65"/>
      <c r="F413" s="64"/>
    </row>
    <row r="414" spans="1:6" x14ac:dyDescent="0.35">
      <c r="A414" s="65"/>
      <c r="B414" s="66"/>
      <c r="C414" s="66"/>
      <c r="D414" s="66"/>
      <c r="E414" s="65"/>
      <c r="F414" s="64"/>
    </row>
    <row r="415" spans="1:6" x14ac:dyDescent="0.35">
      <c r="A415" s="65"/>
      <c r="B415" s="66"/>
      <c r="C415" s="66"/>
      <c r="D415" s="66"/>
      <c r="E415" s="65"/>
      <c r="F415" s="64"/>
    </row>
    <row r="416" spans="1:6" x14ac:dyDescent="0.35">
      <c r="A416" s="65"/>
      <c r="B416" s="66"/>
      <c r="C416" s="66"/>
      <c r="D416" s="66"/>
      <c r="E416" s="65"/>
      <c r="F416" s="64"/>
    </row>
    <row r="417" spans="1:6" x14ac:dyDescent="0.35">
      <c r="A417" s="65"/>
      <c r="B417" s="66"/>
      <c r="C417" s="66"/>
      <c r="D417" s="66"/>
      <c r="E417" s="65"/>
      <c r="F417" s="64"/>
    </row>
    <row r="418" spans="1:6" x14ac:dyDescent="0.35">
      <c r="A418" s="65"/>
      <c r="B418" s="66"/>
      <c r="C418" s="66"/>
      <c r="D418" s="66"/>
      <c r="E418" s="65"/>
      <c r="F418" s="64"/>
    </row>
    <row r="419" spans="1:6" x14ac:dyDescent="0.35">
      <c r="A419" s="65"/>
      <c r="B419" s="66"/>
      <c r="C419" s="66"/>
      <c r="D419" s="66"/>
      <c r="E419" s="65"/>
      <c r="F419" s="64"/>
    </row>
    <row r="420" spans="1:6" x14ac:dyDescent="0.35">
      <c r="A420" s="65"/>
      <c r="B420" s="66"/>
      <c r="C420" s="66"/>
      <c r="D420" s="66"/>
      <c r="E420" s="65"/>
      <c r="F420" s="64"/>
    </row>
    <row r="421" spans="1:6" x14ac:dyDescent="0.35">
      <c r="A421" s="65"/>
      <c r="B421" s="66"/>
      <c r="C421" s="66"/>
      <c r="D421" s="66"/>
      <c r="E421" s="65"/>
      <c r="F421" s="64"/>
    </row>
    <row r="422" spans="1:6" x14ac:dyDescent="0.35">
      <c r="A422" s="65"/>
      <c r="B422" s="66"/>
      <c r="C422" s="66"/>
      <c r="D422" s="66"/>
      <c r="E422" s="65"/>
      <c r="F422" s="64"/>
    </row>
    <row r="423" spans="1:6" x14ac:dyDescent="0.35">
      <c r="A423" s="65"/>
      <c r="B423" s="66"/>
      <c r="C423" s="66"/>
      <c r="D423" s="66"/>
      <c r="E423" s="65"/>
      <c r="F423" s="64"/>
    </row>
    <row r="424" spans="1:6" x14ac:dyDescent="0.35">
      <c r="A424" s="65"/>
      <c r="B424" s="66"/>
      <c r="C424" s="66"/>
      <c r="D424" s="66"/>
      <c r="E424" s="65"/>
      <c r="F424" s="64"/>
    </row>
    <row r="425" spans="1:6" x14ac:dyDescent="0.35">
      <c r="A425" s="65"/>
      <c r="B425" s="66"/>
      <c r="C425" s="66"/>
      <c r="D425" s="66"/>
      <c r="E425" s="65"/>
      <c r="F425" s="64"/>
    </row>
    <row r="426" spans="1:6" x14ac:dyDescent="0.35">
      <c r="A426" s="65"/>
      <c r="B426" s="66"/>
      <c r="C426" s="66"/>
      <c r="D426" s="66"/>
      <c r="E426" s="65"/>
      <c r="F426" s="64"/>
    </row>
    <row r="427" spans="1:6" x14ac:dyDescent="0.35">
      <c r="A427" s="65"/>
      <c r="B427" s="66"/>
      <c r="C427" s="66"/>
      <c r="D427" s="66"/>
      <c r="E427" s="65"/>
      <c r="F427" s="64"/>
    </row>
    <row r="428" spans="1:6" x14ac:dyDescent="0.35">
      <c r="A428" s="65"/>
      <c r="B428" s="66"/>
      <c r="C428" s="66"/>
      <c r="D428" s="66"/>
      <c r="E428" s="65"/>
      <c r="F428" s="64"/>
    </row>
    <row r="429" spans="1:6" x14ac:dyDescent="0.35">
      <c r="A429" s="65"/>
      <c r="B429" s="66"/>
      <c r="C429" s="66"/>
      <c r="D429" s="66"/>
      <c r="E429" s="65"/>
      <c r="F429" s="64"/>
    </row>
    <row r="430" spans="1:6" x14ac:dyDescent="0.35">
      <c r="A430" s="65"/>
      <c r="B430" s="66"/>
      <c r="C430" s="66"/>
      <c r="D430" s="66"/>
      <c r="E430" s="65"/>
      <c r="F430" s="64"/>
    </row>
    <row r="431" spans="1:6" x14ac:dyDescent="0.35">
      <c r="A431" s="65"/>
      <c r="B431" s="66"/>
      <c r="C431" s="66"/>
      <c r="D431" s="66"/>
      <c r="E431" s="65"/>
      <c r="F431" s="64"/>
    </row>
    <row r="432" spans="1:6" x14ac:dyDescent="0.35">
      <c r="A432" s="65"/>
      <c r="B432" s="66"/>
      <c r="C432" s="66"/>
      <c r="D432" s="66"/>
      <c r="E432" s="65"/>
      <c r="F432" s="64"/>
    </row>
    <row r="433" spans="1:6" x14ac:dyDescent="0.35">
      <c r="A433" s="65"/>
      <c r="B433" s="66"/>
      <c r="C433" s="66"/>
      <c r="D433" s="66"/>
      <c r="E433" s="65"/>
      <c r="F433" s="64"/>
    </row>
    <row r="434" spans="1:6" x14ac:dyDescent="0.35">
      <c r="A434" s="65"/>
      <c r="B434" s="66"/>
      <c r="C434" s="66"/>
      <c r="D434" s="66"/>
      <c r="E434" s="65"/>
      <c r="F434" s="64"/>
    </row>
    <row r="435" spans="1:6" x14ac:dyDescent="0.35">
      <c r="A435" s="65"/>
      <c r="B435" s="66"/>
      <c r="C435" s="66"/>
      <c r="D435" s="66"/>
      <c r="E435" s="65"/>
      <c r="F435" s="64"/>
    </row>
    <row r="436" spans="1:6" x14ac:dyDescent="0.35">
      <c r="A436" s="65"/>
      <c r="B436" s="66"/>
      <c r="C436" s="66"/>
      <c r="D436" s="66"/>
      <c r="E436" s="65"/>
      <c r="F436" s="64"/>
    </row>
    <row r="437" spans="1:6" x14ac:dyDescent="0.35">
      <c r="A437" s="65"/>
      <c r="B437" s="66"/>
      <c r="C437" s="66"/>
      <c r="D437" s="66"/>
      <c r="E437" s="65"/>
      <c r="F437" s="64"/>
    </row>
    <row r="438" spans="1:6" x14ac:dyDescent="0.35">
      <c r="A438" s="65"/>
      <c r="B438" s="66"/>
      <c r="C438" s="66"/>
      <c r="D438" s="66"/>
      <c r="E438" s="65"/>
      <c r="F438" s="64"/>
    </row>
    <row r="439" spans="1:6" x14ac:dyDescent="0.35">
      <c r="A439" s="65"/>
      <c r="B439" s="66"/>
      <c r="C439" s="66"/>
      <c r="D439" s="66"/>
      <c r="E439" s="65"/>
      <c r="F439" s="64"/>
    </row>
    <row r="440" spans="1:6" x14ac:dyDescent="0.35">
      <c r="A440" s="65"/>
      <c r="B440" s="66"/>
      <c r="C440" s="66"/>
      <c r="D440" s="66"/>
      <c r="E440" s="65"/>
      <c r="F440" s="64"/>
    </row>
    <row r="441" spans="1:6" x14ac:dyDescent="0.35">
      <c r="A441" s="65"/>
      <c r="B441" s="66"/>
      <c r="C441" s="66"/>
      <c r="D441" s="66"/>
      <c r="E441" s="65"/>
      <c r="F441" s="64"/>
    </row>
    <row r="442" spans="1:6" x14ac:dyDescent="0.35">
      <c r="A442" s="65"/>
      <c r="B442" s="66"/>
      <c r="C442" s="66"/>
      <c r="D442" s="66"/>
      <c r="E442" s="65"/>
      <c r="F442" s="64"/>
    </row>
    <row r="443" spans="1:6" x14ac:dyDescent="0.35">
      <c r="A443" s="65"/>
      <c r="B443" s="66"/>
      <c r="C443" s="66"/>
      <c r="D443" s="66"/>
      <c r="E443" s="65"/>
      <c r="F443" s="64"/>
    </row>
    <row r="444" spans="1:6" x14ac:dyDescent="0.35">
      <c r="A444" s="65"/>
      <c r="B444" s="66"/>
      <c r="C444" s="66"/>
      <c r="D444" s="66"/>
      <c r="E444" s="65"/>
      <c r="F444" s="64"/>
    </row>
    <row r="445" spans="1:6" x14ac:dyDescent="0.35">
      <c r="A445" s="65"/>
      <c r="B445" s="66"/>
      <c r="C445" s="66"/>
      <c r="D445" s="66"/>
      <c r="E445" s="65"/>
      <c r="F445" s="64"/>
    </row>
    <row r="446" spans="1:6" x14ac:dyDescent="0.35">
      <c r="A446" s="65"/>
      <c r="B446" s="66"/>
      <c r="C446" s="66"/>
      <c r="D446" s="66"/>
      <c r="E446" s="65"/>
      <c r="F446" s="64"/>
    </row>
    <row r="447" spans="1:6" x14ac:dyDescent="0.35">
      <c r="A447" s="65"/>
      <c r="B447" s="66"/>
      <c r="C447" s="66"/>
      <c r="D447" s="66"/>
      <c r="E447" s="65"/>
      <c r="F447" s="64"/>
    </row>
    <row r="448" spans="1:6" x14ac:dyDescent="0.35">
      <c r="A448" s="65"/>
      <c r="B448" s="66"/>
      <c r="C448" s="66"/>
      <c r="D448" s="66"/>
      <c r="E448" s="65"/>
      <c r="F448" s="64"/>
    </row>
    <row r="449" spans="1:6" x14ac:dyDescent="0.35">
      <c r="A449" s="65"/>
      <c r="B449" s="66"/>
      <c r="C449" s="66"/>
      <c r="D449" s="66"/>
      <c r="E449" s="65"/>
      <c r="F449" s="64"/>
    </row>
    <row r="450" spans="1:6" x14ac:dyDescent="0.35">
      <c r="A450" s="65"/>
      <c r="B450" s="66"/>
      <c r="C450" s="66"/>
      <c r="D450" s="66"/>
      <c r="E450" s="65"/>
      <c r="F450" s="64"/>
    </row>
    <row r="451" spans="1:6" x14ac:dyDescent="0.35">
      <c r="A451" s="65"/>
      <c r="B451" s="66"/>
      <c r="C451" s="66"/>
      <c r="D451" s="66"/>
      <c r="E451" s="65"/>
      <c r="F451" s="64"/>
    </row>
    <row r="452" spans="1:6" x14ac:dyDescent="0.35">
      <c r="A452" s="65"/>
      <c r="B452" s="66"/>
      <c r="C452" s="66"/>
      <c r="D452" s="66"/>
      <c r="E452" s="65"/>
      <c r="F452" s="64"/>
    </row>
    <row r="453" spans="1:6" x14ac:dyDescent="0.35">
      <c r="A453" s="65"/>
      <c r="B453" s="66"/>
      <c r="C453" s="66"/>
      <c r="D453" s="66"/>
      <c r="E453" s="65"/>
      <c r="F453" s="64"/>
    </row>
    <row r="454" spans="1:6" x14ac:dyDescent="0.35">
      <c r="A454" s="65"/>
      <c r="B454" s="66"/>
      <c r="C454" s="66"/>
      <c r="D454" s="66"/>
      <c r="E454" s="65"/>
      <c r="F454" s="64"/>
    </row>
    <row r="455" spans="1:6" x14ac:dyDescent="0.35">
      <c r="A455" s="65"/>
      <c r="B455" s="66"/>
      <c r="C455" s="66"/>
      <c r="D455" s="66"/>
      <c r="E455" s="65"/>
      <c r="F455" s="64"/>
    </row>
    <row r="456" spans="1:6" x14ac:dyDescent="0.35">
      <c r="A456" s="65"/>
      <c r="B456" s="66"/>
      <c r="C456" s="66"/>
      <c r="D456" s="66"/>
      <c r="E456" s="65"/>
      <c r="F456" s="64"/>
    </row>
    <row r="457" spans="1:6" x14ac:dyDescent="0.35">
      <c r="A457" s="65"/>
      <c r="B457" s="66"/>
      <c r="C457" s="66"/>
      <c r="D457" s="66"/>
      <c r="E457" s="65"/>
      <c r="F457" s="64"/>
    </row>
    <row r="458" spans="1:6" x14ac:dyDescent="0.35">
      <c r="A458" s="65"/>
      <c r="B458" s="66"/>
      <c r="C458" s="66"/>
      <c r="D458" s="66"/>
      <c r="E458" s="65"/>
      <c r="F458" s="64"/>
    </row>
    <row r="459" spans="1:6" x14ac:dyDescent="0.35">
      <c r="A459" s="65"/>
      <c r="B459" s="66"/>
      <c r="C459" s="66"/>
      <c r="D459" s="66"/>
      <c r="E459" s="65"/>
      <c r="F459" s="64"/>
    </row>
    <row r="460" spans="1:6" x14ac:dyDescent="0.35">
      <c r="A460" s="65"/>
      <c r="B460" s="66"/>
      <c r="C460" s="66"/>
      <c r="D460" s="66"/>
      <c r="E460" s="65"/>
      <c r="F460" s="64"/>
    </row>
    <row r="461" spans="1:6" x14ac:dyDescent="0.35">
      <c r="A461" s="65"/>
      <c r="B461" s="66"/>
      <c r="C461" s="66"/>
      <c r="D461" s="66"/>
      <c r="E461" s="65"/>
      <c r="F461" s="64"/>
    </row>
    <row r="462" spans="1:6" x14ac:dyDescent="0.35">
      <c r="A462" s="65"/>
      <c r="B462" s="66"/>
      <c r="C462" s="66"/>
      <c r="D462" s="66"/>
      <c r="E462" s="65"/>
      <c r="F462" s="64"/>
    </row>
    <row r="463" spans="1:6" x14ac:dyDescent="0.35">
      <c r="A463" s="65"/>
      <c r="B463" s="66"/>
      <c r="C463" s="66"/>
      <c r="D463" s="66"/>
      <c r="E463" s="65"/>
      <c r="F463" s="64"/>
    </row>
    <row r="464" spans="1:6" x14ac:dyDescent="0.35">
      <c r="A464" s="65"/>
      <c r="B464" s="66"/>
      <c r="C464" s="66"/>
      <c r="D464" s="66"/>
      <c r="E464" s="65"/>
      <c r="F464" s="64"/>
    </row>
    <row r="465" spans="1:6" x14ac:dyDescent="0.35">
      <c r="A465" s="65"/>
      <c r="B465" s="66"/>
      <c r="C465" s="66"/>
      <c r="D465" s="66"/>
      <c r="E465" s="65"/>
      <c r="F465" s="64"/>
    </row>
    <row r="466" spans="1:6" x14ac:dyDescent="0.35">
      <c r="A466" s="65"/>
      <c r="B466" s="66"/>
      <c r="C466" s="66"/>
      <c r="D466" s="66"/>
      <c r="E466" s="65"/>
      <c r="F466" s="64"/>
    </row>
    <row r="467" spans="1:6" x14ac:dyDescent="0.35">
      <c r="A467" s="65"/>
      <c r="B467" s="66"/>
      <c r="C467" s="66"/>
      <c r="D467" s="66"/>
      <c r="E467" s="65"/>
      <c r="F467" s="64"/>
    </row>
    <row r="468" spans="1:6" x14ac:dyDescent="0.35">
      <c r="A468" s="65"/>
      <c r="B468" s="66"/>
      <c r="C468" s="66"/>
      <c r="D468" s="66"/>
      <c r="E468" s="65"/>
      <c r="F468" s="64"/>
    </row>
    <row r="469" spans="1:6" x14ac:dyDescent="0.35">
      <c r="A469" s="65"/>
      <c r="B469" s="66"/>
      <c r="C469" s="66"/>
      <c r="D469" s="66"/>
      <c r="E469" s="65"/>
      <c r="F469" s="64"/>
    </row>
    <row r="470" spans="1:6" x14ac:dyDescent="0.35">
      <c r="A470" s="65"/>
      <c r="B470" s="66"/>
      <c r="C470" s="66"/>
      <c r="D470" s="66"/>
      <c r="E470" s="65"/>
      <c r="F470" s="64"/>
    </row>
    <row r="471" spans="1:6" x14ac:dyDescent="0.35">
      <c r="A471" s="65"/>
      <c r="B471" s="66"/>
      <c r="C471" s="66"/>
      <c r="D471" s="66"/>
      <c r="E471" s="65"/>
      <c r="F471" s="64"/>
    </row>
    <row r="472" spans="1:6" x14ac:dyDescent="0.35">
      <c r="A472" s="65"/>
      <c r="B472" s="66"/>
      <c r="C472" s="66"/>
      <c r="D472" s="66"/>
      <c r="E472" s="65"/>
      <c r="F472" s="64"/>
    </row>
    <row r="473" spans="1:6" x14ac:dyDescent="0.35">
      <c r="A473" s="65"/>
      <c r="B473" s="66"/>
      <c r="C473" s="66"/>
      <c r="D473" s="66"/>
      <c r="E473" s="65"/>
      <c r="F473" s="64"/>
    </row>
    <row r="474" spans="1:6" x14ac:dyDescent="0.35">
      <c r="A474" s="65"/>
      <c r="B474" s="66"/>
      <c r="C474" s="66"/>
      <c r="D474" s="66"/>
      <c r="E474" s="65"/>
      <c r="F474" s="64"/>
    </row>
    <row r="475" spans="1:6" x14ac:dyDescent="0.35">
      <c r="A475" s="65"/>
      <c r="B475" s="66"/>
      <c r="C475" s="66"/>
      <c r="D475" s="66"/>
      <c r="E475" s="65"/>
      <c r="F475" s="64"/>
    </row>
    <row r="476" spans="1:6" x14ac:dyDescent="0.35">
      <c r="A476" s="65"/>
      <c r="B476" s="66"/>
      <c r="C476" s="66"/>
      <c r="D476" s="66"/>
      <c r="E476" s="65"/>
      <c r="F476" s="64"/>
    </row>
    <row r="477" spans="1:6" x14ac:dyDescent="0.35">
      <c r="A477" s="65"/>
      <c r="B477" s="66"/>
      <c r="C477" s="66"/>
      <c r="D477" s="66"/>
      <c r="E477" s="65"/>
      <c r="F477" s="64"/>
    </row>
    <row r="478" spans="1:6" x14ac:dyDescent="0.35">
      <c r="A478" s="65"/>
      <c r="B478" s="66"/>
      <c r="C478" s="66"/>
      <c r="D478" s="66"/>
      <c r="E478" s="65"/>
      <c r="F478" s="64"/>
    </row>
    <row r="479" spans="1:6" x14ac:dyDescent="0.35">
      <c r="A479" s="65"/>
      <c r="B479" s="66"/>
      <c r="C479" s="66"/>
      <c r="D479" s="66"/>
      <c r="E479" s="65"/>
      <c r="F479" s="64"/>
    </row>
    <row r="480" spans="1:6" x14ac:dyDescent="0.35">
      <c r="A480" s="65"/>
      <c r="B480" s="66"/>
      <c r="C480" s="66"/>
      <c r="D480" s="66"/>
      <c r="E480" s="65"/>
      <c r="F480" s="64"/>
    </row>
    <row r="481" spans="1:6" x14ac:dyDescent="0.35">
      <c r="A481" s="65"/>
      <c r="B481" s="66"/>
      <c r="C481" s="66"/>
      <c r="D481" s="66"/>
      <c r="E481" s="65"/>
      <c r="F481" s="64"/>
    </row>
    <row r="482" spans="1:6" x14ac:dyDescent="0.35">
      <c r="A482" s="65"/>
      <c r="B482" s="66"/>
      <c r="C482" s="66"/>
      <c r="D482" s="66"/>
      <c r="E482" s="65"/>
      <c r="F482" s="64"/>
    </row>
    <row r="483" spans="1:6" x14ac:dyDescent="0.35">
      <c r="A483" s="65"/>
      <c r="B483" s="66"/>
      <c r="C483" s="66"/>
      <c r="D483" s="66"/>
      <c r="E483" s="65"/>
      <c r="F483" s="64"/>
    </row>
    <row r="484" spans="1:6" x14ac:dyDescent="0.35">
      <c r="A484" s="65"/>
      <c r="B484" s="66"/>
      <c r="C484" s="66"/>
      <c r="D484" s="66"/>
      <c r="E484" s="65"/>
      <c r="F484" s="64"/>
    </row>
    <row r="485" spans="1:6" x14ac:dyDescent="0.35">
      <c r="A485" s="65"/>
      <c r="B485" s="66"/>
      <c r="C485" s="66"/>
      <c r="D485" s="66"/>
      <c r="E485" s="65"/>
      <c r="F485" s="64"/>
    </row>
    <row r="486" spans="1:6" x14ac:dyDescent="0.35">
      <c r="A486" s="65"/>
      <c r="B486" s="66"/>
      <c r="C486" s="66"/>
      <c r="D486" s="66"/>
      <c r="E486" s="65"/>
      <c r="F486" s="64"/>
    </row>
    <row r="487" spans="1:6" x14ac:dyDescent="0.35">
      <c r="A487" s="65"/>
      <c r="B487" s="66"/>
      <c r="C487" s="66"/>
      <c r="D487" s="66"/>
      <c r="E487" s="65"/>
      <c r="F487" s="64"/>
    </row>
    <row r="488" spans="1:6" x14ac:dyDescent="0.35">
      <c r="A488" s="65"/>
      <c r="B488" s="66"/>
      <c r="C488" s="66"/>
      <c r="D488" s="66"/>
      <c r="E488" s="65"/>
      <c r="F488" s="64"/>
    </row>
    <row r="489" spans="1:6" x14ac:dyDescent="0.35">
      <c r="A489" s="65"/>
      <c r="B489" s="66"/>
      <c r="C489" s="66"/>
      <c r="D489" s="66"/>
      <c r="E489" s="65"/>
      <c r="F489" s="64"/>
    </row>
    <row r="490" spans="1:6" x14ac:dyDescent="0.35">
      <c r="A490" s="65"/>
      <c r="B490" s="66"/>
      <c r="C490" s="66"/>
      <c r="D490" s="66"/>
      <c r="E490" s="65"/>
      <c r="F490" s="64"/>
    </row>
    <row r="491" spans="1:6" x14ac:dyDescent="0.35">
      <c r="A491" s="65"/>
      <c r="B491" s="66"/>
      <c r="C491" s="66"/>
      <c r="D491" s="66"/>
      <c r="E491" s="65"/>
      <c r="F491" s="64"/>
    </row>
    <row r="492" spans="1:6" x14ac:dyDescent="0.35">
      <c r="A492" s="65"/>
      <c r="B492" s="66"/>
      <c r="C492" s="66"/>
      <c r="D492" s="66"/>
      <c r="E492" s="65"/>
      <c r="F492" s="64"/>
    </row>
    <row r="493" spans="1:6" x14ac:dyDescent="0.35">
      <c r="A493" s="65"/>
      <c r="B493" s="66"/>
      <c r="C493" s="66"/>
      <c r="D493" s="66"/>
      <c r="E493" s="65"/>
      <c r="F493" s="64"/>
    </row>
    <row r="494" spans="1:6" x14ac:dyDescent="0.35">
      <c r="A494" s="65"/>
      <c r="B494" s="66"/>
      <c r="C494" s="66"/>
      <c r="D494" s="66"/>
      <c r="E494" s="65"/>
      <c r="F494" s="64"/>
    </row>
    <row r="495" spans="1:6" x14ac:dyDescent="0.35">
      <c r="A495" s="65"/>
      <c r="B495" s="66"/>
      <c r="C495" s="66"/>
      <c r="D495" s="66"/>
      <c r="E495" s="65"/>
      <c r="F495" s="64"/>
    </row>
    <row r="496" spans="1:6" x14ac:dyDescent="0.35">
      <c r="A496" s="65"/>
      <c r="B496" s="66"/>
      <c r="C496" s="66"/>
      <c r="D496" s="66"/>
      <c r="E496" s="65"/>
      <c r="F496" s="64"/>
    </row>
    <row r="497" spans="1:6" x14ac:dyDescent="0.35">
      <c r="A497" s="65"/>
      <c r="B497" s="66"/>
      <c r="C497" s="66"/>
      <c r="D497" s="66"/>
      <c r="E497" s="65"/>
      <c r="F497" s="64"/>
    </row>
    <row r="498" spans="1:6" x14ac:dyDescent="0.35">
      <c r="A498" s="65"/>
      <c r="B498" s="66"/>
      <c r="C498" s="66"/>
      <c r="D498" s="66"/>
      <c r="E498" s="65"/>
      <c r="F498" s="64"/>
    </row>
    <row r="499" spans="1:6" x14ac:dyDescent="0.35">
      <c r="A499" s="65"/>
      <c r="B499" s="66"/>
      <c r="C499" s="66"/>
      <c r="D499" s="66"/>
      <c r="E499" s="65"/>
      <c r="F499" s="64"/>
    </row>
    <row r="500" spans="1:6" x14ac:dyDescent="0.35">
      <c r="A500" s="65"/>
      <c r="B500" s="66"/>
      <c r="C500" s="66"/>
      <c r="D500" s="66"/>
      <c r="E500" s="65"/>
      <c r="F500" s="64"/>
    </row>
  </sheetData>
  <dataValidations count="2">
    <dataValidation type="decimal" allowBlank="1" showInputMessage="1" errorTitle="Percentage" error="Enter a percentage between 0% and 100% (for example 95%)." promptTitle="Percentage" prompt="Type like 95% (or 0.95)." sqref="B2:D500" xr:uid="{00000000-0002-0000-0800-000000000000}">
      <formula1>0</formula1>
      <formula2>1</formula2>
    </dataValidation>
    <dataValidation type="whole" operator="greaterThanOrEqual" allowBlank="1" errorTitle="Active students" error="Enter a whole number." sqref="E2:E500" xr:uid="{00000000-0002-0000-0800-000001000000}">
      <formula1>0</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M89"/>
  <sheetViews>
    <sheetView showGridLines="0" zoomScale="85" zoomScaleNormal="85" workbookViewId="0">
      <selection activeCell="B29" sqref="B29"/>
    </sheetView>
  </sheetViews>
  <sheetFormatPr defaultColWidth="8.54296875" defaultRowHeight="14.5" x14ac:dyDescent="0.35"/>
  <cols>
    <col min="1" max="1" width="2" customWidth="1"/>
    <col min="2" max="13" width="13.453125" customWidth="1"/>
  </cols>
  <sheetData>
    <row r="1" spans="2:13" ht="37.5" customHeight="1" x14ac:dyDescent="0.35">
      <c r="B1" s="101" t="s">
        <v>138</v>
      </c>
      <c r="C1" s="101"/>
      <c r="D1" s="101"/>
      <c r="E1" s="101"/>
      <c r="F1" s="101"/>
      <c r="G1" s="101"/>
      <c r="H1" s="101"/>
      <c r="I1" s="101"/>
      <c r="J1" s="101"/>
      <c r="K1" s="101"/>
      <c r="L1" s="101"/>
      <c r="M1" s="101"/>
    </row>
    <row r="2" spans="2:13" x14ac:dyDescent="0.35">
      <c r="B2" s="102" t="s">
        <v>139</v>
      </c>
      <c r="C2" s="102"/>
      <c r="D2" s="102"/>
      <c r="E2" s="102"/>
      <c r="F2" s="102"/>
      <c r="G2" s="102"/>
      <c r="H2" s="102"/>
      <c r="K2" s="8" t="s">
        <v>2</v>
      </c>
      <c r="L2" s="115">
        <f ca="1">Calc!$H$3</f>
        <v>46302</v>
      </c>
      <c r="M2" s="115"/>
    </row>
    <row r="4" spans="2:13" ht="25.5" customHeight="1" x14ac:dyDescent="0.35">
      <c r="B4" s="97" t="s">
        <v>140</v>
      </c>
      <c r="C4" s="97"/>
      <c r="D4" s="116" t="s">
        <v>141</v>
      </c>
      <c r="E4" s="116"/>
      <c r="F4" s="97" t="s">
        <v>142</v>
      </c>
      <c r="G4" s="97"/>
      <c r="H4" s="97" t="s">
        <v>143</v>
      </c>
      <c r="I4" s="97"/>
      <c r="J4" s="100" t="s">
        <v>144</v>
      </c>
      <c r="K4" s="100"/>
      <c r="L4" s="97" t="s">
        <v>145</v>
      </c>
      <c r="M4" s="97"/>
    </row>
    <row r="5" spans="2:13" ht="43.5" customHeight="1" x14ac:dyDescent="0.35">
      <c r="B5" s="96">
        <f>COUNTA('Master-Input'!$A$2:$A$500)</f>
        <v>38</v>
      </c>
      <c r="C5" s="96"/>
      <c r="D5" s="96">
        <f ca="1">COUNTIFS('Master-Input'!$D$2:$D$500,"&lt;="&amp;Calc!$H$3,'Master-Input'!$A$2:$A$500,"&lt;&gt;")</f>
        <v>32</v>
      </c>
      <c r="E5" s="96"/>
      <c r="F5" s="96">
        <f ca="1">COUNTIFS('Master-Input'!$D$2:$D$500,"&gt;"&amp;Calc!$H$3,'Master-Input'!$A$2:$A$500,"&lt;&gt;")</f>
        <v>6</v>
      </c>
      <c r="G5" s="96"/>
      <c r="H5" s="96">
        <f ca="1">Calc!B20</f>
        <v>10</v>
      </c>
      <c r="I5" s="96"/>
      <c r="J5" s="96">
        <f ca="1">Calc!B23</f>
        <v>2</v>
      </c>
      <c r="K5" s="96"/>
      <c r="L5" s="106">
        <f ca="1">IFERROR(Calc!B20/COUNTIFS('Master-Input'!$D$2:$D$500,"&lt;="&amp;Calc!$H$3,'Master-Input'!$C$2:$C$500,"&lt;&gt;Trainee",'Master-Input'!$A$2:$A$500,"&lt;&gt;"),0)</f>
        <v>0.83333333333333337</v>
      </c>
      <c r="M5" s="106"/>
    </row>
    <row r="7" spans="2:13" ht="25.5" customHeight="1" x14ac:dyDescent="0.35">
      <c r="B7" s="98" t="s">
        <v>146</v>
      </c>
      <c r="C7" s="98"/>
      <c r="D7" s="98" t="s">
        <v>147</v>
      </c>
      <c r="E7" s="98"/>
      <c r="F7" s="98" t="s">
        <v>148</v>
      </c>
      <c r="G7" s="98"/>
      <c r="H7" s="98" t="s">
        <v>149</v>
      </c>
      <c r="I7" s="98"/>
      <c r="J7" s="98" t="s">
        <v>150</v>
      </c>
      <c r="K7" s="98"/>
      <c r="L7" s="100" t="s">
        <v>151</v>
      </c>
      <c r="M7" s="100"/>
    </row>
    <row r="8" spans="2:13" ht="43.5" customHeight="1" x14ac:dyDescent="0.35">
      <c r="B8" s="112">
        <f ca="1">Calc!C36</f>
        <v>144000</v>
      </c>
      <c r="C8" s="112"/>
      <c r="D8" s="112">
        <f ca="1">Calc!C36*12</f>
        <v>1728000</v>
      </c>
      <c r="E8" s="112"/>
      <c r="F8" s="112">
        <f ca="1">Calc!D36</f>
        <v>90</v>
      </c>
      <c r="G8" s="112"/>
      <c r="H8" s="96">
        <f ca="1">Calc!B21</f>
        <v>0</v>
      </c>
      <c r="I8" s="96"/>
      <c r="J8" s="96">
        <f ca="1">SUMPRODUCT(('Master-Input'!$F$2:$F$500&lt;&gt;"")*('Master-Input'!$G$2:$G$500&lt;=Calc!$H$3)*('Master-Input'!$H$2:$H$500&gt;=Calc!$H$3)*('Master-Input'!$H$2:$H$500&lt;=Calc!$H$3+Calc!$H$5))</f>
        <v>2</v>
      </c>
      <c r="K8" s="96"/>
      <c r="L8" s="96">
        <f ca="1">SUM(B84:B87)</f>
        <v>1</v>
      </c>
      <c r="M8" s="96"/>
    </row>
    <row r="43" spans="8:11" ht="27.75" customHeight="1" x14ac:dyDescent="0.35">
      <c r="H43" s="9" t="s">
        <v>152</v>
      </c>
      <c r="I43" s="9" t="s">
        <v>153</v>
      </c>
      <c r="J43" s="9" t="s">
        <v>154</v>
      </c>
      <c r="K43" s="9" t="s">
        <v>155</v>
      </c>
    </row>
    <row r="44" spans="8:11" x14ac:dyDescent="0.35">
      <c r="H44" s="10" t="str">
        <f>Calc!A29</f>
        <v>TriNet</v>
      </c>
      <c r="I44" s="11">
        <f ca="1">Calc!B29</f>
        <v>4</v>
      </c>
      <c r="J44" s="12">
        <f ca="1">Calc!C29</f>
        <v>48000</v>
      </c>
      <c r="K44" s="12">
        <f ca="1">Calc!D29</f>
        <v>75</v>
      </c>
    </row>
    <row r="45" spans="8:11" x14ac:dyDescent="0.35">
      <c r="H45" s="10" t="str">
        <f>Calc!A30</f>
        <v>PMI</v>
      </c>
      <c r="I45" s="11">
        <f ca="1">Calc!B30</f>
        <v>1</v>
      </c>
      <c r="J45" s="12">
        <f ca="1">Calc!C30</f>
        <v>16000</v>
      </c>
      <c r="K45" s="12">
        <f ca="1">Calc!D30</f>
        <v>100</v>
      </c>
    </row>
    <row r="46" spans="8:11" x14ac:dyDescent="0.35">
      <c r="H46" s="10" t="str">
        <f>Calc!A31</f>
        <v>Hiscox</v>
      </c>
      <c r="I46" s="11">
        <f ca="1">Calc!B31</f>
        <v>1</v>
      </c>
      <c r="J46" s="12">
        <f ca="1">Calc!C31</f>
        <v>16000</v>
      </c>
      <c r="K46" s="12">
        <f ca="1">Calc!D31</f>
        <v>100</v>
      </c>
    </row>
    <row r="47" spans="8:11" x14ac:dyDescent="0.35">
      <c r="H47" s="10" t="str">
        <f>Calc!A32</f>
        <v>SEI</v>
      </c>
      <c r="I47" s="11">
        <f ca="1">Calc!B32</f>
        <v>2</v>
      </c>
      <c r="J47" s="12">
        <f ca="1">Calc!C32</f>
        <v>32000</v>
      </c>
      <c r="K47" s="12">
        <f ca="1">Calc!D32</f>
        <v>100</v>
      </c>
    </row>
    <row r="48" spans="8:11" x14ac:dyDescent="0.35">
      <c r="H48" s="10" t="str">
        <f>Calc!A33</f>
        <v>M&amp;T Bank</v>
      </c>
      <c r="I48" s="11">
        <f ca="1">Calc!B33</f>
        <v>1</v>
      </c>
      <c r="J48" s="12">
        <f ca="1">Calc!C33</f>
        <v>16000</v>
      </c>
      <c r="K48" s="12">
        <f ca="1">Calc!D33</f>
        <v>100</v>
      </c>
    </row>
    <row r="49" spans="2:13" x14ac:dyDescent="0.35">
      <c r="H49" s="10" t="str">
        <f>Calc!A34</f>
        <v>Peabody</v>
      </c>
      <c r="I49" s="11">
        <f ca="1">Calc!B34</f>
        <v>1</v>
      </c>
      <c r="J49" s="12">
        <f ca="1">Calc!C34</f>
        <v>16000</v>
      </c>
      <c r="K49" s="12">
        <f ca="1">Calc!D34</f>
        <v>100</v>
      </c>
    </row>
    <row r="50" spans="2:13" x14ac:dyDescent="0.35">
      <c r="H50" s="10" t="str">
        <f>Calc!A35</f>
        <v>Other clients</v>
      </c>
      <c r="I50" s="11">
        <f ca="1">Calc!B35</f>
        <v>0</v>
      </c>
      <c r="J50" s="12">
        <f ca="1">Calc!C35</f>
        <v>0</v>
      </c>
      <c r="K50" s="12">
        <f ca="1">Calc!D35</f>
        <v>0</v>
      </c>
    </row>
    <row r="51" spans="2:13" x14ac:dyDescent="0.35">
      <c r="H51" s="13" t="str">
        <f>Calc!A36</f>
        <v>Total active</v>
      </c>
      <c r="I51" s="14">
        <f ca="1">Calc!B36</f>
        <v>10</v>
      </c>
      <c r="J51" s="15">
        <f ca="1">Calc!C36</f>
        <v>144000</v>
      </c>
      <c r="K51" s="15">
        <f ca="1">Calc!D36</f>
        <v>90</v>
      </c>
    </row>
    <row r="58" spans="2:13" ht="21.75" customHeight="1" x14ac:dyDescent="0.35">
      <c r="B58" s="93" t="s">
        <v>156</v>
      </c>
      <c r="C58" s="93"/>
      <c r="D58" s="93"/>
      <c r="E58" s="93"/>
      <c r="F58" s="93"/>
      <c r="G58" s="93"/>
      <c r="H58" s="93"/>
      <c r="I58" s="93"/>
      <c r="J58" s="93"/>
      <c r="K58" s="93"/>
      <c r="L58" s="93"/>
      <c r="M58" s="93"/>
    </row>
    <row r="59" spans="2:13" ht="30" customHeight="1" x14ac:dyDescent="0.35">
      <c r="B59" s="97" t="s">
        <v>157</v>
      </c>
      <c r="C59" s="97"/>
      <c r="D59" s="97" t="s">
        <v>158</v>
      </c>
      <c r="E59" s="97"/>
      <c r="F59" s="99" t="s">
        <v>159</v>
      </c>
      <c r="G59" s="99"/>
      <c r="H59" s="97" t="s">
        <v>160</v>
      </c>
      <c r="I59" s="97"/>
      <c r="J59" s="100" t="s">
        <v>161</v>
      </c>
      <c r="K59" s="100"/>
      <c r="L59" s="98" t="s">
        <v>162</v>
      </c>
      <c r="M59" s="98"/>
    </row>
    <row r="60" spans="2:13" ht="43.5" customHeight="1" x14ac:dyDescent="0.35">
      <c r="B60" s="96">
        <f>Calc!D56</f>
        <v>38</v>
      </c>
      <c r="C60" s="96"/>
      <c r="D60" s="96">
        <f ca="1">Calc!B56</f>
        <v>12</v>
      </c>
      <c r="E60" s="96"/>
      <c r="F60" s="96">
        <f ca="1">Calc!C56</f>
        <v>26</v>
      </c>
      <c r="G60" s="96"/>
      <c r="H60" s="96">
        <f ca="1">Calc!B56-Calc!B66</f>
        <v>10</v>
      </c>
      <c r="I60" s="96"/>
      <c r="J60" s="96">
        <f ca="1">Calc!B66</f>
        <v>2</v>
      </c>
      <c r="K60" s="96"/>
      <c r="L60" s="112">
        <f>Calc!C69</f>
        <v>144000</v>
      </c>
      <c r="M60" s="112"/>
    </row>
    <row r="80" spans="2:13" ht="30" customHeight="1" x14ac:dyDescent="0.35">
      <c r="B80" s="113" t="s">
        <v>163</v>
      </c>
      <c r="C80" s="113"/>
      <c r="D80" s="113"/>
      <c r="E80" s="113"/>
      <c r="F80" s="113"/>
      <c r="G80" s="113"/>
      <c r="H80" s="113"/>
      <c r="I80" s="113"/>
      <c r="J80" s="113"/>
      <c r="K80" s="113"/>
      <c r="L80" s="113"/>
      <c r="M80" s="113"/>
    </row>
    <row r="82" spans="2:13" x14ac:dyDescent="0.35">
      <c r="B82" s="114" t="s">
        <v>164</v>
      </c>
      <c r="C82" s="114"/>
      <c r="D82" s="114"/>
      <c r="E82" s="114"/>
      <c r="F82" s="114"/>
      <c r="G82" s="114"/>
      <c r="H82" s="114"/>
      <c r="I82" s="114"/>
      <c r="J82" s="114"/>
      <c r="K82" s="114"/>
      <c r="L82" s="114"/>
      <c r="M82" s="114"/>
    </row>
    <row r="83" spans="2:13" x14ac:dyDescent="0.35">
      <c r="B83" s="17" t="s">
        <v>37</v>
      </c>
      <c r="C83" s="17" t="s">
        <v>38</v>
      </c>
    </row>
    <row r="84" spans="2:13" x14ac:dyDescent="0.35">
      <c r="B84" s="18">
        <f>SUMPRODUCT(('Master-Input'!$F$2:$F$500&lt;&gt;"")*('Master-Input'!$G$2:$G$500&lt;'Master-Input'!$D$2:$D$500))</f>
        <v>1</v>
      </c>
      <c r="C84" s="19" t="s">
        <v>165</v>
      </c>
    </row>
    <row r="85" spans="2:13" x14ac:dyDescent="0.35">
      <c r="B85" s="18">
        <f>SUMPRODUCT(('Master-Input'!$A$2:$A$500&lt;&gt;"")*(COUNTIF('Master-Input'!$A$2:$A$500,'Master-Input'!$A$2:$A$500)&gt;1))</f>
        <v>0</v>
      </c>
      <c r="C85" s="19" t="s">
        <v>166</v>
      </c>
    </row>
    <row r="86" spans="2:13" x14ac:dyDescent="0.35">
      <c r="B86" s="18">
        <f>SUMPRODUCT(('Master-Input'!$F$2:$F$500&lt;&gt;"")*(('Master-Input'!$I$2:$I$500=0)+('Master-Input'!$J$2:$J$500=0)&gt;0))</f>
        <v>0</v>
      </c>
      <c r="C86" s="19" t="s">
        <v>167</v>
      </c>
    </row>
    <row r="87" spans="2:13" x14ac:dyDescent="0.35">
      <c r="B87" s="18">
        <f ca="1">ABS(COUNTA('Master-Input'!$A$2:$A$500)-SUM(Calc!B20:B25))+ABS(COUNTA('Master-Input'!$A$2:$A$500)-SUM(Calc!D4:D6))</f>
        <v>0</v>
      </c>
      <c r="C87" s="19" t="s">
        <v>168</v>
      </c>
    </row>
    <row r="89" spans="2:13" x14ac:dyDescent="0.35">
      <c r="B89" s="7" t="s">
        <v>169</v>
      </c>
    </row>
  </sheetData>
  <mergeCells count="42">
    <mergeCell ref="B1:M1"/>
    <mergeCell ref="B2:H2"/>
    <mergeCell ref="L2:M2"/>
    <mergeCell ref="B4:C4"/>
    <mergeCell ref="D4:E4"/>
    <mergeCell ref="F4:G4"/>
    <mergeCell ref="H4:I4"/>
    <mergeCell ref="J4:K4"/>
    <mergeCell ref="L4:M4"/>
    <mergeCell ref="L5:M5"/>
    <mergeCell ref="B7:C7"/>
    <mergeCell ref="D7:E7"/>
    <mergeCell ref="F7:G7"/>
    <mergeCell ref="H7:I7"/>
    <mergeCell ref="J7:K7"/>
    <mergeCell ref="L7:M7"/>
    <mergeCell ref="B5:C5"/>
    <mergeCell ref="D5:E5"/>
    <mergeCell ref="F5:G5"/>
    <mergeCell ref="H5:I5"/>
    <mergeCell ref="J5:K5"/>
    <mergeCell ref="L8:M8"/>
    <mergeCell ref="B58:M58"/>
    <mergeCell ref="B59:C59"/>
    <mergeCell ref="D59:E59"/>
    <mergeCell ref="F59:G59"/>
    <mergeCell ref="H59:I59"/>
    <mergeCell ref="J59:K59"/>
    <mergeCell ref="L59:M59"/>
    <mergeCell ref="B8:C8"/>
    <mergeCell ref="D8:E8"/>
    <mergeCell ref="F8:G8"/>
    <mergeCell ref="H8:I8"/>
    <mergeCell ref="J8:K8"/>
    <mergeCell ref="L60:M60"/>
    <mergeCell ref="B80:M80"/>
    <mergeCell ref="B82:M82"/>
    <mergeCell ref="B60:C60"/>
    <mergeCell ref="D60:E60"/>
    <mergeCell ref="F60:G60"/>
    <mergeCell ref="H60:I60"/>
    <mergeCell ref="J60:K60"/>
  </mergeCells>
  <pageMargins left="0.75" right="0.75" top="1" bottom="1" header="0.511811023622047" footer="0.511811023622047"/>
  <pageSetup fitToHeight="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0"/>
  <sheetViews>
    <sheetView zoomScaleNormal="100" workbookViewId="0">
      <pane xSplit="1" ySplit="1" topLeftCell="B2" activePane="bottomRight" state="frozen"/>
      <selection pane="topRight" activeCell="B29" sqref="B29"/>
      <selection pane="bottomLeft" activeCell="B29" sqref="B29"/>
      <selection pane="bottomRight" activeCell="I16" sqref="I16"/>
    </sheetView>
  </sheetViews>
  <sheetFormatPr defaultColWidth="8.54296875" defaultRowHeight="14.5" x14ac:dyDescent="0.35"/>
  <cols>
    <col min="1" max="1" width="26" customWidth="1"/>
    <col min="2" max="2" width="12" customWidth="1"/>
    <col min="3" max="3" width="14" customWidth="1"/>
    <col min="4" max="4" width="18" customWidth="1"/>
    <col min="5" max="5" width="11" customWidth="1"/>
    <col min="6" max="6" width="15" customWidth="1"/>
    <col min="7" max="8" width="18" customWidth="1"/>
    <col min="9" max="9" width="20" customWidth="1"/>
    <col min="10" max="10" width="11" customWidth="1"/>
    <col min="11" max="11" width="16" customWidth="1"/>
  </cols>
  <sheetData>
    <row r="1" spans="1:11" ht="45" customHeight="1" x14ac:dyDescent="0.35">
      <c r="A1" s="20" t="s">
        <v>12</v>
      </c>
      <c r="B1" s="20" t="s">
        <v>170</v>
      </c>
      <c r="C1" s="20" t="s">
        <v>171</v>
      </c>
      <c r="D1" s="20" t="s">
        <v>172</v>
      </c>
      <c r="E1" s="20" t="s">
        <v>79</v>
      </c>
      <c r="F1" s="20" t="s">
        <v>173</v>
      </c>
      <c r="G1" s="20" t="s">
        <v>174</v>
      </c>
      <c r="H1" s="20" t="s">
        <v>175</v>
      </c>
      <c r="I1" s="20" t="s">
        <v>176</v>
      </c>
      <c r="J1" s="20" t="s">
        <v>177</v>
      </c>
      <c r="K1" s="20" t="s">
        <v>178</v>
      </c>
    </row>
    <row r="2" spans="1:11" s="26" customFormat="1" x14ac:dyDescent="0.35">
      <c r="A2" s="21" t="s">
        <v>179</v>
      </c>
      <c r="B2" s="22" t="s">
        <v>180</v>
      </c>
      <c r="C2" s="22" t="s">
        <v>13</v>
      </c>
      <c r="D2" s="23">
        <v>46204</v>
      </c>
      <c r="E2" s="22" t="s">
        <v>102</v>
      </c>
      <c r="F2" s="21" t="s">
        <v>181</v>
      </c>
      <c r="G2" s="23">
        <v>46218</v>
      </c>
      <c r="H2" s="23">
        <v>46308</v>
      </c>
      <c r="I2" s="24">
        <v>50</v>
      </c>
      <c r="J2" s="22">
        <v>40</v>
      </c>
      <c r="K2" s="25">
        <f>IF(OR(I2="",J2=""),"",I2*J2*Calc!$H$4)</f>
        <v>8000</v>
      </c>
    </row>
    <row r="3" spans="1:11" s="26" customFormat="1" x14ac:dyDescent="0.35">
      <c r="A3" s="21" t="s">
        <v>182</v>
      </c>
      <c r="B3" s="22" t="s">
        <v>183</v>
      </c>
      <c r="C3" s="22" t="s">
        <v>13</v>
      </c>
      <c r="D3" s="23">
        <v>46204</v>
      </c>
      <c r="E3" s="22" t="s">
        <v>102</v>
      </c>
      <c r="F3" s="21" t="s">
        <v>184</v>
      </c>
      <c r="G3" s="23">
        <v>46237</v>
      </c>
      <c r="H3" s="23">
        <v>46356</v>
      </c>
      <c r="I3" s="24">
        <v>100</v>
      </c>
      <c r="J3" s="22">
        <v>40</v>
      </c>
      <c r="K3" s="25">
        <f>IF(OR(I3="",J3=""),"",I3*J3*Calc!$H$4)</f>
        <v>16000</v>
      </c>
    </row>
    <row r="4" spans="1:11" s="26" customFormat="1" x14ac:dyDescent="0.35">
      <c r="A4" s="21" t="s">
        <v>185</v>
      </c>
      <c r="B4" s="22" t="s">
        <v>183</v>
      </c>
      <c r="C4" s="22" t="s">
        <v>13</v>
      </c>
      <c r="D4" s="23">
        <v>46265</v>
      </c>
      <c r="E4" s="22" t="s">
        <v>102</v>
      </c>
      <c r="F4" s="21" t="s">
        <v>186</v>
      </c>
      <c r="G4" s="23">
        <v>46265</v>
      </c>
      <c r="H4" s="23">
        <v>46387</v>
      </c>
      <c r="I4" s="24">
        <v>100</v>
      </c>
      <c r="J4" s="22">
        <v>40</v>
      </c>
      <c r="K4" s="25">
        <f>IF(OR(I4="",J4=""),"",I4*J4*Calc!$H$4)</f>
        <v>16000</v>
      </c>
    </row>
    <row r="5" spans="1:11" s="26" customFormat="1" x14ac:dyDescent="0.35">
      <c r="A5" s="21" t="s">
        <v>187</v>
      </c>
      <c r="B5" s="22" t="s">
        <v>183</v>
      </c>
      <c r="C5" s="22" t="s">
        <v>13</v>
      </c>
      <c r="D5" s="23">
        <v>46235</v>
      </c>
      <c r="E5" s="22" t="s">
        <v>102</v>
      </c>
      <c r="F5" s="21" t="s">
        <v>188</v>
      </c>
      <c r="G5" s="23">
        <v>46204</v>
      </c>
      <c r="H5" s="23">
        <v>46446</v>
      </c>
      <c r="I5" s="24">
        <v>100</v>
      </c>
      <c r="J5" s="22">
        <v>40</v>
      </c>
      <c r="K5" s="25">
        <f>IF(OR(I5="",J5=""),"",I5*J5*Calc!$H$4)</f>
        <v>16000</v>
      </c>
    </row>
    <row r="6" spans="1:11" s="26" customFormat="1" x14ac:dyDescent="0.35">
      <c r="A6" s="21" t="s">
        <v>189</v>
      </c>
      <c r="B6" s="22" t="s">
        <v>183</v>
      </c>
      <c r="C6" s="22" t="s">
        <v>13</v>
      </c>
      <c r="D6" s="23">
        <v>46266</v>
      </c>
      <c r="E6" s="22" t="s">
        <v>102</v>
      </c>
      <c r="F6" s="21" t="s">
        <v>190</v>
      </c>
      <c r="G6" s="23">
        <v>46279</v>
      </c>
      <c r="H6" s="23">
        <v>46419</v>
      </c>
      <c r="I6" s="24">
        <v>100</v>
      </c>
      <c r="J6" s="22">
        <v>40</v>
      </c>
      <c r="K6" s="25">
        <f>IF(OR(I6="",J6=""),"",I6*J6*Calc!$H$4)</f>
        <v>16000</v>
      </c>
    </row>
    <row r="7" spans="1:11" s="26" customFormat="1" x14ac:dyDescent="0.35">
      <c r="A7" s="21" t="s">
        <v>191</v>
      </c>
      <c r="B7" s="22" t="s">
        <v>180</v>
      </c>
      <c r="C7" s="22" t="s">
        <v>13</v>
      </c>
      <c r="D7" s="23">
        <v>46266</v>
      </c>
      <c r="E7" s="22" t="s">
        <v>102</v>
      </c>
      <c r="F7" s="21" t="s">
        <v>188</v>
      </c>
      <c r="G7" s="23">
        <v>46266</v>
      </c>
      <c r="H7" s="23">
        <v>46446</v>
      </c>
      <c r="I7" s="24">
        <v>100</v>
      </c>
      <c r="J7" s="22">
        <v>40</v>
      </c>
      <c r="K7" s="25">
        <f>IF(OR(I7="",J7=""),"",I7*J7*Calc!$H$4)</f>
        <v>16000</v>
      </c>
    </row>
    <row r="8" spans="1:11" s="26" customFormat="1" x14ac:dyDescent="0.35">
      <c r="A8" s="21" t="s">
        <v>192</v>
      </c>
      <c r="B8" s="22" t="s">
        <v>193</v>
      </c>
      <c r="C8" s="22" t="s">
        <v>13</v>
      </c>
      <c r="D8" s="23">
        <v>46266</v>
      </c>
      <c r="E8" s="22" t="s">
        <v>102</v>
      </c>
      <c r="F8" s="21" t="s">
        <v>194</v>
      </c>
      <c r="G8" s="23">
        <v>46269</v>
      </c>
      <c r="H8" s="23">
        <v>46477</v>
      </c>
      <c r="I8" s="24">
        <v>100</v>
      </c>
      <c r="J8" s="22">
        <v>40</v>
      </c>
      <c r="K8" s="25">
        <f>IF(OR(I8="",J8=""),"",I8*J8*Calc!$H$4)</f>
        <v>16000</v>
      </c>
    </row>
    <row r="9" spans="1:11" s="26" customFormat="1" x14ac:dyDescent="0.35">
      <c r="A9" s="21" t="s">
        <v>195</v>
      </c>
      <c r="B9" s="22" t="s">
        <v>196</v>
      </c>
      <c r="C9" s="22" t="s">
        <v>13</v>
      </c>
      <c r="D9" s="23">
        <v>46293</v>
      </c>
      <c r="E9" s="22" t="s">
        <v>102</v>
      </c>
      <c r="F9" s="21" t="s">
        <v>181</v>
      </c>
      <c r="G9" s="23">
        <v>46293</v>
      </c>
      <c r="H9" s="23">
        <v>46477</v>
      </c>
      <c r="I9" s="24">
        <v>100</v>
      </c>
      <c r="J9" s="22">
        <v>40</v>
      </c>
      <c r="K9" s="25">
        <f>IF(OR(I9="",J9=""),"",I9*J9*Calc!$H$4)</f>
        <v>16000</v>
      </c>
    </row>
    <row r="10" spans="1:11" s="26" customFormat="1" x14ac:dyDescent="0.35">
      <c r="A10" s="21" t="s">
        <v>197</v>
      </c>
      <c r="B10" s="22" t="s">
        <v>183</v>
      </c>
      <c r="C10" s="22" t="s">
        <v>13</v>
      </c>
      <c r="D10" s="23">
        <v>46293</v>
      </c>
      <c r="E10" s="22" t="s">
        <v>102</v>
      </c>
      <c r="F10" s="21" t="s">
        <v>181</v>
      </c>
      <c r="G10" s="23">
        <v>46293</v>
      </c>
      <c r="H10" s="23">
        <v>46477</v>
      </c>
      <c r="I10" s="24">
        <v>75</v>
      </c>
      <c r="J10" s="22">
        <v>40</v>
      </c>
      <c r="K10" s="25">
        <f>IF(OR(I10="",J10=""),"",I10*J10*Calc!$H$4)</f>
        <v>12000</v>
      </c>
    </row>
    <row r="11" spans="1:11" s="26" customFormat="1" x14ac:dyDescent="0.35">
      <c r="A11" s="21" t="s">
        <v>104</v>
      </c>
      <c r="B11" s="22" t="s">
        <v>183</v>
      </c>
      <c r="C11" s="22" t="s">
        <v>12</v>
      </c>
      <c r="D11" s="23">
        <v>46300</v>
      </c>
      <c r="E11" s="22" t="s">
        <v>100</v>
      </c>
      <c r="F11" s="21" t="s">
        <v>181</v>
      </c>
      <c r="G11" s="23">
        <v>46300</v>
      </c>
      <c r="H11" s="23">
        <v>46477</v>
      </c>
      <c r="I11" s="24">
        <v>75</v>
      </c>
      <c r="J11" s="22">
        <v>40</v>
      </c>
      <c r="K11" s="25">
        <f>IF(OR(I11="",J11=""),"",I11*J11*Calc!$H$4)</f>
        <v>12000</v>
      </c>
    </row>
    <row r="12" spans="1:11" s="26" customFormat="1" x14ac:dyDescent="0.35">
      <c r="A12" s="21" t="s">
        <v>106</v>
      </c>
      <c r="B12" s="22" t="s">
        <v>183</v>
      </c>
      <c r="C12" s="22" t="s">
        <v>12</v>
      </c>
      <c r="D12" s="23">
        <v>46307</v>
      </c>
      <c r="E12" s="22" t="s">
        <v>100</v>
      </c>
      <c r="F12" s="27"/>
      <c r="G12" s="28"/>
      <c r="H12" s="28"/>
      <c r="I12" s="29"/>
      <c r="J12" s="30"/>
      <c r="K12" s="25" t="str">
        <f>IF(OR(I12="",J12=""),"",I12*J12*Calc!$H$4)</f>
        <v/>
      </c>
    </row>
    <row r="13" spans="1:11" s="26" customFormat="1" x14ac:dyDescent="0.35">
      <c r="A13" s="21" t="s">
        <v>105</v>
      </c>
      <c r="B13" s="22" t="s">
        <v>183</v>
      </c>
      <c r="C13" s="22" t="s">
        <v>12</v>
      </c>
      <c r="D13" s="23">
        <v>46300</v>
      </c>
      <c r="E13" s="22" t="s">
        <v>100</v>
      </c>
      <c r="F13" s="27"/>
      <c r="G13" s="28"/>
      <c r="H13" s="28"/>
      <c r="I13" s="29"/>
      <c r="J13" s="30"/>
      <c r="K13" s="25" t="str">
        <f>IF(OR(I13="",J13=""),"",I13*J13*Calc!$H$4)</f>
        <v/>
      </c>
    </row>
    <row r="14" spans="1:11" s="26" customFormat="1" x14ac:dyDescent="0.35">
      <c r="A14" s="21" t="s">
        <v>198</v>
      </c>
      <c r="B14" s="22" t="s">
        <v>196</v>
      </c>
      <c r="C14" s="22" t="s">
        <v>13</v>
      </c>
      <c r="D14" s="23">
        <v>46235</v>
      </c>
      <c r="E14" s="22" t="s">
        <v>102</v>
      </c>
      <c r="F14" s="27"/>
      <c r="G14" s="28"/>
      <c r="H14" s="28"/>
      <c r="I14" s="29"/>
      <c r="J14" s="30"/>
      <c r="K14" s="25" t="str">
        <f>IF(OR(I14="",J14=""),"",I14*J14*Calc!$H$4)</f>
        <v/>
      </c>
    </row>
    <row r="15" spans="1:11" s="26" customFormat="1" x14ac:dyDescent="0.35">
      <c r="A15" s="21" t="s">
        <v>199</v>
      </c>
      <c r="B15" s="22" t="s">
        <v>196</v>
      </c>
      <c r="C15" s="22" t="s">
        <v>13</v>
      </c>
      <c r="D15" s="23">
        <v>46326</v>
      </c>
      <c r="E15" s="22" t="s">
        <v>102</v>
      </c>
      <c r="F15" s="27"/>
      <c r="G15" s="28"/>
      <c r="H15" s="28"/>
      <c r="I15" s="29"/>
      <c r="J15" s="30"/>
      <c r="K15" s="25" t="str">
        <f>IF(OR(I15="",J15=""),"",I15*J15*Calc!$H$4)</f>
        <v/>
      </c>
    </row>
    <row r="16" spans="1:11" s="26" customFormat="1" x14ac:dyDescent="0.35">
      <c r="A16" s="21" t="s">
        <v>200</v>
      </c>
      <c r="B16" s="22" t="s">
        <v>193</v>
      </c>
      <c r="C16" s="22" t="s">
        <v>13</v>
      </c>
      <c r="D16" s="23">
        <v>46389</v>
      </c>
      <c r="E16" s="22" t="s">
        <v>102</v>
      </c>
      <c r="F16" s="27"/>
      <c r="G16" s="28"/>
      <c r="H16" s="28"/>
      <c r="I16" s="29"/>
      <c r="J16" s="30"/>
      <c r="K16" s="25" t="str">
        <f>IF(OR(I16="",J16=""),"",I16*J16*Calc!$H$4)</f>
        <v/>
      </c>
    </row>
    <row r="17" spans="1:11" s="26" customFormat="1" x14ac:dyDescent="0.35">
      <c r="A17" s="21" t="s">
        <v>201</v>
      </c>
      <c r="B17" s="22" t="s">
        <v>193</v>
      </c>
      <c r="C17" s="22" t="s">
        <v>13</v>
      </c>
      <c r="D17" s="23">
        <v>46326</v>
      </c>
      <c r="E17" s="22" t="s">
        <v>102</v>
      </c>
      <c r="F17" s="27"/>
      <c r="G17" s="28"/>
      <c r="H17" s="28"/>
      <c r="I17" s="29"/>
      <c r="J17" s="30"/>
      <c r="K17" s="25" t="str">
        <f>IF(OR(I17="",J17=""),"",I17*J17*Calc!$H$4)</f>
        <v/>
      </c>
    </row>
    <row r="18" spans="1:11" s="26" customFormat="1" x14ac:dyDescent="0.35">
      <c r="A18" s="21" t="s">
        <v>202</v>
      </c>
      <c r="B18" s="22" t="s">
        <v>203</v>
      </c>
      <c r="C18" s="22" t="s">
        <v>13</v>
      </c>
      <c r="D18" s="23">
        <v>46326</v>
      </c>
      <c r="E18" s="22" t="s">
        <v>102</v>
      </c>
      <c r="F18" s="27"/>
      <c r="G18" s="28"/>
      <c r="H18" s="28"/>
      <c r="I18" s="29"/>
      <c r="J18" s="30"/>
      <c r="K18" s="25" t="str">
        <f>IF(OR(I18="",J18=""),"",I18*J18*Calc!$H$4)</f>
        <v/>
      </c>
    </row>
    <row r="19" spans="1:11" s="26" customFormat="1" x14ac:dyDescent="0.35">
      <c r="A19" s="21" t="s">
        <v>204</v>
      </c>
      <c r="B19" s="22" t="s">
        <v>203</v>
      </c>
      <c r="C19" s="22" t="s">
        <v>13</v>
      </c>
      <c r="D19" s="23">
        <v>46389</v>
      </c>
      <c r="E19" s="22" t="s">
        <v>102</v>
      </c>
      <c r="F19" s="27"/>
      <c r="G19" s="28"/>
      <c r="H19" s="28"/>
      <c r="I19" s="29"/>
      <c r="J19" s="30"/>
      <c r="K19" s="25" t="str">
        <f>IF(OR(I19="",J19=""),"",I19*J19*Calc!$H$4)</f>
        <v/>
      </c>
    </row>
    <row r="20" spans="1:11" s="26" customFormat="1" x14ac:dyDescent="0.35">
      <c r="A20" s="21" t="s">
        <v>205</v>
      </c>
      <c r="B20" s="22" t="s">
        <v>183</v>
      </c>
      <c r="C20" s="22" t="s">
        <v>206</v>
      </c>
      <c r="D20" s="23">
        <v>46251</v>
      </c>
      <c r="E20" s="22" t="s">
        <v>100</v>
      </c>
      <c r="F20" s="27"/>
      <c r="G20" s="28"/>
      <c r="H20" s="28"/>
      <c r="I20" s="29"/>
      <c r="J20" s="30"/>
      <c r="K20" s="25" t="str">
        <f>IF(OR(I20="",J20=""),"",I20*J20*Calc!$H$4)</f>
        <v/>
      </c>
    </row>
    <row r="21" spans="1:11" s="26" customFormat="1" x14ac:dyDescent="0.35">
      <c r="A21" s="21" t="s">
        <v>207</v>
      </c>
      <c r="B21" s="22" t="s">
        <v>183</v>
      </c>
      <c r="C21" s="22" t="s">
        <v>206</v>
      </c>
      <c r="D21" s="23">
        <v>46251</v>
      </c>
      <c r="E21" s="22" t="s">
        <v>100</v>
      </c>
      <c r="F21" s="27"/>
      <c r="G21" s="28"/>
      <c r="H21" s="28"/>
      <c r="I21" s="29"/>
      <c r="J21" s="30"/>
      <c r="K21" s="25" t="str">
        <f>IF(OR(I21="",J21=""),"",I21*J21*Calc!$H$4)</f>
        <v/>
      </c>
    </row>
    <row r="22" spans="1:11" s="26" customFormat="1" x14ac:dyDescent="0.35">
      <c r="A22" s="21" t="s">
        <v>208</v>
      </c>
      <c r="B22" s="22" t="s">
        <v>183</v>
      </c>
      <c r="C22" s="22" t="s">
        <v>206</v>
      </c>
      <c r="D22" s="23">
        <v>46251</v>
      </c>
      <c r="E22" s="22" t="s">
        <v>100</v>
      </c>
      <c r="F22" s="27"/>
      <c r="G22" s="28"/>
      <c r="H22" s="28"/>
      <c r="I22" s="29"/>
      <c r="J22" s="30"/>
      <c r="K22" s="25" t="str">
        <f>IF(OR(I22="",J22=""),"",I22*J22*Calc!$H$4)</f>
        <v/>
      </c>
    </row>
    <row r="23" spans="1:11" s="26" customFormat="1" x14ac:dyDescent="0.35">
      <c r="A23" s="21" t="s">
        <v>209</v>
      </c>
      <c r="B23" s="22" t="s">
        <v>183</v>
      </c>
      <c r="C23" s="22" t="s">
        <v>206</v>
      </c>
      <c r="D23" s="23">
        <v>46251</v>
      </c>
      <c r="E23" s="22" t="s">
        <v>100</v>
      </c>
      <c r="F23" s="27"/>
      <c r="G23" s="28"/>
      <c r="H23" s="28"/>
      <c r="I23" s="29"/>
      <c r="J23" s="30"/>
      <c r="K23" s="25" t="str">
        <f>IF(OR(I23="",J23=""),"",I23*J23*Calc!$H$4)</f>
        <v/>
      </c>
    </row>
    <row r="24" spans="1:11" s="26" customFormat="1" x14ac:dyDescent="0.35">
      <c r="A24" s="21" t="s">
        <v>210</v>
      </c>
      <c r="B24" s="22" t="s">
        <v>183</v>
      </c>
      <c r="C24" s="22" t="s">
        <v>206</v>
      </c>
      <c r="D24" s="23">
        <v>46251</v>
      </c>
      <c r="E24" s="22" t="s">
        <v>100</v>
      </c>
      <c r="F24" s="27"/>
      <c r="G24" s="28"/>
      <c r="H24" s="28"/>
      <c r="I24" s="29"/>
      <c r="J24" s="30"/>
      <c r="K24" s="25" t="str">
        <f>IF(OR(I24="",J24=""),"",I24*J24*Calc!$H$4)</f>
        <v/>
      </c>
    </row>
    <row r="25" spans="1:11" s="26" customFormat="1" x14ac:dyDescent="0.35">
      <c r="A25" s="21" t="s">
        <v>211</v>
      </c>
      <c r="B25" s="22" t="s">
        <v>183</v>
      </c>
      <c r="C25" s="22" t="s">
        <v>206</v>
      </c>
      <c r="D25" s="23">
        <v>46251</v>
      </c>
      <c r="E25" s="22" t="s">
        <v>100</v>
      </c>
      <c r="F25" s="27"/>
      <c r="G25" s="28"/>
      <c r="H25" s="28"/>
      <c r="I25" s="29"/>
      <c r="J25" s="30"/>
      <c r="K25" s="25" t="str">
        <f>IF(OR(I25="",J25=""),"",I25*J25*Calc!$H$4)</f>
        <v/>
      </c>
    </row>
    <row r="26" spans="1:11" s="26" customFormat="1" x14ac:dyDescent="0.35">
      <c r="A26" s="21" t="s">
        <v>212</v>
      </c>
      <c r="B26" s="22" t="s">
        <v>183</v>
      </c>
      <c r="C26" s="22" t="s">
        <v>206</v>
      </c>
      <c r="D26" s="23">
        <v>46251</v>
      </c>
      <c r="E26" s="22" t="s">
        <v>100</v>
      </c>
      <c r="F26" s="27"/>
      <c r="G26" s="28"/>
      <c r="H26" s="28"/>
      <c r="I26" s="29"/>
      <c r="J26" s="30"/>
      <c r="K26" s="25" t="str">
        <f>IF(OR(I26="",J26=""),"",I26*J26*Calc!$H$4)</f>
        <v/>
      </c>
    </row>
    <row r="27" spans="1:11" s="26" customFormat="1" x14ac:dyDescent="0.35">
      <c r="A27" s="21" t="s">
        <v>213</v>
      </c>
      <c r="B27" s="22" t="s">
        <v>183</v>
      </c>
      <c r="C27" s="22" t="s">
        <v>206</v>
      </c>
      <c r="D27" s="23">
        <v>46251</v>
      </c>
      <c r="E27" s="22" t="s">
        <v>100</v>
      </c>
      <c r="F27" s="27"/>
      <c r="G27" s="28"/>
      <c r="H27" s="28"/>
      <c r="I27" s="29"/>
      <c r="J27" s="30"/>
      <c r="K27" s="25" t="str">
        <f>IF(OR(I27="",J27=""),"",I27*J27*Calc!$H$4)</f>
        <v/>
      </c>
    </row>
    <row r="28" spans="1:11" s="26" customFormat="1" x14ac:dyDescent="0.35">
      <c r="A28" s="21" t="s">
        <v>214</v>
      </c>
      <c r="B28" s="22" t="s">
        <v>183</v>
      </c>
      <c r="C28" s="22" t="s">
        <v>206</v>
      </c>
      <c r="D28" s="23">
        <v>46251</v>
      </c>
      <c r="E28" s="22" t="s">
        <v>100</v>
      </c>
      <c r="F28" s="27"/>
      <c r="G28" s="28"/>
      <c r="H28" s="28"/>
      <c r="I28" s="29"/>
      <c r="J28" s="30"/>
      <c r="K28" s="25" t="str">
        <f>IF(OR(I28="",J28=""),"",I28*J28*Calc!$H$4)</f>
        <v/>
      </c>
    </row>
    <row r="29" spans="1:11" s="26" customFormat="1" x14ac:dyDescent="0.35">
      <c r="A29" s="21" t="s">
        <v>215</v>
      </c>
      <c r="B29" s="22" t="s">
        <v>183</v>
      </c>
      <c r="C29" s="22" t="s">
        <v>206</v>
      </c>
      <c r="D29" s="23">
        <v>46251</v>
      </c>
      <c r="E29" s="22" t="s">
        <v>100</v>
      </c>
      <c r="F29" s="27"/>
      <c r="G29" s="28"/>
      <c r="H29" s="28"/>
      <c r="I29" s="29"/>
      <c r="J29" s="30"/>
      <c r="K29" s="25" t="str">
        <f>IF(OR(I29="",J29=""),"",I29*J29*Calc!$H$4)</f>
        <v/>
      </c>
    </row>
    <row r="30" spans="1:11" s="26" customFormat="1" x14ac:dyDescent="0.35">
      <c r="A30" s="21" t="s">
        <v>216</v>
      </c>
      <c r="B30" s="22" t="s">
        <v>183</v>
      </c>
      <c r="C30" s="22" t="s">
        <v>206</v>
      </c>
      <c r="D30" s="23">
        <v>46251</v>
      </c>
      <c r="E30" s="22" t="s">
        <v>100</v>
      </c>
      <c r="F30" s="27"/>
      <c r="G30" s="28"/>
      <c r="H30" s="28"/>
      <c r="I30" s="29"/>
      <c r="J30" s="30"/>
      <c r="K30" s="25" t="str">
        <f>IF(OR(I30="",J30=""),"",I30*J30*Calc!$H$4)</f>
        <v/>
      </c>
    </row>
    <row r="31" spans="1:11" s="26" customFormat="1" x14ac:dyDescent="0.35">
      <c r="A31" s="21" t="s">
        <v>217</v>
      </c>
      <c r="B31" s="22" t="s">
        <v>183</v>
      </c>
      <c r="C31" s="22" t="s">
        <v>206</v>
      </c>
      <c r="D31" s="23">
        <v>46251</v>
      </c>
      <c r="E31" s="22" t="s">
        <v>100</v>
      </c>
      <c r="F31" s="27"/>
      <c r="G31" s="28"/>
      <c r="H31" s="28"/>
      <c r="I31" s="29"/>
      <c r="J31" s="30"/>
      <c r="K31" s="25" t="str">
        <f>IF(OR(I31="",J31=""),"",I31*J31*Calc!$H$4)</f>
        <v/>
      </c>
    </row>
    <row r="32" spans="1:11" s="26" customFormat="1" x14ac:dyDescent="0.35">
      <c r="A32" s="21" t="s">
        <v>218</v>
      </c>
      <c r="B32" s="22" t="s">
        <v>183</v>
      </c>
      <c r="C32" s="22" t="s">
        <v>206</v>
      </c>
      <c r="D32" s="23">
        <v>46251</v>
      </c>
      <c r="E32" s="22" t="s">
        <v>100</v>
      </c>
      <c r="F32" s="27"/>
      <c r="G32" s="28"/>
      <c r="H32" s="28"/>
      <c r="I32" s="29"/>
      <c r="J32" s="30"/>
      <c r="K32" s="25" t="str">
        <f>IF(OR(I32="",J32=""),"",I32*J32*Calc!$H$4)</f>
        <v/>
      </c>
    </row>
    <row r="33" spans="1:11" s="26" customFormat="1" x14ac:dyDescent="0.35">
      <c r="A33" s="21" t="s">
        <v>219</v>
      </c>
      <c r="B33" s="22" t="s">
        <v>183</v>
      </c>
      <c r="C33" s="22" t="s">
        <v>206</v>
      </c>
      <c r="D33" s="23">
        <v>46251</v>
      </c>
      <c r="E33" s="22" t="s">
        <v>100</v>
      </c>
      <c r="F33" s="27"/>
      <c r="G33" s="28"/>
      <c r="H33" s="28"/>
      <c r="I33" s="29"/>
      <c r="J33" s="30"/>
      <c r="K33" s="25" t="str">
        <f>IF(OR(I33="",J33=""),"",I33*J33*Calc!$H$4)</f>
        <v/>
      </c>
    </row>
    <row r="34" spans="1:11" s="26" customFormat="1" x14ac:dyDescent="0.35">
      <c r="A34" s="21" t="s">
        <v>220</v>
      </c>
      <c r="B34" s="22" t="s">
        <v>183</v>
      </c>
      <c r="C34" s="22" t="s">
        <v>206</v>
      </c>
      <c r="D34" s="23">
        <v>46251</v>
      </c>
      <c r="E34" s="22" t="s">
        <v>100</v>
      </c>
      <c r="F34" s="27"/>
      <c r="G34" s="28"/>
      <c r="H34" s="28"/>
      <c r="I34" s="29"/>
      <c r="J34" s="30"/>
      <c r="K34" s="25" t="str">
        <f>IF(OR(I34="",J34=""),"",I34*J34*Calc!$H$4)</f>
        <v/>
      </c>
    </row>
    <row r="35" spans="1:11" s="26" customFormat="1" x14ac:dyDescent="0.35">
      <c r="A35" s="21" t="s">
        <v>221</v>
      </c>
      <c r="B35" s="22" t="s">
        <v>183</v>
      </c>
      <c r="C35" s="22" t="s">
        <v>206</v>
      </c>
      <c r="D35" s="23">
        <v>46251</v>
      </c>
      <c r="E35" s="22" t="s">
        <v>100</v>
      </c>
      <c r="F35" s="27"/>
      <c r="G35" s="28"/>
      <c r="H35" s="28"/>
      <c r="I35" s="29"/>
      <c r="J35" s="30"/>
      <c r="K35" s="25" t="str">
        <f>IF(OR(I35="",J35=""),"",I35*J35*Calc!$H$4)</f>
        <v/>
      </c>
    </row>
    <row r="36" spans="1:11" s="26" customFormat="1" x14ac:dyDescent="0.35">
      <c r="A36" s="21" t="s">
        <v>222</v>
      </c>
      <c r="B36" s="22" t="s">
        <v>183</v>
      </c>
      <c r="C36" s="22" t="s">
        <v>206</v>
      </c>
      <c r="D36" s="23">
        <v>46251</v>
      </c>
      <c r="E36" s="22" t="s">
        <v>100</v>
      </c>
      <c r="F36" s="27"/>
      <c r="G36" s="28"/>
      <c r="H36" s="28"/>
      <c r="I36" s="29"/>
      <c r="J36" s="30"/>
      <c r="K36" s="25" t="str">
        <f>IF(OR(I36="",J36=""),"",I36*J36*Calc!$H$4)</f>
        <v/>
      </c>
    </row>
    <row r="37" spans="1:11" s="26" customFormat="1" x14ac:dyDescent="0.35">
      <c r="A37" s="21" t="s">
        <v>223</v>
      </c>
      <c r="B37" s="22" t="s">
        <v>183</v>
      </c>
      <c r="C37" s="22" t="s">
        <v>206</v>
      </c>
      <c r="D37" s="23">
        <v>46251</v>
      </c>
      <c r="E37" s="22" t="s">
        <v>100</v>
      </c>
      <c r="F37" s="27"/>
      <c r="G37" s="28"/>
      <c r="H37" s="28"/>
      <c r="I37" s="29"/>
      <c r="J37" s="30"/>
      <c r="K37" s="25" t="str">
        <f>IF(OR(I37="",J37=""),"",I37*J37*Calc!$H$4)</f>
        <v/>
      </c>
    </row>
    <row r="38" spans="1:11" s="26" customFormat="1" x14ac:dyDescent="0.35">
      <c r="A38" s="21" t="s">
        <v>224</v>
      </c>
      <c r="B38" s="22" t="s">
        <v>183</v>
      </c>
      <c r="C38" s="22" t="s">
        <v>206</v>
      </c>
      <c r="D38" s="23">
        <v>46251</v>
      </c>
      <c r="E38" s="22" t="s">
        <v>100</v>
      </c>
      <c r="F38" s="27"/>
      <c r="G38" s="28"/>
      <c r="H38" s="28"/>
      <c r="I38" s="29"/>
      <c r="J38" s="30"/>
      <c r="K38" s="25" t="str">
        <f>IF(OR(I38="",J38=""),"",I38*J38*Calc!$H$4)</f>
        <v/>
      </c>
    </row>
    <row r="39" spans="1:11" s="26" customFormat="1" x14ac:dyDescent="0.35">
      <c r="A39" s="21" t="s">
        <v>225</v>
      </c>
      <c r="B39" s="22" t="s">
        <v>183</v>
      </c>
      <c r="C39" s="22" t="s">
        <v>206</v>
      </c>
      <c r="D39" s="23">
        <v>46251</v>
      </c>
      <c r="E39" s="22" t="s">
        <v>100</v>
      </c>
      <c r="F39" s="27"/>
      <c r="G39" s="28"/>
      <c r="H39" s="28"/>
      <c r="I39" s="29"/>
      <c r="J39" s="30"/>
      <c r="K39" s="25" t="str">
        <f>IF(OR(I39="",J39=""),"",I39*J39*Calc!$H$4)</f>
        <v/>
      </c>
    </row>
    <row r="40" spans="1:11" x14ac:dyDescent="0.35">
      <c r="K40" s="31" t="str">
        <f>IF(OR(I40="",J40=""),"",I40*J40*Calc!$H$4)</f>
        <v/>
      </c>
    </row>
    <row r="41" spans="1:11" x14ac:dyDescent="0.35">
      <c r="K41" s="31" t="str">
        <f>IF(OR(I41="",J41=""),"",I41*J41*Calc!$H$4)</f>
        <v/>
      </c>
    </row>
    <row r="42" spans="1:11" x14ac:dyDescent="0.35">
      <c r="K42" s="31" t="str">
        <f>IF(OR(I42="",J42=""),"",I42*J42*Calc!$H$4)</f>
        <v/>
      </c>
    </row>
    <row r="43" spans="1:11" x14ac:dyDescent="0.35">
      <c r="K43" s="31" t="str">
        <f>IF(OR(I43="",J43=""),"",I43*J43*Calc!$H$4)</f>
        <v/>
      </c>
    </row>
    <row r="44" spans="1:11" x14ac:dyDescent="0.35">
      <c r="K44" s="31" t="str">
        <f>IF(OR(I44="",J44=""),"",I44*J44*Calc!$H$4)</f>
        <v/>
      </c>
    </row>
    <row r="45" spans="1:11" x14ac:dyDescent="0.35">
      <c r="K45" s="31" t="str">
        <f>IF(OR(I45="",J45=""),"",I45*J45*Calc!$H$4)</f>
        <v/>
      </c>
    </row>
    <row r="46" spans="1:11" x14ac:dyDescent="0.35">
      <c r="K46" s="31" t="str">
        <f>IF(OR(I46="",J46=""),"",I46*J46*Calc!$H$4)</f>
        <v/>
      </c>
    </row>
    <row r="47" spans="1:11" x14ac:dyDescent="0.35">
      <c r="K47" s="31" t="str">
        <f>IF(OR(I47="",J47=""),"",I47*J47*Calc!$H$4)</f>
        <v/>
      </c>
    </row>
    <row r="48" spans="1:11" x14ac:dyDescent="0.35">
      <c r="K48" s="31" t="str">
        <f>IF(OR(I48="",J48=""),"",I48*J48*Calc!$H$4)</f>
        <v/>
      </c>
    </row>
    <row r="49" spans="11:11" x14ac:dyDescent="0.35">
      <c r="K49" s="31" t="str">
        <f>IF(OR(I49="",J49=""),"",I49*J49*Calc!$H$4)</f>
        <v/>
      </c>
    </row>
    <row r="50" spans="11:11" x14ac:dyDescent="0.35">
      <c r="K50" s="31" t="str">
        <f>IF(OR(I50="",J50=""),"",I50*J50*Calc!$H$4)</f>
        <v/>
      </c>
    </row>
    <row r="51" spans="11:11" x14ac:dyDescent="0.35">
      <c r="K51" s="31" t="str">
        <f>IF(OR(I51="",J51=""),"",I51*J51*Calc!$H$4)</f>
        <v/>
      </c>
    </row>
    <row r="52" spans="11:11" x14ac:dyDescent="0.35">
      <c r="K52" s="31" t="str">
        <f>IF(OR(I52="",J52=""),"",I52*J52*Calc!$H$4)</f>
        <v/>
      </c>
    </row>
    <row r="53" spans="11:11" x14ac:dyDescent="0.35">
      <c r="K53" s="31" t="str">
        <f>IF(OR(I53="",J53=""),"",I53*J53*Calc!$H$4)</f>
        <v/>
      </c>
    </row>
    <row r="54" spans="11:11" x14ac:dyDescent="0.35">
      <c r="K54" s="31" t="str">
        <f>IF(OR(I54="",J54=""),"",I54*J54*Calc!$H$4)</f>
        <v/>
      </c>
    </row>
    <row r="55" spans="11:11" x14ac:dyDescent="0.35">
      <c r="K55" s="31" t="str">
        <f>IF(OR(I55="",J55=""),"",I55*J55*Calc!$H$4)</f>
        <v/>
      </c>
    </row>
    <row r="56" spans="11:11" x14ac:dyDescent="0.35">
      <c r="K56" s="31" t="str">
        <f>IF(OR(I56="",J56=""),"",I56*J56*Calc!$H$4)</f>
        <v/>
      </c>
    </row>
    <row r="57" spans="11:11" x14ac:dyDescent="0.35">
      <c r="K57" s="31" t="str">
        <f>IF(OR(I57="",J57=""),"",I57*J57*Calc!$H$4)</f>
        <v/>
      </c>
    </row>
    <row r="58" spans="11:11" x14ac:dyDescent="0.35">
      <c r="K58" s="31" t="str">
        <f>IF(OR(I58="",J58=""),"",I58*J58*Calc!$H$4)</f>
        <v/>
      </c>
    </row>
    <row r="59" spans="11:11" x14ac:dyDescent="0.35">
      <c r="K59" s="31" t="str">
        <f>IF(OR(I59="",J59=""),"",I59*J59*Calc!$H$4)</f>
        <v/>
      </c>
    </row>
    <row r="60" spans="11:11" x14ac:dyDescent="0.35">
      <c r="K60" s="31" t="str">
        <f>IF(OR(I60="",J60=""),"",I60*J60*Calc!$H$4)</f>
        <v/>
      </c>
    </row>
    <row r="61" spans="11:11" x14ac:dyDescent="0.35">
      <c r="K61" s="31" t="str">
        <f>IF(OR(I61="",J61=""),"",I61*J61*Calc!$H$4)</f>
        <v/>
      </c>
    </row>
    <row r="62" spans="11:11" x14ac:dyDescent="0.35">
      <c r="K62" s="31" t="str">
        <f>IF(OR(I62="",J62=""),"",I62*J62*Calc!$H$4)</f>
        <v/>
      </c>
    </row>
    <row r="63" spans="11:11" x14ac:dyDescent="0.35">
      <c r="K63" s="31" t="str">
        <f>IF(OR(I63="",J63=""),"",I63*J63*Calc!$H$4)</f>
        <v/>
      </c>
    </row>
    <row r="64" spans="11:11" x14ac:dyDescent="0.35">
      <c r="K64" s="31" t="str">
        <f>IF(OR(I64="",J64=""),"",I64*J64*Calc!$H$4)</f>
        <v/>
      </c>
    </row>
    <row r="65" spans="11:11" x14ac:dyDescent="0.35">
      <c r="K65" s="31" t="str">
        <f>IF(OR(I65="",J65=""),"",I65*J65*Calc!$H$4)</f>
        <v/>
      </c>
    </row>
    <row r="66" spans="11:11" x14ac:dyDescent="0.35">
      <c r="K66" s="31" t="str">
        <f>IF(OR(I66="",J66=""),"",I66*J66*Calc!$H$4)</f>
        <v/>
      </c>
    </row>
    <row r="67" spans="11:11" x14ac:dyDescent="0.35">
      <c r="K67" s="31" t="str">
        <f>IF(OR(I67="",J67=""),"",I67*J67*Calc!$H$4)</f>
        <v/>
      </c>
    </row>
    <row r="68" spans="11:11" x14ac:dyDescent="0.35">
      <c r="K68" s="31" t="str">
        <f>IF(OR(I68="",J68=""),"",I68*J68*Calc!$H$4)</f>
        <v/>
      </c>
    </row>
    <row r="69" spans="11:11" x14ac:dyDescent="0.35">
      <c r="K69" s="31" t="str">
        <f>IF(OR(I69="",J69=""),"",I69*J69*Calc!$H$4)</f>
        <v/>
      </c>
    </row>
    <row r="70" spans="11:11" x14ac:dyDescent="0.35">
      <c r="K70" s="31" t="str">
        <f>IF(OR(I70="",J70=""),"",I70*J70*Calc!$H$4)</f>
        <v/>
      </c>
    </row>
    <row r="71" spans="11:11" x14ac:dyDescent="0.35">
      <c r="K71" s="31" t="str">
        <f>IF(OR(I71="",J71=""),"",I71*J71*Calc!$H$4)</f>
        <v/>
      </c>
    </row>
    <row r="72" spans="11:11" x14ac:dyDescent="0.35">
      <c r="K72" s="31" t="str">
        <f>IF(OR(I72="",J72=""),"",I72*J72*Calc!$H$4)</f>
        <v/>
      </c>
    </row>
    <row r="73" spans="11:11" x14ac:dyDescent="0.35">
      <c r="K73" s="31" t="str">
        <f>IF(OR(I73="",J73=""),"",I73*J73*Calc!$H$4)</f>
        <v/>
      </c>
    </row>
    <row r="74" spans="11:11" x14ac:dyDescent="0.35">
      <c r="K74" s="31" t="str">
        <f>IF(OR(I74="",J74=""),"",I74*J74*Calc!$H$4)</f>
        <v/>
      </c>
    </row>
    <row r="75" spans="11:11" x14ac:dyDescent="0.35">
      <c r="K75" s="31" t="str">
        <f>IF(OR(I75="",J75=""),"",I75*J75*Calc!$H$4)</f>
        <v/>
      </c>
    </row>
    <row r="76" spans="11:11" x14ac:dyDescent="0.35">
      <c r="K76" s="31" t="str">
        <f>IF(OR(I76="",J76=""),"",I76*J76*Calc!$H$4)</f>
        <v/>
      </c>
    </row>
    <row r="77" spans="11:11" x14ac:dyDescent="0.35">
      <c r="K77" s="31" t="str">
        <f>IF(OR(I77="",J77=""),"",I77*J77*Calc!$H$4)</f>
        <v/>
      </c>
    </row>
    <row r="78" spans="11:11" x14ac:dyDescent="0.35">
      <c r="K78" s="31" t="str">
        <f>IF(OR(I78="",J78=""),"",I78*J78*Calc!$H$4)</f>
        <v/>
      </c>
    </row>
    <row r="79" spans="11:11" x14ac:dyDescent="0.35">
      <c r="K79" s="31" t="str">
        <f>IF(OR(I79="",J79=""),"",I79*J79*Calc!$H$4)</f>
        <v/>
      </c>
    </row>
    <row r="80" spans="11:11" x14ac:dyDescent="0.35">
      <c r="K80" s="31" t="str">
        <f>IF(OR(I80="",J80=""),"",I80*J80*Calc!$H$4)</f>
        <v/>
      </c>
    </row>
    <row r="81" spans="11:11" x14ac:dyDescent="0.35">
      <c r="K81" s="31" t="str">
        <f>IF(OR(I81="",J81=""),"",I81*J81*Calc!$H$4)</f>
        <v/>
      </c>
    </row>
    <row r="82" spans="11:11" x14ac:dyDescent="0.35">
      <c r="K82" s="31" t="str">
        <f>IF(OR(I82="",J82=""),"",I82*J82*Calc!$H$4)</f>
        <v/>
      </c>
    </row>
    <row r="83" spans="11:11" x14ac:dyDescent="0.35">
      <c r="K83" s="31" t="str">
        <f>IF(OR(I83="",J83=""),"",I83*J83*Calc!$H$4)</f>
        <v/>
      </c>
    </row>
    <row r="84" spans="11:11" x14ac:dyDescent="0.35">
      <c r="K84" s="31" t="str">
        <f>IF(OR(I84="",J84=""),"",I84*J84*Calc!$H$4)</f>
        <v/>
      </c>
    </row>
    <row r="85" spans="11:11" x14ac:dyDescent="0.35">
      <c r="K85" s="31" t="str">
        <f>IF(OR(I85="",J85=""),"",I85*J85*Calc!$H$4)</f>
        <v/>
      </c>
    </row>
    <row r="86" spans="11:11" x14ac:dyDescent="0.35">
      <c r="K86" s="31" t="str">
        <f>IF(OR(I86="",J86=""),"",I86*J86*Calc!$H$4)</f>
        <v/>
      </c>
    </row>
    <row r="87" spans="11:11" x14ac:dyDescent="0.35">
      <c r="K87" s="31" t="str">
        <f>IF(OR(I87="",J87=""),"",I87*J87*Calc!$H$4)</f>
        <v/>
      </c>
    </row>
    <row r="88" spans="11:11" x14ac:dyDescent="0.35">
      <c r="K88" s="31" t="str">
        <f>IF(OR(I88="",J88=""),"",I88*J88*Calc!$H$4)</f>
        <v/>
      </c>
    </row>
    <row r="89" spans="11:11" x14ac:dyDescent="0.35">
      <c r="K89" s="31" t="str">
        <f>IF(OR(I89="",J89=""),"",I89*J89*Calc!$H$4)</f>
        <v/>
      </c>
    </row>
    <row r="90" spans="11:11" x14ac:dyDescent="0.35">
      <c r="K90" s="31" t="str">
        <f>IF(OR(I90="",J90=""),"",I90*J90*Calc!$H$4)</f>
        <v/>
      </c>
    </row>
    <row r="91" spans="11:11" x14ac:dyDescent="0.35">
      <c r="K91" s="31" t="str">
        <f>IF(OR(I91="",J91=""),"",I91*J91*Calc!$H$4)</f>
        <v/>
      </c>
    </row>
    <row r="92" spans="11:11" x14ac:dyDescent="0.35">
      <c r="K92" s="31" t="str">
        <f>IF(OR(I92="",J92=""),"",I92*J92*Calc!$H$4)</f>
        <v/>
      </c>
    </row>
    <row r="93" spans="11:11" x14ac:dyDescent="0.35">
      <c r="K93" s="31" t="str">
        <f>IF(OR(I93="",J93=""),"",I93*J93*Calc!$H$4)</f>
        <v/>
      </c>
    </row>
    <row r="94" spans="11:11" x14ac:dyDescent="0.35">
      <c r="K94" s="31" t="str">
        <f>IF(OR(I94="",J94=""),"",I94*J94*Calc!$H$4)</f>
        <v/>
      </c>
    </row>
    <row r="95" spans="11:11" x14ac:dyDescent="0.35">
      <c r="K95" s="31" t="str">
        <f>IF(OR(I95="",J95=""),"",I95*J95*Calc!$H$4)</f>
        <v/>
      </c>
    </row>
    <row r="96" spans="11:11" x14ac:dyDescent="0.35">
      <c r="K96" s="31" t="str">
        <f>IF(OR(I96="",J96=""),"",I96*J96*Calc!$H$4)</f>
        <v/>
      </c>
    </row>
    <row r="97" spans="11:11" x14ac:dyDescent="0.35">
      <c r="K97" s="31" t="str">
        <f>IF(OR(I97="",J97=""),"",I97*J97*Calc!$H$4)</f>
        <v/>
      </c>
    </row>
    <row r="98" spans="11:11" x14ac:dyDescent="0.35">
      <c r="K98" s="31" t="str">
        <f>IF(OR(I98="",J98=""),"",I98*J98*Calc!$H$4)</f>
        <v/>
      </c>
    </row>
    <row r="99" spans="11:11" x14ac:dyDescent="0.35">
      <c r="K99" s="31" t="str">
        <f>IF(OR(I99="",J99=""),"",I99*J99*Calc!$H$4)</f>
        <v/>
      </c>
    </row>
    <row r="100" spans="11:11" x14ac:dyDescent="0.35">
      <c r="K100" s="31" t="str">
        <f>IF(OR(I100="",J100=""),"",I100*J100*Calc!$H$4)</f>
        <v/>
      </c>
    </row>
    <row r="101" spans="11:11" x14ac:dyDescent="0.35">
      <c r="K101" s="31" t="str">
        <f>IF(OR(I101="",J101=""),"",I101*J101*Calc!$H$4)</f>
        <v/>
      </c>
    </row>
    <row r="102" spans="11:11" x14ac:dyDescent="0.35">
      <c r="K102" s="31" t="str">
        <f>IF(OR(I102="",J102=""),"",I102*J102*Calc!$H$4)</f>
        <v/>
      </c>
    </row>
    <row r="103" spans="11:11" x14ac:dyDescent="0.35">
      <c r="K103" s="31" t="str">
        <f>IF(OR(I103="",J103=""),"",I103*J103*Calc!$H$4)</f>
        <v/>
      </c>
    </row>
    <row r="104" spans="11:11" x14ac:dyDescent="0.35">
      <c r="K104" s="31" t="str">
        <f>IF(OR(I104="",J104=""),"",I104*J104*Calc!$H$4)</f>
        <v/>
      </c>
    </row>
    <row r="105" spans="11:11" x14ac:dyDescent="0.35">
      <c r="K105" s="31" t="str">
        <f>IF(OR(I105="",J105=""),"",I105*J105*Calc!$H$4)</f>
        <v/>
      </c>
    </row>
    <row r="106" spans="11:11" x14ac:dyDescent="0.35">
      <c r="K106" s="31" t="str">
        <f>IF(OR(I106="",J106=""),"",I106*J106*Calc!$H$4)</f>
        <v/>
      </c>
    </row>
    <row r="107" spans="11:11" x14ac:dyDescent="0.35">
      <c r="K107" s="31" t="str">
        <f>IF(OR(I107="",J107=""),"",I107*J107*Calc!$H$4)</f>
        <v/>
      </c>
    </row>
    <row r="108" spans="11:11" x14ac:dyDescent="0.35">
      <c r="K108" s="31" t="str">
        <f>IF(OR(I108="",J108=""),"",I108*J108*Calc!$H$4)</f>
        <v/>
      </c>
    </row>
    <row r="109" spans="11:11" x14ac:dyDescent="0.35">
      <c r="K109" s="31" t="str">
        <f>IF(OR(I109="",J109=""),"",I109*J109*Calc!$H$4)</f>
        <v/>
      </c>
    </row>
    <row r="110" spans="11:11" x14ac:dyDescent="0.35">
      <c r="K110" s="31" t="str">
        <f>IF(OR(I110="",J110=""),"",I110*J110*Calc!$H$4)</f>
        <v/>
      </c>
    </row>
    <row r="111" spans="11:11" x14ac:dyDescent="0.35">
      <c r="K111" s="31" t="str">
        <f>IF(OR(I111="",J111=""),"",I111*J111*Calc!$H$4)</f>
        <v/>
      </c>
    </row>
    <row r="112" spans="11:11" x14ac:dyDescent="0.35">
      <c r="K112" s="31" t="str">
        <f>IF(OR(I112="",J112=""),"",I112*J112*Calc!$H$4)</f>
        <v/>
      </c>
    </row>
    <row r="113" spans="11:11" x14ac:dyDescent="0.35">
      <c r="K113" s="31" t="str">
        <f>IF(OR(I113="",J113=""),"",I113*J113*Calc!$H$4)</f>
        <v/>
      </c>
    </row>
    <row r="114" spans="11:11" x14ac:dyDescent="0.35">
      <c r="K114" s="31" t="str">
        <f>IF(OR(I114="",J114=""),"",I114*J114*Calc!$H$4)</f>
        <v/>
      </c>
    </row>
    <row r="115" spans="11:11" x14ac:dyDescent="0.35">
      <c r="K115" s="31" t="str">
        <f>IF(OR(I115="",J115=""),"",I115*J115*Calc!$H$4)</f>
        <v/>
      </c>
    </row>
    <row r="116" spans="11:11" x14ac:dyDescent="0.35">
      <c r="K116" s="31" t="str">
        <f>IF(OR(I116="",J116=""),"",I116*J116*Calc!$H$4)</f>
        <v/>
      </c>
    </row>
    <row r="117" spans="11:11" x14ac:dyDescent="0.35">
      <c r="K117" s="31" t="str">
        <f>IF(OR(I117="",J117=""),"",I117*J117*Calc!$H$4)</f>
        <v/>
      </c>
    </row>
    <row r="118" spans="11:11" x14ac:dyDescent="0.35">
      <c r="K118" s="31" t="str">
        <f>IF(OR(I118="",J118=""),"",I118*J118*Calc!$H$4)</f>
        <v/>
      </c>
    </row>
    <row r="119" spans="11:11" x14ac:dyDescent="0.35">
      <c r="K119" s="31" t="str">
        <f>IF(OR(I119="",J119=""),"",I119*J119*Calc!$H$4)</f>
        <v/>
      </c>
    </row>
    <row r="120" spans="11:11" x14ac:dyDescent="0.35">
      <c r="K120" s="31" t="str">
        <f>IF(OR(I120="",J120=""),"",I120*J120*Calc!$H$4)</f>
        <v/>
      </c>
    </row>
    <row r="121" spans="11:11" x14ac:dyDescent="0.35">
      <c r="K121" s="31" t="str">
        <f>IF(OR(I121="",J121=""),"",I121*J121*Calc!$H$4)</f>
        <v/>
      </c>
    </row>
    <row r="122" spans="11:11" x14ac:dyDescent="0.35">
      <c r="K122" s="31" t="str">
        <f>IF(OR(I122="",J122=""),"",I122*J122*Calc!$H$4)</f>
        <v/>
      </c>
    </row>
    <row r="123" spans="11:11" x14ac:dyDescent="0.35">
      <c r="K123" s="31" t="str">
        <f>IF(OR(I123="",J123=""),"",I123*J123*Calc!$H$4)</f>
        <v/>
      </c>
    </row>
    <row r="124" spans="11:11" x14ac:dyDescent="0.35">
      <c r="K124" s="31" t="str">
        <f>IF(OR(I124="",J124=""),"",I124*J124*Calc!$H$4)</f>
        <v/>
      </c>
    </row>
    <row r="125" spans="11:11" x14ac:dyDescent="0.35">
      <c r="K125" s="31" t="str">
        <f>IF(OR(I125="",J125=""),"",I125*J125*Calc!$H$4)</f>
        <v/>
      </c>
    </row>
    <row r="126" spans="11:11" x14ac:dyDescent="0.35">
      <c r="K126" s="31" t="str">
        <f>IF(OR(I126="",J126=""),"",I126*J126*Calc!$H$4)</f>
        <v/>
      </c>
    </row>
    <row r="127" spans="11:11" x14ac:dyDescent="0.35">
      <c r="K127" s="31" t="str">
        <f>IF(OR(I127="",J127=""),"",I127*J127*Calc!$H$4)</f>
        <v/>
      </c>
    </row>
    <row r="128" spans="11:11" x14ac:dyDescent="0.35">
      <c r="K128" s="31" t="str">
        <f>IF(OR(I128="",J128=""),"",I128*J128*Calc!$H$4)</f>
        <v/>
      </c>
    </row>
    <row r="129" spans="11:11" x14ac:dyDescent="0.35">
      <c r="K129" s="31" t="str">
        <f>IF(OR(I129="",J129=""),"",I129*J129*Calc!$H$4)</f>
        <v/>
      </c>
    </row>
    <row r="130" spans="11:11" x14ac:dyDescent="0.35">
      <c r="K130" s="31" t="str">
        <f>IF(OR(I130="",J130=""),"",I130*J130*Calc!$H$4)</f>
        <v/>
      </c>
    </row>
    <row r="131" spans="11:11" x14ac:dyDescent="0.35">
      <c r="K131" s="31" t="str">
        <f>IF(OR(I131="",J131=""),"",I131*J131*Calc!$H$4)</f>
        <v/>
      </c>
    </row>
    <row r="132" spans="11:11" x14ac:dyDescent="0.35">
      <c r="K132" s="31" t="str">
        <f>IF(OR(I132="",J132=""),"",I132*J132*Calc!$H$4)</f>
        <v/>
      </c>
    </row>
    <row r="133" spans="11:11" x14ac:dyDescent="0.35">
      <c r="K133" s="31" t="str">
        <f>IF(OR(I133="",J133=""),"",I133*J133*Calc!$H$4)</f>
        <v/>
      </c>
    </row>
    <row r="134" spans="11:11" x14ac:dyDescent="0.35">
      <c r="K134" s="31" t="str">
        <f>IF(OR(I134="",J134=""),"",I134*J134*Calc!$H$4)</f>
        <v/>
      </c>
    </row>
    <row r="135" spans="11:11" x14ac:dyDescent="0.35">
      <c r="K135" s="31" t="str">
        <f>IF(OR(I135="",J135=""),"",I135*J135*Calc!$H$4)</f>
        <v/>
      </c>
    </row>
    <row r="136" spans="11:11" x14ac:dyDescent="0.35">
      <c r="K136" s="31" t="str">
        <f>IF(OR(I136="",J136=""),"",I136*J136*Calc!$H$4)</f>
        <v/>
      </c>
    </row>
    <row r="137" spans="11:11" x14ac:dyDescent="0.35">
      <c r="K137" s="31" t="str">
        <f>IF(OR(I137="",J137=""),"",I137*J137*Calc!$H$4)</f>
        <v/>
      </c>
    </row>
    <row r="138" spans="11:11" x14ac:dyDescent="0.35">
      <c r="K138" s="31" t="str">
        <f>IF(OR(I138="",J138=""),"",I138*J138*Calc!$H$4)</f>
        <v/>
      </c>
    </row>
    <row r="139" spans="11:11" x14ac:dyDescent="0.35">
      <c r="K139" s="31" t="str">
        <f>IF(OR(I139="",J139=""),"",I139*J139*Calc!$H$4)</f>
        <v/>
      </c>
    </row>
    <row r="140" spans="11:11" x14ac:dyDescent="0.35">
      <c r="K140" s="31" t="str">
        <f>IF(OR(I140="",J140=""),"",I140*J140*Calc!$H$4)</f>
        <v/>
      </c>
    </row>
    <row r="141" spans="11:11" x14ac:dyDescent="0.35">
      <c r="K141" s="31" t="str">
        <f>IF(OR(I141="",J141=""),"",I141*J141*Calc!$H$4)</f>
        <v/>
      </c>
    </row>
    <row r="142" spans="11:11" x14ac:dyDescent="0.35">
      <c r="K142" s="31" t="str">
        <f>IF(OR(I142="",J142=""),"",I142*J142*Calc!$H$4)</f>
        <v/>
      </c>
    </row>
    <row r="143" spans="11:11" x14ac:dyDescent="0.35">
      <c r="K143" s="31" t="str">
        <f>IF(OR(I143="",J143=""),"",I143*J143*Calc!$H$4)</f>
        <v/>
      </c>
    </row>
    <row r="144" spans="11:11" x14ac:dyDescent="0.35">
      <c r="K144" s="31" t="str">
        <f>IF(OR(I144="",J144=""),"",I144*J144*Calc!$H$4)</f>
        <v/>
      </c>
    </row>
    <row r="145" spans="11:11" x14ac:dyDescent="0.35">
      <c r="K145" s="31" t="str">
        <f>IF(OR(I145="",J145=""),"",I145*J145*Calc!$H$4)</f>
        <v/>
      </c>
    </row>
    <row r="146" spans="11:11" x14ac:dyDescent="0.35">
      <c r="K146" s="31" t="str">
        <f>IF(OR(I146="",J146=""),"",I146*J146*Calc!$H$4)</f>
        <v/>
      </c>
    </row>
    <row r="147" spans="11:11" x14ac:dyDescent="0.35">
      <c r="K147" s="31" t="str">
        <f>IF(OR(I147="",J147=""),"",I147*J147*Calc!$H$4)</f>
        <v/>
      </c>
    </row>
    <row r="148" spans="11:11" x14ac:dyDescent="0.35">
      <c r="K148" s="31" t="str">
        <f>IF(OR(I148="",J148=""),"",I148*J148*Calc!$H$4)</f>
        <v/>
      </c>
    </row>
    <row r="149" spans="11:11" x14ac:dyDescent="0.35">
      <c r="K149" s="31" t="str">
        <f>IF(OR(I149="",J149=""),"",I149*J149*Calc!$H$4)</f>
        <v/>
      </c>
    </row>
    <row r="150" spans="11:11" x14ac:dyDescent="0.35">
      <c r="K150" s="31" t="str">
        <f>IF(OR(I150="",J150=""),"",I150*J150*Calc!$H$4)</f>
        <v/>
      </c>
    </row>
    <row r="151" spans="11:11" x14ac:dyDescent="0.35">
      <c r="K151" s="31" t="str">
        <f>IF(OR(I151="",J151=""),"",I151*J151*Calc!$H$4)</f>
        <v/>
      </c>
    </row>
    <row r="152" spans="11:11" x14ac:dyDescent="0.35">
      <c r="K152" s="31" t="str">
        <f>IF(OR(I152="",J152=""),"",I152*J152*Calc!$H$4)</f>
        <v/>
      </c>
    </row>
    <row r="153" spans="11:11" x14ac:dyDescent="0.35">
      <c r="K153" s="31" t="str">
        <f>IF(OR(I153="",J153=""),"",I153*J153*Calc!$H$4)</f>
        <v/>
      </c>
    </row>
    <row r="154" spans="11:11" x14ac:dyDescent="0.35">
      <c r="K154" s="31" t="str">
        <f>IF(OR(I154="",J154=""),"",I154*J154*Calc!$H$4)</f>
        <v/>
      </c>
    </row>
    <row r="155" spans="11:11" x14ac:dyDescent="0.35">
      <c r="K155" s="31" t="str">
        <f>IF(OR(I155="",J155=""),"",I155*J155*Calc!$H$4)</f>
        <v/>
      </c>
    </row>
    <row r="156" spans="11:11" x14ac:dyDescent="0.35">
      <c r="K156" s="31" t="str">
        <f>IF(OR(I156="",J156=""),"",I156*J156*Calc!$H$4)</f>
        <v/>
      </c>
    </row>
    <row r="157" spans="11:11" x14ac:dyDescent="0.35">
      <c r="K157" s="31" t="str">
        <f>IF(OR(I157="",J157=""),"",I157*J157*Calc!$H$4)</f>
        <v/>
      </c>
    </row>
    <row r="158" spans="11:11" x14ac:dyDescent="0.35">
      <c r="K158" s="31" t="str">
        <f>IF(OR(I158="",J158=""),"",I158*J158*Calc!$H$4)</f>
        <v/>
      </c>
    </row>
    <row r="159" spans="11:11" x14ac:dyDescent="0.35">
      <c r="K159" s="31" t="str">
        <f>IF(OR(I159="",J159=""),"",I159*J159*Calc!$H$4)</f>
        <v/>
      </c>
    </row>
    <row r="160" spans="11:11" x14ac:dyDescent="0.35">
      <c r="K160" s="31" t="str">
        <f>IF(OR(I160="",J160=""),"",I160*J160*Calc!$H$4)</f>
        <v/>
      </c>
    </row>
    <row r="161" spans="11:11" x14ac:dyDescent="0.35">
      <c r="K161" s="31" t="str">
        <f>IF(OR(I161="",J161=""),"",I161*J161*Calc!$H$4)</f>
        <v/>
      </c>
    </row>
    <row r="162" spans="11:11" x14ac:dyDescent="0.35">
      <c r="K162" s="31" t="str">
        <f>IF(OR(I162="",J162=""),"",I162*J162*Calc!$H$4)</f>
        <v/>
      </c>
    </row>
    <row r="163" spans="11:11" x14ac:dyDescent="0.35">
      <c r="K163" s="31" t="str">
        <f>IF(OR(I163="",J163=""),"",I163*J163*Calc!$H$4)</f>
        <v/>
      </c>
    </row>
    <row r="164" spans="11:11" x14ac:dyDescent="0.35">
      <c r="K164" s="31" t="str">
        <f>IF(OR(I164="",J164=""),"",I164*J164*Calc!$H$4)</f>
        <v/>
      </c>
    </row>
    <row r="165" spans="11:11" x14ac:dyDescent="0.35">
      <c r="K165" s="31" t="str">
        <f>IF(OR(I165="",J165=""),"",I165*J165*Calc!$H$4)</f>
        <v/>
      </c>
    </row>
    <row r="166" spans="11:11" x14ac:dyDescent="0.35">
      <c r="K166" s="31" t="str">
        <f>IF(OR(I166="",J166=""),"",I166*J166*Calc!$H$4)</f>
        <v/>
      </c>
    </row>
    <row r="167" spans="11:11" x14ac:dyDescent="0.35">
      <c r="K167" s="31" t="str">
        <f>IF(OR(I167="",J167=""),"",I167*J167*Calc!$H$4)</f>
        <v/>
      </c>
    </row>
    <row r="168" spans="11:11" x14ac:dyDescent="0.35">
      <c r="K168" s="31" t="str">
        <f>IF(OR(I168="",J168=""),"",I168*J168*Calc!$H$4)</f>
        <v/>
      </c>
    </row>
    <row r="169" spans="11:11" x14ac:dyDescent="0.35">
      <c r="K169" s="31" t="str">
        <f>IF(OR(I169="",J169=""),"",I169*J169*Calc!$H$4)</f>
        <v/>
      </c>
    </row>
    <row r="170" spans="11:11" x14ac:dyDescent="0.35">
      <c r="K170" s="31" t="str">
        <f>IF(OR(I170="",J170=""),"",I170*J170*Calc!$H$4)</f>
        <v/>
      </c>
    </row>
    <row r="171" spans="11:11" x14ac:dyDescent="0.35">
      <c r="K171" s="31" t="str">
        <f>IF(OR(I171="",J171=""),"",I171*J171*Calc!$H$4)</f>
        <v/>
      </c>
    </row>
    <row r="172" spans="11:11" x14ac:dyDescent="0.35">
      <c r="K172" s="31" t="str">
        <f>IF(OR(I172="",J172=""),"",I172*J172*Calc!$H$4)</f>
        <v/>
      </c>
    </row>
    <row r="173" spans="11:11" x14ac:dyDescent="0.35">
      <c r="K173" s="31" t="str">
        <f>IF(OR(I173="",J173=""),"",I173*J173*Calc!$H$4)</f>
        <v/>
      </c>
    </row>
    <row r="174" spans="11:11" x14ac:dyDescent="0.35">
      <c r="K174" s="31" t="str">
        <f>IF(OR(I174="",J174=""),"",I174*J174*Calc!$H$4)</f>
        <v/>
      </c>
    </row>
    <row r="175" spans="11:11" x14ac:dyDescent="0.35">
      <c r="K175" s="31" t="str">
        <f>IF(OR(I175="",J175=""),"",I175*J175*Calc!$H$4)</f>
        <v/>
      </c>
    </row>
    <row r="176" spans="11:11" x14ac:dyDescent="0.35">
      <c r="K176" s="31" t="str">
        <f>IF(OR(I176="",J176=""),"",I176*J176*Calc!$H$4)</f>
        <v/>
      </c>
    </row>
    <row r="177" spans="11:11" x14ac:dyDescent="0.35">
      <c r="K177" s="31" t="str">
        <f>IF(OR(I177="",J177=""),"",I177*J177*Calc!$H$4)</f>
        <v/>
      </c>
    </row>
    <row r="178" spans="11:11" x14ac:dyDescent="0.35">
      <c r="K178" s="31" t="str">
        <f>IF(OR(I178="",J178=""),"",I178*J178*Calc!$H$4)</f>
        <v/>
      </c>
    </row>
    <row r="179" spans="11:11" x14ac:dyDescent="0.35">
      <c r="K179" s="31" t="str">
        <f>IF(OR(I179="",J179=""),"",I179*J179*Calc!$H$4)</f>
        <v/>
      </c>
    </row>
    <row r="180" spans="11:11" x14ac:dyDescent="0.35">
      <c r="K180" s="31" t="str">
        <f>IF(OR(I180="",J180=""),"",I180*J180*Calc!$H$4)</f>
        <v/>
      </c>
    </row>
    <row r="181" spans="11:11" x14ac:dyDescent="0.35">
      <c r="K181" s="31" t="str">
        <f>IF(OR(I181="",J181=""),"",I181*J181*Calc!$H$4)</f>
        <v/>
      </c>
    </row>
    <row r="182" spans="11:11" x14ac:dyDescent="0.35">
      <c r="K182" s="31" t="str">
        <f>IF(OR(I182="",J182=""),"",I182*J182*Calc!$H$4)</f>
        <v/>
      </c>
    </row>
    <row r="183" spans="11:11" x14ac:dyDescent="0.35">
      <c r="K183" s="31" t="str">
        <f>IF(OR(I183="",J183=""),"",I183*J183*Calc!$H$4)</f>
        <v/>
      </c>
    </row>
    <row r="184" spans="11:11" x14ac:dyDescent="0.35">
      <c r="K184" s="31" t="str">
        <f>IF(OR(I184="",J184=""),"",I184*J184*Calc!$H$4)</f>
        <v/>
      </c>
    </row>
    <row r="185" spans="11:11" x14ac:dyDescent="0.35">
      <c r="K185" s="31" t="str">
        <f>IF(OR(I185="",J185=""),"",I185*J185*Calc!$H$4)</f>
        <v/>
      </c>
    </row>
    <row r="186" spans="11:11" x14ac:dyDescent="0.35">
      <c r="K186" s="31" t="str">
        <f>IF(OR(I186="",J186=""),"",I186*J186*Calc!$H$4)</f>
        <v/>
      </c>
    </row>
    <row r="187" spans="11:11" x14ac:dyDescent="0.35">
      <c r="K187" s="31" t="str">
        <f>IF(OR(I187="",J187=""),"",I187*J187*Calc!$H$4)</f>
        <v/>
      </c>
    </row>
    <row r="188" spans="11:11" x14ac:dyDescent="0.35">
      <c r="K188" s="31" t="str">
        <f>IF(OR(I188="",J188=""),"",I188*J188*Calc!$H$4)</f>
        <v/>
      </c>
    </row>
    <row r="189" spans="11:11" x14ac:dyDescent="0.35">
      <c r="K189" s="31" t="str">
        <f>IF(OR(I189="",J189=""),"",I189*J189*Calc!$H$4)</f>
        <v/>
      </c>
    </row>
    <row r="190" spans="11:11" x14ac:dyDescent="0.35">
      <c r="K190" s="31" t="str">
        <f>IF(OR(I190="",J190=""),"",I190*J190*Calc!$H$4)</f>
        <v/>
      </c>
    </row>
    <row r="191" spans="11:11" x14ac:dyDescent="0.35">
      <c r="K191" s="31" t="str">
        <f>IF(OR(I191="",J191=""),"",I191*J191*Calc!$H$4)</f>
        <v/>
      </c>
    </row>
    <row r="192" spans="11:11" x14ac:dyDescent="0.35">
      <c r="K192" s="31" t="str">
        <f>IF(OR(I192="",J192=""),"",I192*J192*Calc!$H$4)</f>
        <v/>
      </c>
    </row>
    <row r="193" spans="11:11" x14ac:dyDescent="0.35">
      <c r="K193" s="31" t="str">
        <f>IF(OR(I193="",J193=""),"",I193*J193*Calc!$H$4)</f>
        <v/>
      </c>
    </row>
    <row r="194" spans="11:11" x14ac:dyDescent="0.35">
      <c r="K194" s="31" t="str">
        <f>IF(OR(I194="",J194=""),"",I194*J194*Calc!$H$4)</f>
        <v/>
      </c>
    </row>
    <row r="195" spans="11:11" x14ac:dyDescent="0.35">
      <c r="K195" s="31" t="str">
        <f>IF(OR(I195="",J195=""),"",I195*J195*Calc!$H$4)</f>
        <v/>
      </c>
    </row>
    <row r="196" spans="11:11" x14ac:dyDescent="0.35">
      <c r="K196" s="31" t="str">
        <f>IF(OR(I196="",J196=""),"",I196*J196*Calc!$H$4)</f>
        <v/>
      </c>
    </row>
    <row r="197" spans="11:11" x14ac:dyDescent="0.35">
      <c r="K197" s="31" t="str">
        <f>IF(OR(I197="",J197=""),"",I197*J197*Calc!$H$4)</f>
        <v/>
      </c>
    </row>
    <row r="198" spans="11:11" x14ac:dyDescent="0.35">
      <c r="K198" s="31" t="str">
        <f>IF(OR(I198="",J198=""),"",I198*J198*Calc!$H$4)</f>
        <v/>
      </c>
    </row>
    <row r="199" spans="11:11" x14ac:dyDescent="0.35">
      <c r="K199" s="31" t="str">
        <f>IF(OR(I199="",J199=""),"",I199*J199*Calc!$H$4)</f>
        <v/>
      </c>
    </row>
    <row r="200" spans="11:11" x14ac:dyDescent="0.35">
      <c r="K200" s="31" t="str">
        <f>IF(OR(I200="",J200=""),"",I200*J200*Calc!$H$4)</f>
        <v/>
      </c>
    </row>
  </sheetData>
  <autoFilter ref="A1:K200" xr:uid="{00000000-0009-0000-0000-000002000000}"/>
  <dataValidations count="2">
    <dataValidation type="list" allowBlank="1" sqref="C2:C500" xr:uid="{00000000-0002-0000-0200-000000000000}">
      <formula1>"Senior FDE,FDE,Trainee"</formula1>
      <formula2>0</formula2>
    </dataValidation>
    <dataValidation type="list" allowBlank="1" sqref="E2:E500" xr:uid="{00000000-0002-0000-0200-000001000000}">
      <formula1>"Internal,External"</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P239"/>
  <sheetViews>
    <sheetView zoomScaleNormal="100" workbookViewId="0">
      <selection activeCell="B29" sqref="B29"/>
    </sheetView>
  </sheetViews>
  <sheetFormatPr defaultColWidth="8.54296875" defaultRowHeight="14.5" x14ac:dyDescent="0.35"/>
  <cols>
    <col min="1" max="1" width="30" customWidth="1"/>
    <col min="2" max="4" width="18" customWidth="1"/>
    <col min="5" max="5" width="52" customWidth="1"/>
    <col min="6" max="6" width="3" customWidth="1"/>
    <col min="7" max="7" width="34" customWidth="1"/>
    <col min="8" max="8" width="14" customWidth="1"/>
    <col min="9" max="9" width="70" customWidth="1"/>
    <col min="10" max="10" width="3" customWidth="1"/>
    <col min="11" max="12" width="6.54296875" customWidth="1"/>
    <col min="13" max="13" width="3" customWidth="1"/>
    <col min="14" max="198" width="6.54296875" customWidth="1"/>
  </cols>
  <sheetData>
    <row r="1" spans="1:9" ht="16.5" customHeight="1" x14ac:dyDescent="0.35">
      <c r="A1" s="32" t="s">
        <v>226</v>
      </c>
    </row>
    <row r="2" spans="1:9" x14ac:dyDescent="0.35">
      <c r="G2" s="16" t="s">
        <v>227</v>
      </c>
      <c r="H2" s="33"/>
      <c r="I2" s="33"/>
    </row>
    <row r="3" spans="1:9" x14ac:dyDescent="0.35">
      <c r="A3" s="16" t="s">
        <v>228</v>
      </c>
      <c r="B3" s="16" t="s">
        <v>102</v>
      </c>
      <c r="C3" s="16" t="s">
        <v>100</v>
      </c>
      <c r="D3" s="16" t="s">
        <v>14</v>
      </c>
      <c r="E3" s="7" t="s">
        <v>229</v>
      </c>
      <c r="G3" s="17" t="s">
        <v>230</v>
      </c>
      <c r="H3" s="34">
        <f ca="1">TODAY()</f>
        <v>46302</v>
      </c>
      <c r="I3" s="35" t="s">
        <v>231</v>
      </c>
    </row>
    <row r="4" spans="1:9" x14ac:dyDescent="0.35">
      <c r="A4" s="36" t="s">
        <v>13</v>
      </c>
      <c r="B4" s="19">
        <f>COUNTIFS('Master-Input'!$C$2:$C$500,$A4,'Master-Input'!$E$2:$E$500,"Internal")</f>
        <v>15</v>
      </c>
      <c r="C4" s="19">
        <f>COUNTIFS('Master-Input'!$C$2:$C$500,$A4,'Master-Input'!$E$2:$E$500,"External")</f>
        <v>0</v>
      </c>
      <c r="D4" s="19">
        <f>COUNTIF('Master-Input'!$C$2:$C$500,$A4)</f>
        <v>15</v>
      </c>
      <c r="G4" s="17" t="s">
        <v>232</v>
      </c>
      <c r="H4" s="37">
        <v>4</v>
      </c>
      <c r="I4" s="35" t="s">
        <v>233</v>
      </c>
    </row>
    <row r="5" spans="1:9" x14ac:dyDescent="0.35">
      <c r="A5" s="36" t="s">
        <v>12</v>
      </c>
      <c r="B5" s="19">
        <f>COUNTIFS('Master-Input'!$C$2:$C$500,$A5,'Master-Input'!$E$2:$E$500,"Internal")</f>
        <v>0</v>
      </c>
      <c r="C5" s="19">
        <f>COUNTIFS('Master-Input'!$C$2:$C$500,$A5,'Master-Input'!$E$2:$E$500,"External")</f>
        <v>3</v>
      </c>
      <c r="D5" s="19">
        <f>COUNTIF('Master-Input'!$C$2:$C$500,$A5)</f>
        <v>3</v>
      </c>
      <c r="G5" s="17" t="s">
        <v>234</v>
      </c>
      <c r="H5" s="37">
        <v>60</v>
      </c>
      <c r="I5" s="35" t="s">
        <v>235</v>
      </c>
    </row>
    <row r="6" spans="1:9" x14ac:dyDescent="0.35">
      <c r="A6" s="36" t="s">
        <v>206</v>
      </c>
      <c r="B6" s="19">
        <f>COUNTIFS('Master-Input'!$C$2:$C$500,$A6,'Master-Input'!$E$2:$E$500,"Internal")</f>
        <v>0</v>
      </c>
      <c r="C6" s="19">
        <f>COUNTIFS('Master-Input'!$C$2:$C$500,$A6,'Master-Input'!$E$2:$E$500,"External")</f>
        <v>20</v>
      </c>
      <c r="D6" s="19">
        <f>COUNTIF('Master-Input'!$C$2:$C$500,$A6)</f>
        <v>20</v>
      </c>
    </row>
    <row r="7" spans="1:9" x14ac:dyDescent="0.35">
      <c r="A7" s="19"/>
      <c r="B7" s="19"/>
      <c r="C7" s="19"/>
      <c r="D7" s="19"/>
    </row>
    <row r="8" spans="1:9" ht="18" customHeight="1" x14ac:dyDescent="0.35">
      <c r="A8" s="19"/>
      <c r="B8" s="19"/>
      <c r="C8" s="19"/>
      <c r="D8" s="19"/>
      <c r="G8" s="118" t="s">
        <v>236</v>
      </c>
      <c r="H8" s="118"/>
      <c r="I8" s="118"/>
    </row>
    <row r="9" spans="1:9" ht="42" customHeight="1" x14ac:dyDescent="0.35">
      <c r="A9" s="19"/>
      <c r="B9" s="19"/>
      <c r="C9" s="19"/>
      <c r="D9" s="19"/>
      <c r="G9" s="117" t="s">
        <v>237</v>
      </c>
      <c r="H9" s="117"/>
      <c r="I9" s="117"/>
    </row>
    <row r="10" spans="1:9" ht="18" customHeight="1" x14ac:dyDescent="0.35">
      <c r="A10" s="16" t="s">
        <v>170</v>
      </c>
      <c r="B10" s="16" t="s">
        <v>238</v>
      </c>
      <c r="C10" s="19"/>
      <c r="D10" s="19"/>
      <c r="E10" s="7" t="s">
        <v>239</v>
      </c>
      <c r="G10" s="117" t="s">
        <v>240</v>
      </c>
      <c r="H10" s="117"/>
      <c r="I10" s="117"/>
    </row>
    <row r="11" spans="1:9" ht="18" customHeight="1" x14ac:dyDescent="0.35">
      <c r="A11" s="36" t="s">
        <v>183</v>
      </c>
      <c r="B11" s="19">
        <f>COUNTIF('Master-Input'!$B$2:$B$500,A11)</f>
        <v>28</v>
      </c>
      <c r="C11" s="19"/>
      <c r="D11" s="19"/>
      <c r="G11" s="117" t="s">
        <v>241</v>
      </c>
      <c r="H11" s="117"/>
      <c r="I11" s="117"/>
    </row>
    <row r="12" spans="1:9" ht="30" customHeight="1" x14ac:dyDescent="0.35">
      <c r="A12" s="36" t="s">
        <v>180</v>
      </c>
      <c r="B12" s="19">
        <f>COUNTIF('Master-Input'!$B$2:$B$500,A12)</f>
        <v>2</v>
      </c>
      <c r="C12" s="19"/>
      <c r="D12" s="19"/>
      <c r="G12" s="117" t="s">
        <v>242</v>
      </c>
      <c r="H12" s="117"/>
      <c r="I12" s="117"/>
    </row>
    <row r="13" spans="1:9" ht="30" customHeight="1" x14ac:dyDescent="0.35">
      <c r="A13" s="36" t="s">
        <v>193</v>
      </c>
      <c r="B13" s="19">
        <f>COUNTIF('Master-Input'!$B$2:$B$500,A13)</f>
        <v>3</v>
      </c>
      <c r="C13" s="19"/>
      <c r="D13" s="19"/>
      <c r="G13" s="117" t="s">
        <v>243</v>
      </c>
      <c r="H13" s="117"/>
      <c r="I13" s="117"/>
    </row>
    <row r="14" spans="1:9" ht="18" customHeight="1" x14ac:dyDescent="0.35">
      <c r="A14" s="36" t="s">
        <v>196</v>
      </c>
      <c r="B14" s="19">
        <f>COUNTIF('Master-Input'!$B$2:$B$500,A14)</f>
        <v>3</v>
      </c>
      <c r="C14" s="19"/>
      <c r="D14" s="19"/>
      <c r="G14" s="118" t="s">
        <v>244</v>
      </c>
      <c r="H14" s="118"/>
      <c r="I14" s="118"/>
    </row>
    <row r="15" spans="1:9" ht="30" customHeight="1" x14ac:dyDescent="0.35">
      <c r="A15" s="36" t="s">
        <v>203</v>
      </c>
      <c r="B15" s="19">
        <f>COUNTIF('Master-Input'!$B$2:$B$500,A15)</f>
        <v>2</v>
      </c>
      <c r="C15" s="19"/>
      <c r="D15" s="19"/>
      <c r="G15" s="117" t="s">
        <v>245</v>
      </c>
      <c r="H15" s="117"/>
      <c r="I15" s="117"/>
    </row>
    <row r="16" spans="1:9" ht="18" customHeight="1" x14ac:dyDescent="0.35">
      <c r="A16" s="19" t="s">
        <v>246</v>
      </c>
      <c r="B16" s="19">
        <f>COUNTA('Master-Input'!$A$2:$A$500)-SUM(B11:B15)</f>
        <v>0</v>
      </c>
      <c r="C16" s="19"/>
      <c r="D16" s="19"/>
      <c r="G16" s="117" t="s">
        <v>247</v>
      </c>
      <c r="H16" s="117"/>
      <c r="I16" s="117"/>
    </row>
    <row r="17" spans="1:9" ht="42" customHeight="1" x14ac:dyDescent="0.35">
      <c r="A17" s="19"/>
      <c r="B17" s="19"/>
      <c r="C17" s="19"/>
      <c r="D17" s="19"/>
      <c r="G17" s="117" t="s">
        <v>248</v>
      </c>
      <c r="H17" s="117"/>
      <c r="I17" s="117"/>
    </row>
    <row r="18" spans="1:9" x14ac:dyDescent="0.35">
      <c r="A18" s="19"/>
      <c r="B18" s="19"/>
      <c r="C18" s="19"/>
      <c r="D18" s="19"/>
    </row>
    <row r="19" spans="1:9" x14ac:dyDescent="0.35">
      <c r="A19" s="16" t="s">
        <v>249</v>
      </c>
      <c r="B19" s="16" t="s">
        <v>250</v>
      </c>
      <c r="C19" s="19"/>
      <c r="D19" s="19"/>
      <c r="E19" s="7" t="s">
        <v>251</v>
      </c>
    </row>
    <row r="20" spans="1:9" x14ac:dyDescent="0.35">
      <c r="A20" s="19" t="s">
        <v>143</v>
      </c>
      <c r="B20" s="19">
        <f ca="1">SUMPRODUCT(('Master-Input'!$F$2:$F$500&lt;&gt;"")*('Master-Input'!$G$2:$G$500&lt;=Calc!$H$3)*('Master-Input'!$H$2:$H$500&gt;=Calc!$H$3))</f>
        <v>10</v>
      </c>
      <c r="C20" s="19"/>
      <c r="D20" s="19"/>
    </row>
    <row r="21" spans="1:9" x14ac:dyDescent="0.35">
      <c r="A21" s="19" t="s">
        <v>149</v>
      </c>
      <c r="B21" s="19">
        <f ca="1">SUMPRODUCT(('Master-Input'!$F$2:$F$500&lt;&gt;"")*('Master-Input'!$G$2:$G$500&gt;Calc!$H$3))</f>
        <v>0</v>
      </c>
      <c r="C21" s="19"/>
      <c r="D21" s="19"/>
    </row>
    <row r="22" spans="1:9" x14ac:dyDescent="0.35">
      <c r="A22" s="19" t="s">
        <v>252</v>
      </c>
      <c r="B22" s="19">
        <f ca="1">SUMPRODUCT(('Master-Input'!$F$2:$F$500&lt;&gt;"")*('Master-Input'!$H$2:$H$500&lt;Calc!$H$3))</f>
        <v>0</v>
      </c>
      <c r="C22" s="19"/>
      <c r="D22" s="19"/>
    </row>
    <row r="23" spans="1:9" x14ac:dyDescent="0.35">
      <c r="A23" s="19" t="s">
        <v>144</v>
      </c>
      <c r="B23" s="19">
        <f ca="1">SUMPRODUCT(('Master-Input'!$A$2:$A$500&lt;&gt;"")*('Master-Input'!$F$2:$F$500="")*('Master-Input'!$D$2:$D$500&lt;=Calc!$H$3)*('Master-Input'!$C$2:$C$500&lt;&gt;"Trainee"))</f>
        <v>2</v>
      </c>
      <c r="C23" s="19"/>
      <c r="D23" s="19"/>
    </row>
    <row r="24" spans="1:9" x14ac:dyDescent="0.35">
      <c r="A24" s="19" t="s">
        <v>253</v>
      </c>
      <c r="B24" s="19">
        <f>SUMPRODUCT(('Master-Input'!$A$2:$A$500&lt;&gt;"")*('Master-Input'!$F$2:$F$500="")*('Master-Input'!$C$2:$C$500="Trainee"))</f>
        <v>20</v>
      </c>
      <c r="C24" s="19"/>
      <c r="D24" s="19"/>
    </row>
    <row r="25" spans="1:9" x14ac:dyDescent="0.35">
      <c r="A25" s="19" t="s">
        <v>142</v>
      </c>
      <c r="B25" s="19">
        <f ca="1">SUMPRODUCT(('Master-Input'!$A$2:$A$500&lt;&gt;"")*('Master-Input'!$F$2:$F$500="")*('Master-Input'!$D$2:$D$500&gt;Calc!$H$3)*('Master-Input'!$C$2:$C$500&lt;&gt;"Trainee"))</f>
        <v>6</v>
      </c>
      <c r="C25" s="19"/>
      <c r="D25" s="19"/>
    </row>
    <row r="26" spans="1:9" x14ac:dyDescent="0.35">
      <c r="A26" s="19"/>
      <c r="B26" s="19"/>
      <c r="C26" s="19"/>
      <c r="D26" s="19"/>
    </row>
    <row r="27" spans="1:9" x14ac:dyDescent="0.35">
      <c r="A27" s="19"/>
      <c r="B27" s="19"/>
      <c r="C27" s="19"/>
      <c r="D27" s="19"/>
    </row>
    <row r="28" spans="1:9" x14ac:dyDescent="0.35">
      <c r="A28" s="16" t="s">
        <v>254</v>
      </c>
      <c r="B28" s="16" t="s">
        <v>153</v>
      </c>
      <c r="C28" s="16" t="s">
        <v>255</v>
      </c>
      <c r="D28" s="16" t="s">
        <v>155</v>
      </c>
      <c r="E28" s="7" t="s">
        <v>256</v>
      </c>
    </row>
    <row r="29" spans="1:9" x14ac:dyDescent="0.35">
      <c r="A29" s="36" t="s">
        <v>181</v>
      </c>
      <c r="B29" s="19">
        <f ca="1">SUMPRODUCT(('Master-Input'!$F$2:$F$500=$A29)*('Master-Input'!$G$2:$G$500&lt;=Calc!$H$3)*('Master-Input'!$H$2:$H$500&gt;=Calc!$H$3))</f>
        <v>4</v>
      </c>
      <c r="C29" s="31">
        <f ca="1">SUMPRODUCT(('Master-Input'!$F$2:$F$500=$A29)*('Master-Input'!$G$2:$G$500&lt;=Calc!$H$3)*('Master-Input'!$H$2:$H$500&gt;=Calc!$H$3)*'Master-Input'!$I$2:$I$500*'Master-Input'!$J$2:$J$500*Calc!$H$4)</f>
        <v>48000</v>
      </c>
      <c r="D29" s="31">
        <f ca="1">IF(B29=0,0,SUMPRODUCT(('Master-Input'!$F$2:$F$500=$A29)*('Master-Input'!$G$2:$G$500&lt;=Calc!$H$3)*('Master-Input'!$H$2:$H$500&gt;=Calc!$H$3)*'Master-Input'!$I$2:$I$500)/B29)</f>
        <v>75</v>
      </c>
    </row>
    <row r="30" spans="1:9" x14ac:dyDescent="0.35">
      <c r="A30" s="36" t="s">
        <v>184</v>
      </c>
      <c r="B30" s="19">
        <f ca="1">SUMPRODUCT(('Master-Input'!$F$2:$F$500=$A30)*('Master-Input'!$G$2:$G$500&lt;=Calc!$H$3)*('Master-Input'!$H$2:$H$500&gt;=Calc!$H$3))</f>
        <v>1</v>
      </c>
      <c r="C30" s="31">
        <f ca="1">SUMPRODUCT(('Master-Input'!$F$2:$F$500=$A30)*('Master-Input'!$G$2:$G$500&lt;=Calc!$H$3)*('Master-Input'!$H$2:$H$500&gt;=Calc!$H$3)*'Master-Input'!$I$2:$I$500*'Master-Input'!$J$2:$J$500*Calc!$H$4)</f>
        <v>16000</v>
      </c>
      <c r="D30" s="31">
        <f ca="1">IF(B30=0,0,SUMPRODUCT(('Master-Input'!$F$2:$F$500=$A30)*('Master-Input'!$G$2:$G$500&lt;=Calc!$H$3)*('Master-Input'!$H$2:$H$500&gt;=Calc!$H$3)*'Master-Input'!$I$2:$I$500)/B30)</f>
        <v>100</v>
      </c>
    </row>
    <row r="31" spans="1:9" x14ac:dyDescent="0.35">
      <c r="A31" s="36" t="s">
        <v>186</v>
      </c>
      <c r="B31" s="19">
        <f ca="1">SUMPRODUCT(('Master-Input'!$F$2:$F$500=$A31)*('Master-Input'!$G$2:$G$500&lt;=Calc!$H$3)*('Master-Input'!$H$2:$H$500&gt;=Calc!$H$3))</f>
        <v>1</v>
      </c>
      <c r="C31" s="31">
        <f ca="1">SUMPRODUCT(('Master-Input'!$F$2:$F$500=$A31)*('Master-Input'!$G$2:$G$500&lt;=Calc!$H$3)*('Master-Input'!$H$2:$H$500&gt;=Calc!$H$3)*'Master-Input'!$I$2:$I$500*'Master-Input'!$J$2:$J$500*Calc!$H$4)</f>
        <v>16000</v>
      </c>
      <c r="D31" s="31">
        <f ca="1">IF(B31=0,0,SUMPRODUCT(('Master-Input'!$F$2:$F$500=$A31)*('Master-Input'!$G$2:$G$500&lt;=Calc!$H$3)*('Master-Input'!$H$2:$H$500&gt;=Calc!$H$3)*'Master-Input'!$I$2:$I$500)/B31)</f>
        <v>100</v>
      </c>
    </row>
    <row r="32" spans="1:9" x14ac:dyDescent="0.35">
      <c r="A32" s="36" t="s">
        <v>188</v>
      </c>
      <c r="B32" s="19">
        <f ca="1">SUMPRODUCT(('Master-Input'!$F$2:$F$500=$A32)*('Master-Input'!$G$2:$G$500&lt;=Calc!$H$3)*('Master-Input'!$H$2:$H$500&gt;=Calc!$H$3))</f>
        <v>2</v>
      </c>
      <c r="C32" s="31">
        <f ca="1">SUMPRODUCT(('Master-Input'!$F$2:$F$500=$A32)*('Master-Input'!$G$2:$G$500&lt;=Calc!$H$3)*('Master-Input'!$H$2:$H$500&gt;=Calc!$H$3)*'Master-Input'!$I$2:$I$500*'Master-Input'!$J$2:$J$500*Calc!$H$4)</f>
        <v>32000</v>
      </c>
      <c r="D32" s="31">
        <f ca="1">IF(B32=0,0,SUMPRODUCT(('Master-Input'!$F$2:$F$500=$A32)*('Master-Input'!$G$2:$G$500&lt;=Calc!$H$3)*('Master-Input'!$H$2:$H$500&gt;=Calc!$H$3)*'Master-Input'!$I$2:$I$500)/B32)</f>
        <v>100</v>
      </c>
    </row>
    <row r="33" spans="1:5" x14ac:dyDescent="0.35">
      <c r="A33" s="36" t="s">
        <v>190</v>
      </c>
      <c r="B33" s="19">
        <f ca="1">SUMPRODUCT(('Master-Input'!$F$2:$F$500=$A33)*('Master-Input'!$G$2:$G$500&lt;=Calc!$H$3)*('Master-Input'!$H$2:$H$500&gt;=Calc!$H$3))</f>
        <v>1</v>
      </c>
      <c r="C33" s="31">
        <f ca="1">SUMPRODUCT(('Master-Input'!$F$2:$F$500=$A33)*('Master-Input'!$G$2:$G$500&lt;=Calc!$H$3)*('Master-Input'!$H$2:$H$500&gt;=Calc!$H$3)*'Master-Input'!$I$2:$I$500*'Master-Input'!$J$2:$J$500*Calc!$H$4)</f>
        <v>16000</v>
      </c>
      <c r="D33" s="31">
        <f ca="1">IF(B33=0,0,SUMPRODUCT(('Master-Input'!$F$2:$F$500=$A33)*('Master-Input'!$G$2:$G$500&lt;=Calc!$H$3)*('Master-Input'!$H$2:$H$500&gt;=Calc!$H$3)*'Master-Input'!$I$2:$I$500)/B33)</f>
        <v>100</v>
      </c>
    </row>
    <row r="34" spans="1:5" x14ac:dyDescent="0.35">
      <c r="A34" s="36" t="s">
        <v>194</v>
      </c>
      <c r="B34" s="19">
        <f ca="1">SUMPRODUCT(('Master-Input'!$F$2:$F$500=$A34)*('Master-Input'!$G$2:$G$500&lt;=Calc!$H$3)*('Master-Input'!$H$2:$H$500&gt;=Calc!$H$3))</f>
        <v>1</v>
      </c>
      <c r="C34" s="31">
        <f ca="1">SUMPRODUCT(('Master-Input'!$F$2:$F$500=$A34)*('Master-Input'!$G$2:$G$500&lt;=Calc!$H$3)*('Master-Input'!$H$2:$H$500&gt;=Calc!$H$3)*'Master-Input'!$I$2:$I$500*'Master-Input'!$J$2:$J$500*Calc!$H$4)</f>
        <v>16000</v>
      </c>
      <c r="D34" s="31">
        <f ca="1">IF(B34=0,0,SUMPRODUCT(('Master-Input'!$F$2:$F$500=$A34)*('Master-Input'!$G$2:$G$500&lt;=Calc!$H$3)*('Master-Input'!$H$2:$H$500&gt;=Calc!$H$3)*'Master-Input'!$I$2:$I$500)/B34)</f>
        <v>100</v>
      </c>
    </row>
    <row r="35" spans="1:5" x14ac:dyDescent="0.35">
      <c r="A35" s="19" t="s">
        <v>257</v>
      </c>
      <c r="B35" s="19">
        <f ca="1">B36-SUM(B29:B34)</f>
        <v>0</v>
      </c>
      <c r="C35" s="31">
        <f ca="1">C36-SUM(C29:C34)</f>
        <v>0</v>
      </c>
      <c r="D35" s="31">
        <f ca="1">IF(B35=0,0,(D36*B36-SUMPRODUCT(B29:B34,D29:D34))/B35)</f>
        <v>0</v>
      </c>
    </row>
    <row r="36" spans="1:5" x14ac:dyDescent="0.35">
      <c r="A36" s="17" t="s">
        <v>258</v>
      </c>
      <c r="B36" s="17">
        <f ca="1">B20</f>
        <v>10</v>
      </c>
      <c r="C36" s="38">
        <f ca="1">SUMPRODUCT(('Master-Input'!$F$2:$F$500&lt;&gt;"")*('Master-Input'!$G$2:$G$500&lt;=Calc!$H$3)*('Master-Input'!$H$2:$H$500&gt;=Calc!$H$3)*'Master-Input'!$I$2:$I$500*'Master-Input'!$J$2:$J$500*Calc!$H$4)</f>
        <v>144000</v>
      </c>
      <c r="D36" s="38">
        <f ca="1">IF(B36=0,0,SUMPRODUCT(('Master-Input'!$F$2:$F$500&lt;&gt;"")*('Master-Input'!$G$2:$G$500&lt;=Calc!$H$3)*('Master-Input'!$H$2:$H$500&gt;=Calc!$H$3)*'Master-Input'!$I$2:$I$500)/B36)</f>
        <v>90</v>
      </c>
    </row>
    <row r="37" spans="1:5" x14ac:dyDescent="0.35">
      <c r="A37" s="19"/>
      <c r="B37" s="19"/>
      <c r="C37" s="19"/>
      <c r="D37" s="19"/>
    </row>
    <row r="38" spans="1:5" x14ac:dyDescent="0.35">
      <c r="A38" s="19"/>
      <c r="B38" s="19"/>
      <c r="C38" s="19"/>
      <c r="D38" s="19"/>
    </row>
    <row r="39" spans="1:5" x14ac:dyDescent="0.35">
      <c r="A39" s="16" t="s">
        <v>259</v>
      </c>
      <c r="B39" s="16" t="s">
        <v>260</v>
      </c>
      <c r="C39" s="16" t="s">
        <v>261</v>
      </c>
      <c r="D39" s="19"/>
      <c r="E39" s="7" t="s">
        <v>262</v>
      </c>
    </row>
    <row r="40" spans="1:5" x14ac:dyDescent="0.35">
      <c r="A40" s="39">
        <v>46204</v>
      </c>
      <c r="B40" s="19" t="str">
        <f t="shared" ref="B40:B46" si="0">TEXT(A40,"mmm-yy")</f>
        <v>Jul-26</v>
      </c>
      <c r="C40" s="19">
        <f>COUNTIFS('Master-Input'!$D$2:$D$500,"&gt;="&amp;A40,'Master-Input'!$D$2:$D$500,"&lt;"&amp;EDATE(A40,1))</f>
        <v>2</v>
      </c>
      <c r="D40" s="19"/>
    </row>
    <row r="41" spans="1:5" x14ac:dyDescent="0.35">
      <c r="A41" s="39">
        <v>46235</v>
      </c>
      <c r="B41" s="19" t="str">
        <f t="shared" si="0"/>
        <v>Aug-26</v>
      </c>
      <c r="C41" s="19">
        <f>COUNTIFS('Master-Input'!$D$2:$D$500,"&gt;="&amp;A41,'Master-Input'!$D$2:$D$500,"&lt;"&amp;EDATE(A41,1))</f>
        <v>23</v>
      </c>
      <c r="D41" s="19"/>
    </row>
    <row r="42" spans="1:5" x14ac:dyDescent="0.35">
      <c r="A42" s="39">
        <v>46266</v>
      </c>
      <c r="B42" s="19" t="str">
        <f t="shared" si="0"/>
        <v>Sep-26</v>
      </c>
      <c r="C42" s="19">
        <f>COUNTIFS('Master-Input'!$D$2:$D$500,"&gt;="&amp;A42,'Master-Input'!$D$2:$D$500,"&lt;"&amp;EDATE(A42,1))</f>
        <v>5</v>
      </c>
      <c r="D42" s="19"/>
    </row>
    <row r="43" spans="1:5" x14ac:dyDescent="0.35">
      <c r="A43" s="39">
        <v>46296</v>
      </c>
      <c r="B43" s="19" t="str">
        <f t="shared" si="0"/>
        <v>Oct-26</v>
      </c>
      <c r="C43" s="19">
        <f>COUNTIFS('Master-Input'!$D$2:$D$500,"&gt;="&amp;A43,'Master-Input'!$D$2:$D$500,"&lt;"&amp;EDATE(A43,1))</f>
        <v>6</v>
      </c>
      <c r="D43" s="19"/>
    </row>
    <row r="44" spans="1:5" x14ac:dyDescent="0.35">
      <c r="A44" s="39">
        <v>46327</v>
      </c>
      <c r="B44" s="19" t="str">
        <f t="shared" si="0"/>
        <v>Nov-26</v>
      </c>
      <c r="C44" s="19">
        <f>COUNTIFS('Master-Input'!$D$2:$D$500,"&gt;="&amp;A44,'Master-Input'!$D$2:$D$500,"&lt;"&amp;EDATE(A44,1))</f>
        <v>0</v>
      </c>
      <c r="D44" s="19"/>
    </row>
    <row r="45" spans="1:5" x14ac:dyDescent="0.35">
      <c r="A45" s="39">
        <v>46357</v>
      </c>
      <c r="B45" s="19" t="str">
        <f t="shared" si="0"/>
        <v>Dec-26</v>
      </c>
      <c r="C45" s="19">
        <f>COUNTIFS('Master-Input'!$D$2:$D$500,"&gt;="&amp;A45,'Master-Input'!$D$2:$D$500,"&lt;"&amp;EDATE(A45,1))</f>
        <v>0</v>
      </c>
      <c r="D45" s="19"/>
    </row>
    <row r="46" spans="1:5" x14ac:dyDescent="0.35">
      <c r="A46" s="39">
        <v>46388</v>
      </c>
      <c r="B46" s="19" t="str">
        <f t="shared" si="0"/>
        <v>Jan-27</v>
      </c>
      <c r="C46" s="19">
        <f>COUNTIFS('Master-Input'!$D$2:$D$500,"&gt;="&amp;A46,'Master-Input'!$D$2:$D$500,"&lt;"&amp;EDATE(A46,1))</f>
        <v>2</v>
      </c>
      <c r="D46" s="19"/>
    </row>
    <row r="48" spans="1:5" x14ac:dyDescent="0.35">
      <c r="A48" s="40" t="s">
        <v>263</v>
      </c>
    </row>
    <row r="49" spans="1:5" x14ac:dyDescent="0.35">
      <c r="A49" s="16" t="s">
        <v>170</v>
      </c>
      <c r="B49" s="16" t="s">
        <v>158</v>
      </c>
      <c r="C49" s="16" t="s">
        <v>159</v>
      </c>
      <c r="D49" s="16" t="s">
        <v>14</v>
      </c>
      <c r="E49" s="16" t="s">
        <v>264</v>
      </c>
    </row>
    <row r="50" spans="1:5" x14ac:dyDescent="0.35">
      <c r="A50" s="41" t="str">
        <f t="shared" ref="A50:A55" si="1">A11</f>
        <v>USA</v>
      </c>
      <c r="B50" s="41">
        <f ca="1">SUMPRODUCT(('Master-Input'!$B$2:$B$500=$A50)*('Master-Input'!$A$2:$A$500&lt;&gt;"")*((('Master-Input'!$F$2:$F$500&lt;&gt;"")+('Master-Input'!$F$2:$F$500="")*('Master-Input'!$D$2:$D$500&lt;=Calc!$H$3)*('Master-Input'!$C$2:$C$500&lt;&gt;"Trainee"))&gt;0))</f>
        <v>7</v>
      </c>
      <c r="C50" s="41">
        <f ca="1">SUMPRODUCT(('Master-Input'!$B$2:$B$500=$A50)*('Master-Input'!$A$2:$A$500&lt;&gt;""))-B50</f>
        <v>21</v>
      </c>
      <c r="D50" s="41">
        <f t="shared" ref="D50:D55" ca="1" si="2">B50+C50</f>
        <v>28</v>
      </c>
      <c r="E50" s="42" t="str">
        <f t="shared" ref="E50:E55" ca="1" si="3">IF(D50=0,"",A50&amp;"  ("&amp;D50&amp;")")</f>
        <v>USA  (28)</v>
      </c>
    </row>
    <row r="51" spans="1:5" x14ac:dyDescent="0.35">
      <c r="A51" s="41" t="str">
        <f t="shared" si="1"/>
        <v>India</v>
      </c>
      <c r="B51" s="41">
        <f ca="1">SUMPRODUCT(('Master-Input'!$B$2:$B$500=$A51)*('Master-Input'!$A$2:$A$500&lt;&gt;"")*((('Master-Input'!$F$2:$F$500&lt;&gt;"")+('Master-Input'!$F$2:$F$500="")*('Master-Input'!$D$2:$D$500&lt;=Calc!$H$3)*('Master-Input'!$C$2:$C$500&lt;&gt;"Trainee"))&gt;0))</f>
        <v>2</v>
      </c>
      <c r="C51" s="41">
        <f ca="1">SUMPRODUCT(('Master-Input'!$B$2:$B$500=$A51)*('Master-Input'!$A$2:$A$500&lt;&gt;""))-B51</f>
        <v>0</v>
      </c>
      <c r="D51" s="41">
        <f t="shared" ca="1" si="2"/>
        <v>2</v>
      </c>
      <c r="E51" s="42" t="str">
        <f t="shared" ca="1" si="3"/>
        <v>India  (2)</v>
      </c>
    </row>
    <row r="52" spans="1:5" x14ac:dyDescent="0.35">
      <c r="A52" s="41" t="str">
        <f t="shared" si="1"/>
        <v>UK</v>
      </c>
      <c r="B52" s="41">
        <f ca="1">SUMPRODUCT(('Master-Input'!$B$2:$B$500=$A52)*('Master-Input'!$A$2:$A$500&lt;&gt;"")*((('Master-Input'!$F$2:$F$500&lt;&gt;"")+('Master-Input'!$F$2:$F$500="")*('Master-Input'!$D$2:$D$500&lt;=Calc!$H$3)*('Master-Input'!$C$2:$C$500&lt;&gt;"Trainee"))&gt;0))</f>
        <v>1</v>
      </c>
      <c r="C52" s="41">
        <f ca="1">SUMPRODUCT(('Master-Input'!$B$2:$B$500=$A52)*('Master-Input'!$A$2:$A$500&lt;&gt;""))-B52</f>
        <v>2</v>
      </c>
      <c r="D52" s="41">
        <f t="shared" ca="1" si="2"/>
        <v>3</v>
      </c>
      <c r="E52" s="42" t="str">
        <f t="shared" ca="1" si="3"/>
        <v>UK  (3)</v>
      </c>
    </row>
    <row r="53" spans="1:5" x14ac:dyDescent="0.35">
      <c r="A53" s="41" t="str">
        <f t="shared" si="1"/>
        <v>LATAM</v>
      </c>
      <c r="B53" s="41">
        <f ca="1">SUMPRODUCT(('Master-Input'!$B$2:$B$500=$A53)*('Master-Input'!$A$2:$A$500&lt;&gt;"")*((('Master-Input'!$F$2:$F$500&lt;&gt;"")+('Master-Input'!$F$2:$F$500="")*('Master-Input'!$D$2:$D$500&lt;=Calc!$H$3)*('Master-Input'!$C$2:$C$500&lt;&gt;"Trainee"))&gt;0))</f>
        <v>2</v>
      </c>
      <c r="C53" s="41">
        <f ca="1">SUMPRODUCT(('Master-Input'!$B$2:$B$500=$A53)*('Master-Input'!$A$2:$A$500&lt;&gt;""))-B53</f>
        <v>1</v>
      </c>
      <c r="D53" s="41">
        <f t="shared" ca="1" si="2"/>
        <v>3</v>
      </c>
      <c r="E53" s="42" t="str">
        <f t="shared" ca="1" si="3"/>
        <v>LATAM  (3)</v>
      </c>
    </row>
    <row r="54" spans="1:5" x14ac:dyDescent="0.35">
      <c r="A54" s="41" t="str">
        <f t="shared" si="1"/>
        <v>Canada</v>
      </c>
      <c r="B54" s="41">
        <f ca="1">SUMPRODUCT(('Master-Input'!$B$2:$B$500=$A54)*('Master-Input'!$A$2:$A$500&lt;&gt;"")*((('Master-Input'!$F$2:$F$500&lt;&gt;"")+('Master-Input'!$F$2:$F$500="")*('Master-Input'!$D$2:$D$500&lt;=Calc!$H$3)*('Master-Input'!$C$2:$C$500&lt;&gt;"Trainee"))&gt;0))</f>
        <v>0</v>
      </c>
      <c r="C54" s="41">
        <f ca="1">SUMPRODUCT(('Master-Input'!$B$2:$B$500=$A54)*('Master-Input'!$A$2:$A$500&lt;&gt;""))-B54</f>
        <v>2</v>
      </c>
      <c r="D54" s="41">
        <f t="shared" ca="1" si="2"/>
        <v>2</v>
      </c>
      <c r="E54" s="42" t="str">
        <f t="shared" ca="1" si="3"/>
        <v>Canada  (2)</v>
      </c>
    </row>
    <row r="55" spans="1:5" x14ac:dyDescent="0.35">
      <c r="A55" s="41" t="str">
        <f t="shared" si="1"/>
        <v>Other</v>
      </c>
      <c r="B55" s="41">
        <f ca="1">B56-SUM(B50:B54)</f>
        <v>0</v>
      </c>
      <c r="C55" s="41">
        <f ca="1">C56-SUM(C50:C54)</f>
        <v>0</v>
      </c>
      <c r="D55" s="41">
        <f t="shared" ca="1" si="2"/>
        <v>0</v>
      </c>
      <c r="E55" s="42" t="str">
        <f t="shared" ca="1" si="3"/>
        <v/>
      </c>
    </row>
    <row r="56" spans="1:5" x14ac:dyDescent="0.35">
      <c r="A56" s="43" t="s">
        <v>14</v>
      </c>
      <c r="B56" s="43">
        <f ca="1">SUMPRODUCT(('Master-Input'!$A$2:$A$500&lt;&gt;"")*((('Master-Input'!$F$2:$F$500&lt;&gt;"")+('Master-Input'!$F$2:$F$500="")*('Master-Input'!$D$2:$D$500&lt;=Calc!$H$3)*('Master-Input'!$C$2:$C$500&lt;&gt;"Trainee"))&gt;0))</f>
        <v>12</v>
      </c>
      <c r="C56" s="43">
        <f ca="1">D56-B56</f>
        <v>26</v>
      </c>
      <c r="D56" s="43">
        <f>COUNTA('Master-Input'!$A$2:$A$500)</f>
        <v>38</v>
      </c>
    </row>
    <row r="57" spans="1:5" x14ac:dyDescent="0.35">
      <c r="A57" s="7" t="s">
        <v>265</v>
      </c>
    </row>
    <row r="59" spans="1:5" x14ac:dyDescent="0.35">
      <c r="A59" s="16" t="s">
        <v>266</v>
      </c>
      <c r="B59" s="16" t="s">
        <v>267</v>
      </c>
      <c r="C59" s="16" t="s">
        <v>255</v>
      </c>
      <c r="D59" s="16"/>
      <c r="E59" s="16" t="s">
        <v>264</v>
      </c>
    </row>
    <row r="60" spans="1:5" x14ac:dyDescent="0.35">
      <c r="A60" s="41" t="str">
        <f t="shared" ref="A60:A65" si="4">A29</f>
        <v>TriNet</v>
      </c>
      <c r="B60" s="41">
        <f>COUNTIF('Master-Input'!$F$2:$F$500,$A60)</f>
        <v>4</v>
      </c>
      <c r="C60" s="44">
        <f>SUMPRODUCT(('Master-Input'!$F$2:$F$500=$A60)*'Master-Input'!$I$2:$I$500*'Master-Input'!$J$2:$J$500*Calc!$H$4)</f>
        <v>48000</v>
      </c>
      <c r="E60" s="42" t="str">
        <f t="shared" ref="E60:E67" si="5">A60&amp;IF(C60&gt;0,"  ($"&amp;TEXT(C60/1000,"0.0")&amp;"K/mo)","")</f>
        <v>TriNet  ($48.0K/mo)</v>
      </c>
    </row>
    <row r="61" spans="1:5" x14ac:dyDescent="0.35">
      <c r="A61" s="41" t="str">
        <f t="shared" si="4"/>
        <v>PMI</v>
      </c>
      <c r="B61" s="41">
        <f>COUNTIF('Master-Input'!$F$2:$F$500,$A61)</f>
        <v>1</v>
      </c>
      <c r="C61" s="44">
        <f>SUMPRODUCT(('Master-Input'!$F$2:$F$500=$A61)*'Master-Input'!$I$2:$I$500*'Master-Input'!$J$2:$J$500*Calc!$H$4)</f>
        <v>16000</v>
      </c>
      <c r="E61" s="42" t="str">
        <f t="shared" si="5"/>
        <v>PMI  ($16.0K/mo)</v>
      </c>
    </row>
    <row r="62" spans="1:5" x14ac:dyDescent="0.35">
      <c r="A62" s="41" t="str">
        <f t="shared" si="4"/>
        <v>Hiscox</v>
      </c>
      <c r="B62" s="41">
        <f>COUNTIF('Master-Input'!$F$2:$F$500,$A62)</f>
        <v>1</v>
      </c>
      <c r="C62" s="44">
        <f>SUMPRODUCT(('Master-Input'!$F$2:$F$500=$A62)*'Master-Input'!$I$2:$I$500*'Master-Input'!$J$2:$J$500*Calc!$H$4)</f>
        <v>16000</v>
      </c>
      <c r="E62" s="42" t="str">
        <f t="shared" si="5"/>
        <v>Hiscox  ($16.0K/mo)</v>
      </c>
    </row>
    <row r="63" spans="1:5" x14ac:dyDescent="0.35">
      <c r="A63" s="41" t="str">
        <f t="shared" si="4"/>
        <v>SEI</v>
      </c>
      <c r="B63" s="41">
        <f>COUNTIF('Master-Input'!$F$2:$F$500,$A63)</f>
        <v>2</v>
      </c>
      <c r="C63" s="44">
        <f>SUMPRODUCT(('Master-Input'!$F$2:$F$500=$A63)*'Master-Input'!$I$2:$I$500*'Master-Input'!$J$2:$J$500*Calc!$H$4)</f>
        <v>32000</v>
      </c>
      <c r="E63" s="42" t="str">
        <f t="shared" si="5"/>
        <v>SEI  ($32.0K/mo)</v>
      </c>
    </row>
    <row r="64" spans="1:5" x14ac:dyDescent="0.35">
      <c r="A64" s="41" t="str">
        <f t="shared" si="4"/>
        <v>M&amp;T Bank</v>
      </c>
      <c r="B64" s="41">
        <f>COUNTIF('Master-Input'!$F$2:$F$500,$A64)</f>
        <v>1</v>
      </c>
      <c r="C64" s="44">
        <f>SUMPRODUCT(('Master-Input'!$F$2:$F$500=$A64)*'Master-Input'!$I$2:$I$500*'Master-Input'!$J$2:$J$500*Calc!$H$4)</f>
        <v>16000</v>
      </c>
      <c r="E64" s="42" t="str">
        <f t="shared" si="5"/>
        <v>M&amp;T Bank  ($16.0K/mo)</v>
      </c>
    </row>
    <row r="65" spans="1:9" x14ac:dyDescent="0.35">
      <c r="A65" s="41" t="str">
        <f t="shared" si="4"/>
        <v>Peabody</v>
      </c>
      <c r="B65" s="41">
        <f>COUNTIF('Master-Input'!$F$2:$F$500,$A65)</f>
        <v>1</v>
      </c>
      <c r="C65" s="44">
        <f>SUMPRODUCT(('Master-Input'!$F$2:$F$500=$A65)*'Master-Input'!$I$2:$I$500*'Master-Input'!$J$2:$J$500*Calc!$H$4)</f>
        <v>16000</v>
      </c>
      <c r="E65" s="42" t="str">
        <f t="shared" si="5"/>
        <v>Peabody  ($16.0K/mo)</v>
      </c>
    </row>
    <row r="66" spans="1:9" x14ac:dyDescent="0.35">
      <c r="A66" s="41" t="s">
        <v>268</v>
      </c>
      <c r="B66" s="41">
        <f ca="1">B56-COUNTIFS('Master-Input'!$F$2:$F$500,"&lt;&gt;")</f>
        <v>2</v>
      </c>
      <c r="C66" s="44">
        <v>0</v>
      </c>
      <c r="E66" s="42" t="str">
        <f t="shared" si="5"/>
        <v>Current bench</v>
      </c>
    </row>
    <row r="67" spans="1:9" x14ac:dyDescent="0.35">
      <c r="A67" s="41" t="s">
        <v>269</v>
      </c>
      <c r="B67" s="41">
        <f ca="1">C56</f>
        <v>26</v>
      </c>
      <c r="C67" s="44">
        <v>0</v>
      </c>
      <c r="E67" s="42" t="str">
        <f t="shared" si="5"/>
        <v>Future deployments</v>
      </c>
    </row>
    <row r="68" spans="1:9" x14ac:dyDescent="0.35">
      <c r="A68" s="41" t="s">
        <v>270</v>
      </c>
      <c r="B68" s="41">
        <f>COUNTIFS('Master-Input'!$F$2:$F$500,"&lt;&gt;")-SUM(B60:B65)</f>
        <v>0</v>
      </c>
      <c r="C68" s="44">
        <f>SUMPRODUCT(('Master-Input'!$F$2:$F$500&lt;&gt;"")*'Master-Input'!$I$2:$I$500*'Master-Input'!$J$2:$J$500*Calc!$H$4)-SUM(C60:C65)</f>
        <v>0</v>
      </c>
    </row>
    <row r="69" spans="1:9" x14ac:dyDescent="0.35">
      <c r="A69" s="43" t="s">
        <v>14</v>
      </c>
      <c r="B69" s="43">
        <f ca="1">SUM(B60:B68)</f>
        <v>38</v>
      </c>
      <c r="C69" s="45">
        <f>SUM(C60:C68)</f>
        <v>144000</v>
      </c>
    </row>
    <row r="70" spans="1:9" x14ac:dyDescent="0.35">
      <c r="A70" s="7" t="s">
        <v>271</v>
      </c>
    </row>
    <row r="74" spans="1:9" x14ac:dyDescent="0.35">
      <c r="A74" s="16" t="s">
        <v>272</v>
      </c>
      <c r="B74" s="33"/>
      <c r="C74" s="33"/>
      <c r="D74" s="33"/>
      <c r="E74" s="33"/>
      <c r="F74" s="33"/>
      <c r="G74" s="33"/>
      <c r="H74" s="33"/>
      <c r="I74" s="33"/>
    </row>
    <row r="75" spans="1:9" x14ac:dyDescent="0.35">
      <c r="A75" s="7" t="s">
        <v>273</v>
      </c>
    </row>
    <row r="77" spans="1:9" x14ac:dyDescent="0.35">
      <c r="A77" s="46" t="s">
        <v>274</v>
      </c>
      <c r="B77" s="47">
        <v>34</v>
      </c>
    </row>
    <row r="78" spans="1:9" x14ac:dyDescent="0.35">
      <c r="A78" s="46" t="s">
        <v>275</v>
      </c>
      <c r="B78" s="47">
        <v>0.4</v>
      </c>
    </row>
    <row r="79" spans="1:9" x14ac:dyDescent="0.35">
      <c r="A79" s="46" t="s">
        <v>157</v>
      </c>
      <c r="B79" s="46">
        <f ca="1">B56+C56</f>
        <v>38</v>
      </c>
    </row>
    <row r="80" spans="1:9" x14ac:dyDescent="0.35">
      <c r="A80" s="46" t="s">
        <v>276</v>
      </c>
      <c r="B80" s="47">
        <v>8</v>
      </c>
    </row>
    <row r="81" spans="1:15" x14ac:dyDescent="0.35">
      <c r="A81" s="46" t="s">
        <v>277</v>
      </c>
      <c r="B81" s="46">
        <f ca="1">IFERROR((B77-B80*B78)/B79,0)</f>
        <v>0.81052631578947365</v>
      </c>
    </row>
    <row r="82" spans="1:15" x14ac:dyDescent="0.35">
      <c r="A82" s="46" t="s">
        <v>278</v>
      </c>
      <c r="B82" s="47">
        <v>10</v>
      </c>
    </row>
    <row r="83" spans="1:15" x14ac:dyDescent="0.35">
      <c r="A83" s="46" t="s">
        <v>279</v>
      </c>
      <c r="B83" s="47">
        <v>68</v>
      </c>
    </row>
    <row r="84" spans="1:15" x14ac:dyDescent="0.35">
      <c r="A84" s="46" t="s">
        <v>280</v>
      </c>
      <c r="B84" s="47">
        <v>32</v>
      </c>
    </row>
    <row r="85" spans="1:15" x14ac:dyDescent="0.35">
      <c r="A85" s="46" t="s">
        <v>281</v>
      </c>
      <c r="B85" s="47">
        <v>68</v>
      </c>
    </row>
    <row r="86" spans="1:15" x14ac:dyDescent="0.35">
      <c r="A86" s="46" t="s">
        <v>282</v>
      </c>
      <c r="B86" s="47">
        <v>10</v>
      </c>
    </row>
    <row r="87" spans="1:15" x14ac:dyDescent="0.35">
      <c r="A87" s="46" t="s">
        <v>283</v>
      </c>
      <c r="B87" s="46">
        <f>SUM(B82:B86)</f>
        <v>188</v>
      </c>
    </row>
    <row r="88" spans="1:15" x14ac:dyDescent="0.35">
      <c r="A88" s="46" t="s">
        <v>284</v>
      </c>
      <c r="B88" s="46">
        <f>B82+B83+B84</f>
        <v>110</v>
      </c>
    </row>
    <row r="90" spans="1:15" ht="35.5" x14ac:dyDescent="0.35">
      <c r="A90" s="48" t="s">
        <v>170</v>
      </c>
      <c r="B90" s="48" t="s">
        <v>158</v>
      </c>
      <c r="C90" s="48" t="s">
        <v>159</v>
      </c>
      <c r="D90" s="48" t="s">
        <v>285</v>
      </c>
      <c r="K90" s="48" t="s">
        <v>286</v>
      </c>
      <c r="L90" s="48" t="s">
        <v>287</v>
      </c>
      <c r="N90" s="48" t="s">
        <v>288</v>
      </c>
      <c r="O90" s="48" t="s">
        <v>289</v>
      </c>
    </row>
    <row r="91" spans="1:15" x14ac:dyDescent="0.35">
      <c r="A91" s="46" t="str">
        <f t="shared" ref="A91:C96" si="6">A50</f>
        <v>USA</v>
      </c>
      <c r="B91" s="46">
        <f t="shared" ca="1" si="6"/>
        <v>7</v>
      </c>
      <c r="C91" s="46">
        <f t="shared" ca="1" si="6"/>
        <v>21</v>
      </c>
      <c r="D91" s="46">
        <f t="shared" ref="D91:D96" ca="1" si="7">B91+C91</f>
        <v>28</v>
      </c>
      <c r="K91" s="46">
        <f t="shared" ref="K91:K96" ca="1" si="8">D91*$B$81</f>
        <v>22.694736842105261</v>
      </c>
      <c r="L91" s="46">
        <v>0</v>
      </c>
      <c r="N91" s="46">
        <f t="shared" ref="N91:N96" ca="1" si="9">IF(K91&gt;0,INT(L91+K91/2),-1)</f>
        <v>11</v>
      </c>
      <c r="O91" s="46" t="str">
        <f t="shared" ref="O91:O96" ca="1" si="10">IF(K91&gt;0,A91&amp;"  ·  "&amp;D91,"")</f>
        <v>USA  ·  28</v>
      </c>
    </row>
    <row r="92" spans="1:15" x14ac:dyDescent="0.35">
      <c r="A92" s="46" t="str">
        <f t="shared" si="6"/>
        <v>India</v>
      </c>
      <c r="B92" s="46">
        <f t="shared" ca="1" si="6"/>
        <v>2</v>
      </c>
      <c r="C92" s="46">
        <f t="shared" ca="1" si="6"/>
        <v>0</v>
      </c>
      <c r="D92" s="46">
        <f t="shared" ca="1" si="7"/>
        <v>2</v>
      </c>
      <c r="K92" s="46">
        <f t="shared" ca="1" si="8"/>
        <v>1.6210526315789473</v>
      </c>
      <c r="L92" s="46">
        <f ca="1">L91+K91+IF(K91&gt;0,$B$78,0)</f>
        <v>23.094736842105259</v>
      </c>
      <c r="N92" s="46">
        <f t="shared" ca="1" si="9"/>
        <v>23</v>
      </c>
      <c r="O92" s="46" t="str">
        <f t="shared" ca="1" si="10"/>
        <v>India  ·  2</v>
      </c>
    </row>
    <row r="93" spans="1:15" x14ac:dyDescent="0.35">
      <c r="A93" s="46" t="str">
        <f t="shared" si="6"/>
        <v>UK</v>
      </c>
      <c r="B93" s="46">
        <f t="shared" ca="1" si="6"/>
        <v>1</v>
      </c>
      <c r="C93" s="46">
        <f t="shared" ca="1" si="6"/>
        <v>2</v>
      </c>
      <c r="D93" s="46">
        <f t="shared" ca="1" si="7"/>
        <v>3</v>
      </c>
      <c r="K93" s="46">
        <f t="shared" ca="1" si="8"/>
        <v>2.4315789473684211</v>
      </c>
      <c r="L93" s="46">
        <f ca="1">L92+K92+IF(K92&gt;0,$B$78,0)</f>
        <v>25.115789473684206</v>
      </c>
      <c r="N93" s="46">
        <f t="shared" ca="1" si="9"/>
        <v>26</v>
      </c>
      <c r="O93" s="46" t="str">
        <f t="shared" ca="1" si="10"/>
        <v>UK  ·  3</v>
      </c>
    </row>
    <row r="94" spans="1:15" x14ac:dyDescent="0.35">
      <c r="A94" s="46" t="str">
        <f t="shared" si="6"/>
        <v>LATAM</v>
      </c>
      <c r="B94" s="46">
        <f t="shared" ca="1" si="6"/>
        <v>2</v>
      </c>
      <c r="C94" s="46">
        <f t="shared" ca="1" si="6"/>
        <v>1</v>
      </c>
      <c r="D94" s="46">
        <f t="shared" ca="1" si="7"/>
        <v>3</v>
      </c>
      <c r="K94" s="46">
        <f t="shared" ca="1" si="8"/>
        <v>2.4315789473684211</v>
      </c>
      <c r="L94" s="46">
        <f ca="1">L93+K93+IF(K93&gt;0,$B$78,0)</f>
        <v>27.947368421052627</v>
      </c>
      <c r="N94" s="46">
        <f t="shared" ca="1" si="9"/>
        <v>29</v>
      </c>
      <c r="O94" s="46" t="str">
        <f t="shared" ca="1" si="10"/>
        <v>LATAM  ·  3</v>
      </c>
    </row>
    <row r="95" spans="1:15" x14ac:dyDescent="0.35">
      <c r="A95" s="46" t="str">
        <f t="shared" si="6"/>
        <v>Canada</v>
      </c>
      <c r="B95" s="46">
        <f t="shared" ca="1" si="6"/>
        <v>0</v>
      </c>
      <c r="C95" s="46">
        <f t="shared" ca="1" si="6"/>
        <v>2</v>
      </c>
      <c r="D95" s="46">
        <f t="shared" ca="1" si="7"/>
        <v>2</v>
      </c>
      <c r="K95" s="46">
        <f t="shared" ca="1" si="8"/>
        <v>1.6210526315789473</v>
      </c>
      <c r="L95" s="46">
        <f ca="1">L94+K94+IF(K94&gt;0,$B$78,0)</f>
        <v>30.778947368421047</v>
      </c>
      <c r="N95" s="46">
        <f t="shared" ca="1" si="9"/>
        <v>31</v>
      </c>
      <c r="O95" s="46" t="str">
        <f t="shared" ca="1" si="10"/>
        <v>Canada  ·  2</v>
      </c>
    </row>
    <row r="96" spans="1:15" x14ac:dyDescent="0.35">
      <c r="A96" s="46" t="str">
        <f t="shared" si="6"/>
        <v>Other</v>
      </c>
      <c r="B96" s="46">
        <f t="shared" ca="1" si="6"/>
        <v>0</v>
      </c>
      <c r="C96" s="46">
        <f t="shared" ca="1" si="6"/>
        <v>0</v>
      </c>
      <c r="D96" s="46">
        <f t="shared" ca="1" si="7"/>
        <v>0</v>
      </c>
      <c r="K96" s="46">
        <f t="shared" ca="1" si="8"/>
        <v>0</v>
      </c>
      <c r="L96" s="46">
        <f ca="1">L95+K95+IF(K95&gt;0,$B$78,0)</f>
        <v>32.79999999999999</v>
      </c>
      <c r="N96" s="46">
        <f t="shared" ca="1" si="9"/>
        <v>-1</v>
      </c>
      <c r="O96" s="46" t="str">
        <f t="shared" ca="1" si="10"/>
        <v/>
      </c>
    </row>
    <row r="98" spans="1:15" ht="35.5" x14ac:dyDescent="0.35">
      <c r="A98" s="48" t="s">
        <v>290</v>
      </c>
      <c r="B98" s="48" t="s">
        <v>267</v>
      </c>
      <c r="K98" s="48" t="s">
        <v>286</v>
      </c>
      <c r="L98" s="48" t="s">
        <v>287</v>
      </c>
      <c r="O98" s="48" t="s">
        <v>289</v>
      </c>
    </row>
    <row r="99" spans="1:15" ht="38.5" x14ac:dyDescent="0.35">
      <c r="A99" s="46" t="s">
        <v>158</v>
      </c>
      <c r="B99" s="46">
        <f ca="1">B56</f>
        <v>12</v>
      </c>
      <c r="K99" s="46">
        <f ca="1">B99*$B$81</f>
        <v>9.7263157894736842</v>
      </c>
      <c r="L99" s="46">
        <v>0</v>
      </c>
      <c r="O99" s="49" t="str">
        <f ca="1">B99&amp;CHAR(10)&amp;"Available now"</f>
        <v>12
Available now</v>
      </c>
    </row>
    <row r="100" spans="1:15" ht="51" x14ac:dyDescent="0.35">
      <c r="A100" s="46" t="s">
        <v>159</v>
      </c>
      <c r="B100" s="46">
        <f ca="1">C56</f>
        <v>26</v>
      </c>
      <c r="K100" s="46">
        <f ca="1">B100*$B$81</f>
        <v>21.073684210526316</v>
      </c>
      <c r="L100" s="46">
        <f ca="1">K99+IF(K99&gt;0,$B$78,0)</f>
        <v>10.126315789473685</v>
      </c>
      <c r="O100" s="49" t="str">
        <f ca="1">B100&amp;CHAR(10)&amp;"Available in future"</f>
        <v>26
Available in future</v>
      </c>
    </row>
    <row r="102" spans="1:15" ht="35.5" x14ac:dyDescent="0.35">
      <c r="A102" s="48" t="s">
        <v>291</v>
      </c>
      <c r="B102" s="48" t="s">
        <v>267</v>
      </c>
      <c r="C102" s="48" t="s">
        <v>255</v>
      </c>
      <c r="K102" s="48" t="s">
        <v>286</v>
      </c>
      <c r="L102" s="48" t="s">
        <v>287</v>
      </c>
      <c r="N102" s="48" t="s">
        <v>288</v>
      </c>
      <c r="O102" s="48" t="s">
        <v>289</v>
      </c>
    </row>
    <row r="103" spans="1:15" x14ac:dyDescent="0.35">
      <c r="A103" s="46" t="str">
        <f t="shared" ref="A103:C108" si="11">A60</f>
        <v>TriNet</v>
      </c>
      <c r="B103" s="46">
        <f t="shared" si="11"/>
        <v>4</v>
      </c>
      <c r="C103" s="50">
        <f t="shared" si="11"/>
        <v>48000</v>
      </c>
      <c r="K103" s="46">
        <f t="shared" ref="K103:K111" ca="1" si="12">B103*$B$81</f>
        <v>3.2421052631578946</v>
      </c>
      <c r="L103" s="46">
        <v>0</v>
      </c>
      <c r="N103" s="46">
        <f t="shared" ref="N103:N111" ca="1" si="13">IF(K103&gt;0,INT(L103+K103/2),-1)</f>
        <v>1</v>
      </c>
      <c r="O103" s="46" t="str">
        <f t="shared" ref="O103:O111" ca="1" si="14">IF(K103&gt;0,A103&amp;"  ·  "&amp;B103&amp;IF(C103&gt;0,"  ·  "&amp;TEXT(C103/1000,"$0.0")&amp;"K/mo",""),"")</f>
        <v>TriNet  ·  4  ·  $48.0K/mo</v>
      </c>
    </row>
    <row r="104" spans="1:15" x14ac:dyDescent="0.35">
      <c r="A104" s="46" t="str">
        <f t="shared" si="11"/>
        <v>PMI</v>
      </c>
      <c r="B104" s="46">
        <f t="shared" si="11"/>
        <v>1</v>
      </c>
      <c r="C104" s="50">
        <f t="shared" si="11"/>
        <v>16000</v>
      </c>
      <c r="K104" s="46">
        <f t="shared" ca="1" si="12"/>
        <v>0.81052631578947365</v>
      </c>
      <c r="L104" s="46">
        <f t="shared" ref="L104:L111" ca="1" si="15">L103+K103+IF(K103&gt;0,$B$78,0)</f>
        <v>3.6421052631578945</v>
      </c>
      <c r="N104" s="46">
        <f t="shared" ca="1" si="13"/>
        <v>4</v>
      </c>
      <c r="O104" s="46" t="str">
        <f t="shared" ca="1" si="14"/>
        <v>PMI  ·  1  ·  $16.0K/mo</v>
      </c>
    </row>
    <row r="105" spans="1:15" x14ac:dyDescent="0.35">
      <c r="A105" s="46" t="str">
        <f t="shared" si="11"/>
        <v>Hiscox</v>
      </c>
      <c r="B105" s="46">
        <f t="shared" si="11"/>
        <v>1</v>
      </c>
      <c r="C105" s="50">
        <f t="shared" si="11"/>
        <v>16000</v>
      </c>
      <c r="K105" s="46">
        <f t="shared" ca="1" si="12"/>
        <v>0.81052631578947365</v>
      </c>
      <c r="L105" s="46">
        <f t="shared" ca="1" si="15"/>
        <v>4.8526315789473689</v>
      </c>
      <c r="N105" s="46">
        <f t="shared" ca="1" si="13"/>
        <v>5</v>
      </c>
      <c r="O105" s="46" t="str">
        <f t="shared" ca="1" si="14"/>
        <v>Hiscox  ·  1  ·  $16.0K/mo</v>
      </c>
    </row>
    <row r="106" spans="1:15" x14ac:dyDescent="0.35">
      <c r="A106" s="46" t="str">
        <f t="shared" si="11"/>
        <v>SEI</v>
      </c>
      <c r="B106" s="46">
        <f t="shared" si="11"/>
        <v>2</v>
      </c>
      <c r="C106" s="50">
        <f t="shared" si="11"/>
        <v>32000</v>
      </c>
      <c r="K106" s="46">
        <f t="shared" ca="1" si="12"/>
        <v>1.6210526315789473</v>
      </c>
      <c r="L106" s="46">
        <f t="shared" ca="1" si="15"/>
        <v>6.0631578947368432</v>
      </c>
      <c r="N106" s="46">
        <f t="shared" ca="1" si="13"/>
        <v>6</v>
      </c>
      <c r="O106" s="46" t="str">
        <f t="shared" ca="1" si="14"/>
        <v>SEI  ·  2  ·  $32.0K/mo</v>
      </c>
    </row>
    <row r="107" spans="1:15" x14ac:dyDescent="0.35">
      <c r="A107" s="46" t="str">
        <f t="shared" si="11"/>
        <v>M&amp;T Bank</v>
      </c>
      <c r="B107" s="46">
        <f t="shared" si="11"/>
        <v>1</v>
      </c>
      <c r="C107" s="50">
        <f t="shared" si="11"/>
        <v>16000</v>
      </c>
      <c r="K107" s="46">
        <f t="shared" ca="1" si="12"/>
        <v>0.81052631578947365</v>
      </c>
      <c r="L107" s="46">
        <f t="shared" ca="1" si="15"/>
        <v>8.0842105263157897</v>
      </c>
      <c r="N107" s="46">
        <f t="shared" ca="1" si="13"/>
        <v>8</v>
      </c>
      <c r="O107" s="46" t="str">
        <f t="shared" ca="1" si="14"/>
        <v>M&amp;T Bank  ·  1  ·  $16.0K/mo</v>
      </c>
    </row>
    <row r="108" spans="1:15" x14ac:dyDescent="0.35">
      <c r="A108" s="46" t="str">
        <f t="shared" si="11"/>
        <v>Peabody</v>
      </c>
      <c r="B108" s="46">
        <f t="shared" si="11"/>
        <v>1</v>
      </c>
      <c r="C108" s="50">
        <f t="shared" si="11"/>
        <v>16000</v>
      </c>
      <c r="K108" s="46">
        <f t="shared" ca="1" si="12"/>
        <v>0.81052631578947365</v>
      </c>
      <c r="L108" s="46">
        <f t="shared" ca="1" si="15"/>
        <v>9.2947368421052641</v>
      </c>
      <c r="N108" s="46">
        <f t="shared" ca="1" si="13"/>
        <v>9</v>
      </c>
      <c r="O108" s="46" t="str">
        <f t="shared" ca="1" si="14"/>
        <v>Peabody  ·  1  ·  $16.0K/mo</v>
      </c>
    </row>
    <row r="109" spans="1:15" x14ac:dyDescent="0.35">
      <c r="A109" s="46" t="s">
        <v>257</v>
      </c>
      <c r="B109" s="46">
        <f>B68</f>
        <v>0</v>
      </c>
      <c r="C109" s="50">
        <f>C68</f>
        <v>0</v>
      </c>
      <c r="K109" s="46">
        <f t="shared" ca="1" si="12"/>
        <v>0</v>
      </c>
      <c r="L109" s="46">
        <f t="shared" ca="1" si="15"/>
        <v>10.505263157894738</v>
      </c>
      <c r="N109" s="46">
        <f t="shared" ca="1" si="13"/>
        <v>-1</v>
      </c>
      <c r="O109" s="46" t="str">
        <f t="shared" ca="1" si="14"/>
        <v/>
      </c>
    </row>
    <row r="110" spans="1:15" x14ac:dyDescent="0.35">
      <c r="A110" s="46" t="str">
        <f t="shared" ref="A110:C111" si="16">A66</f>
        <v>Current bench</v>
      </c>
      <c r="B110" s="46">
        <f t="shared" ca="1" si="16"/>
        <v>2</v>
      </c>
      <c r="C110" s="50">
        <f t="shared" si="16"/>
        <v>0</v>
      </c>
      <c r="K110" s="46">
        <f t="shared" ca="1" si="12"/>
        <v>1.6210526315789473</v>
      </c>
      <c r="L110" s="46">
        <f t="shared" ca="1" si="15"/>
        <v>10.505263157894738</v>
      </c>
      <c r="N110" s="46">
        <f t="shared" ca="1" si="13"/>
        <v>11</v>
      </c>
      <c r="O110" s="46" t="str">
        <f t="shared" ca="1" si="14"/>
        <v>Current bench  ·  2</v>
      </c>
    </row>
    <row r="111" spans="1:15" x14ac:dyDescent="0.35">
      <c r="A111" s="46" t="str">
        <f t="shared" si="16"/>
        <v>Future deployments</v>
      </c>
      <c r="B111" s="46">
        <f t="shared" ca="1" si="16"/>
        <v>26</v>
      </c>
      <c r="C111" s="50">
        <f t="shared" si="16"/>
        <v>0</v>
      </c>
      <c r="K111" s="46">
        <f t="shared" ca="1" si="12"/>
        <v>21.073684210526316</v>
      </c>
      <c r="L111" s="46">
        <f t="shared" ca="1" si="15"/>
        <v>12.526315789473687</v>
      </c>
      <c r="N111" s="46">
        <f t="shared" ca="1" si="13"/>
        <v>23</v>
      </c>
      <c r="O111" s="46" t="str">
        <f t="shared" ca="1" si="14"/>
        <v>Future deployments  ·  26</v>
      </c>
    </row>
    <row r="113" spans="1:11" ht="35.5" x14ac:dyDescent="0.35">
      <c r="A113" s="48" t="s">
        <v>292</v>
      </c>
      <c r="B113" s="48" t="s">
        <v>293</v>
      </c>
      <c r="C113" s="48" t="s">
        <v>294</v>
      </c>
      <c r="D113" s="48" t="s">
        <v>295</v>
      </c>
      <c r="K113" s="48" t="s">
        <v>296</v>
      </c>
    </row>
    <row r="114" spans="1:11" x14ac:dyDescent="0.35">
      <c r="A114" s="46" t="str">
        <f t="shared" ref="A114:A119" si="17">A91&amp;" &gt; available now"</f>
        <v>USA &gt; available now</v>
      </c>
      <c r="B114" s="46" t="s">
        <v>297</v>
      </c>
      <c r="C114" s="46">
        <f t="shared" ref="C114:C119" ca="1" si="18">B91*$B$81</f>
        <v>5.6736842105263152</v>
      </c>
      <c r="D114" s="46">
        <f t="shared" ref="D114:D119" si="19">L91</f>
        <v>0</v>
      </c>
      <c r="K114" s="46">
        <f ca="1">(SUM($B$91:B91)-B91)*$B$81</f>
        <v>0</v>
      </c>
    </row>
    <row r="115" spans="1:11" x14ac:dyDescent="0.35">
      <c r="A115" s="46" t="str">
        <f t="shared" si="17"/>
        <v>India &gt; available now</v>
      </c>
      <c r="B115" s="46" t="s">
        <v>297</v>
      </c>
      <c r="C115" s="46">
        <f t="shared" ca="1" si="18"/>
        <v>1.6210526315789473</v>
      </c>
      <c r="D115" s="46">
        <f t="shared" ca="1" si="19"/>
        <v>23.094736842105259</v>
      </c>
      <c r="K115" s="46">
        <f ca="1">(SUM($B$91:B92)-B92)*$B$81</f>
        <v>5.6736842105263152</v>
      </c>
    </row>
    <row r="116" spans="1:11" x14ac:dyDescent="0.35">
      <c r="A116" s="46" t="str">
        <f t="shared" si="17"/>
        <v>UK &gt; available now</v>
      </c>
      <c r="B116" s="46" t="s">
        <v>297</v>
      </c>
      <c r="C116" s="46">
        <f t="shared" ca="1" si="18"/>
        <v>0.81052631578947365</v>
      </c>
      <c r="D116" s="46">
        <f t="shared" ca="1" si="19"/>
        <v>25.115789473684206</v>
      </c>
      <c r="K116" s="46">
        <f ca="1">(SUM($B$91:B93)-B93)*$B$81</f>
        <v>7.2947368421052632</v>
      </c>
    </row>
    <row r="117" spans="1:11" x14ac:dyDescent="0.35">
      <c r="A117" s="46" t="str">
        <f t="shared" si="17"/>
        <v>LATAM &gt; available now</v>
      </c>
      <c r="B117" s="46" t="s">
        <v>297</v>
      </c>
      <c r="C117" s="46">
        <f t="shared" ca="1" si="18"/>
        <v>1.6210526315789473</v>
      </c>
      <c r="D117" s="46">
        <f t="shared" ca="1" si="19"/>
        <v>27.947368421052627</v>
      </c>
      <c r="K117" s="46">
        <f ca="1">(SUM($B$91:B94)-B94)*$B$81</f>
        <v>8.1052631578947363</v>
      </c>
    </row>
    <row r="118" spans="1:11" x14ac:dyDescent="0.35">
      <c r="A118" s="46" t="str">
        <f t="shared" si="17"/>
        <v>Canada &gt; available now</v>
      </c>
      <c r="B118" s="46" t="s">
        <v>297</v>
      </c>
      <c r="C118" s="46">
        <f t="shared" ca="1" si="18"/>
        <v>0</v>
      </c>
      <c r="D118" s="46">
        <f t="shared" ca="1" si="19"/>
        <v>30.778947368421047</v>
      </c>
      <c r="K118" s="46">
        <f ca="1">(SUM($B$91:B95)-B95)*$B$81</f>
        <v>9.7263157894736842</v>
      </c>
    </row>
    <row r="119" spans="1:11" x14ac:dyDescent="0.35">
      <c r="A119" s="46" t="str">
        <f t="shared" si="17"/>
        <v>Other &gt; available now</v>
      </c>
      <c r="B119" s="46" t="s">
        <v>297</v>
      </c>
      <c r="C119" s="46">
        <f t="shared" ca="1" si="18"/>
        <v>0</v>
      </c>
      <c r="D119" s="46">
        <f t="shared" ca="1" si="19"/>
        <v>32.79999999999999</v>
      </c>
      <c r="K119" s="46">
        <f ca="1">(SUM($B$91:B96)-B96)*$B$81</f>
        <v>9.7263157894736842</v>
      </c>
    </row>
    <row r="120" spans="1:11" ht="26" x14ac:dyDescent="0.35">
      <c r="A120" s="49" t="str">
        <f ca="1">O99</f>
        <v>12
Available now</v>
      </c>
      <c r="B120" s="46" t="s">
        <v>297</v>
      </c>
      <c r="C120" s="46">
        <f ca="1">K99</f>
        <v>9.7263157894736842</v>
      </c>
      <c r="D120" s="46">
        <f>L99</f>
        <v>0</v>
      </c>
      <c r="K120" s="46">
        <f>L99</f>
        <v>0</v>
      </c>
    </row>
    <row r="121" spans="1:11" x14ac:dyDescent="0.35">
      <c r="A121" s="46" t="str">
        <f t="shared" ref="A121:A128" si="20">"Available now &gt; "&amp;A103</f>
        <v>Available now &gt; TriNet</v>
      </c>
      <c r="B121" s="46" t="s">
        <v>297</v>
      </c>
      <c r="C121" s="46">
        <f t="shared" ref="C121:C128" ca="1" si="21">B103*$B$81</f>
        <v>3.2421052631578946</v>
      </c>
      <c r="D121" s="46">
        <f ca="1">(SUM($B$103:B103)-B103)*$B$81</f>
        <v>0</v>
      </c>
      <c r="K121" s="46">
        <f t="shared" ref="K121:K128" si="22">L103</f>
        <v>0</v>
      </c>
    </row>
    <row r="122" spans="1:11" x14ac:dyDescent="0.35">
      <c r="A122" s="46" t="str">
        <f t="shared" si="20"/>
        <v>Available now &gt; PMI</v>
      </c>
      <c r="B122" s="46" t="s">
        <v>297</v>
      </c>
      <c r="C122" s="46">
        <f t="shared" ca="1" si="21"/>
        <v>0.81052631578947365</v>
      </c>
      <c r="D122" s="46">
        <f ca="1">(SUM($B$103:B104)-B104)*$B$81</f>
        <v>3.2421052631578946</v>
      </c>
      <c r="K122" s="46">
        <f t="shared" ca="1" si="22"/>
        <v>3.6421052631578945</v>
      </c>
    </row>
    <row r="123" spans="1:11" x14ac:dyDescent="0.35">
      <c r="A123" s="46" t="str">
        <f t="shared" si="20"/>
        <v>Available now &gt; Hiscox</v>
      </c>
      <c r="B123" s="46" t="s">
        <v>297</v>
      </c>
      <c r="C123" s="46">
        <f t="shared" ca="1" si="21"/>
        <v>0.81052631578947365</v>
      </c>
      <c r="D123" s="46">
        <f ca="1">(SUM($B$103:B105)-B105)*$B$81</f>
        <v>4.0526315789473681</v>
      </c>
      <c r="K123" s="46">
        <f t="shared" ca="1" si="22"/>
        <v>4.8526315789473689</v>
      </c>
    </row>
    <row r="124" spans="1:11" x14ac:dyDescent="0.35">
      <c r="A124" s="46" t="str">
        <f t="shared" si="20"/>
        <v>Available now &gt; SEI</v>
      </c>
      <c r="B124" s="46" t="s">
        <v>297</v>
      </c>
      <c r="C124" s="46">
        <f t="shared" ca="1" si="21"/>
        <v>1.6210526315789473</v>
      </c>
      <c r="D124" s="46">
        <f ca="1">(SUM($B$103:B106)-B106)*$B$81</f>
        <v>4.8631578947368421</v>
      </c>
      <c r="K124" s="46">
        <f t="shared" ca="1" si="22"/>
        <v>6.0631578947368432</v>
      </c>
    </row>
    <row r="125" spans="1:11" x14ac:dyDescent="0.35">
      <c r="A125" s="46" t="str">
        <f t="shared" si="20"/>
        <v>Available now &gt; M&amp;T Bank</v>
      </c>
      <c r="B125" s="46" t="s">
        <v>297</v>
      </c>
      <c r="C125" s="46">
        <f t="shared" ca="1" si="21"/>
        <v>0.81052631578947365</v>
      </c>
      <c r="D125" s="46">
        <f ca="1">(SUM($B$103:B107)-B107)*$B$81</f>
        <v>6.4842105263157892</v>
      </c>
      <c r="K125" s="46">
        <f t="shared" ca="1" si="22"/>
        <v>8.0842105263157897</v>
      </c>
    </row>
    <row r="126" spans="1:11" x14ac:dyDescent="0.35">
      <c r="A126" s="46" t="str">
        <f t="shared" si="20"/>
        <v>Available now &gt; Peabody</v>
      </c>
      <c r="B126" s="46" t="s">
        <v>297</v>
      </c>
      <c r="C126" s="46">
        <f t="shared" ca="1" si="21"/>
        <v>0.81052631578947365</v>
      </c>
      <c r="D126" s="46">
        <f ca="1">(SUM($B$103:B108)-B108)*$B$81</f>
        <v>7.2947368421052632</v>
      </c>
      <c r="K126" s="46">
        <f t="shared" ca="1" si="22"/>
        <v>9.2947368421052641</v>
      </c>
    </row>
    <row r="127" spans="1:11" x14ac:dyDescent="0.35">
      <c r="A127" s="46" t="str">
        <f t="shared" si="20"/>
        <v>Available now &gt; Other clients</v>
      </c>
      <c r="B127" s="46" t="s">
        <v>297</v>
      </c>
      <c r="C127" s="46">
        <f t="shared" ca="1" si="21"/>
        <v>0</v>
      </c>
      <c r="D127" s="46">
        <f ca="1">(SUM($B$103:B109)-B109)*$B$81</f>
        <v>8.1052631578947363</v>
      </c>
      <c r="K127" s="46">
        <f t="shared" ca="1" si="22"/>
        <v>10.505263157894738</v>
      </c>
    </row>
    <row r="128" spans="1:11" x14ac:dyDescent="0.35">
      <c r="A128" s="46" t="str">
        <f t="shared" si="20"/>
        <v>Available now &gt; Current bench</v>
      </c>
      <c r="B128" s="46" t="s">
        <v>297</v>
      </c>
      <c r="C128" s="46">
        <f t="shared" ca="1" si="21"/>
        <v>1.6210526315789473</v>
      </c>
      <c r="D128" s="46">
        <f ca="1">(SUM($B$103:B110)-B110)*$B$81</f>
        <v>8.1052631578947363</v>
      </c>
      <c r="K128" s="46">
        <f t="shared" ca="1" si="22"/>
        <v>10.505263157894738</v>
      </c>
    </row>
    <row r="129" spans="1:198" x14ac:dyDescent="0.35">
      <c r="A129" s="46" t="str">
        <f t="shared" ref="A129:A134" si="23">A91&amp;" &gt; available in future"</f>
        <v>USA &gt; available in future</v>
      </c>
      <c r="B129" s="46" t="s">
        <v>298</v>
      </c>
      <c r="C129" s="46">
        <f t="shared" ref="C129:C134" ca="1" si="24">C91*$B$81</f>
        <v>17.021052631578947</v>
      </c>
      <c r="D129" s="46">
        <f t="shared" ref="D129:D134" ca="1" si="25">L91+B91*$B$81</f>
        <v>5.6736842105263152</v>
      </c>
      <c r="K129" s="46">
        <f ca="1">L100+(SUM($C$91:C91)-C91)*$B$81</f>
        <v>10.126315789473685</v>
      </c>
    </row>
    <row r="130" spans="1:198" x14ac:dyDescent="0.35">
      <c r="A130" s="46" t="str">
        <f t="shared" si="23"/>
        <v>India &gt; available in future</v>
      </c>
      <c r="B130" s="46" t="s">
        <v>298</v>
      </c>
      <c r="C130" s="46">
        <f t="shared" ca="1" si="24"/>
        <v>0</v>
      </c>
      <c r="D130" s="46">
        <f t="shared" ca="1" si="25"/>
        <v>24.715789473684207</v>
      </c>
      <c r="K130" s="46">
        <f ca="1">L100+(SUM($C$91:C92)-C92)*$B$81</f>
        <v>27.147368421052633</v>
      </c>
    </row>
    <row r="131" spans="1:198" x14ac:dyDescent="0.35">
      <c r="A131" s="46" t="str">
        <f t="shared" si="23"/>
        <v>UK &gt; available in future</v>
      </c>
      <c r="B131" s="46" t="s">
        <v>298</v>
      </c>
      <c r="C131" s="46">
        <f t="shared" ca="1" si="24"/>
        <v>1.6210526315789473</v>
      </c>
      <c r="D131" s="46">
        <f t="shared" ca="1" si="25"/>
        <v>25.92631578947368</v>
      </c>
      <c r="K131" s="46">
        <f ca="1">L100+(SUM($C$91:C93)-C93)*$B$81</f>
        <v>27.147368421052633</v>
      </c>
    </row>
    <row r="132" spans="1:198" x14ac:dyDescent="0.35">
      <c r="A132" s="46" t="str">
        <f t="shared" si="23"/>
        <v>LATAM &gt; available in future</v>
      </c>
      <c r="B132" s="46" t="s">
        <v>298</v>
      </c>
      <c r="C132" s="46">
        <f t="shared" ca="1" si="24"/>
        <v>0.81052631578947365</v>
      </c>
      <c r="D132" s="46">
        <f t="shared" ca="1" si="25"/>
        <v>29.568421052631574</v>
      </c>
      <c r="K132" s="46">
        <f ca="1">L100+(SUM($C$91:C94)-C94)*$B$81</f>
        <v>28.768421052631581</v>
      </c>
    </row>
    <row r="133" spans="1:198" x14ac:dyDescent="0.35">
      <c r="A133" s="46" t="str">
        <f t="shared" si="23"/>
        <v>Canada &gt; available in future</v>
      </c>
      <c r="B133" s="46" t="s">
        <v>298</v>
      </c>
      <c r="C133" s="46">
        <f t="shared" ca="1" si="24"/>
        <v>1.6210526315789473</v>
      </c>
      <c r="D133" s="46">
        <f t="shared" ca="1" si="25"/>
        <v>30.778947368421047</v>
      </c>
      <c r="K133" s="46">
        <f ca="1">L100+(SUM($C$91:C95)-C95)*$B$81</f>
        <v>29.578947368421055</v>
      </c>
    </row>
    <row r="134" spans="1:198" x14ac:dyDescent="0.35">
      <c r="A134" s="46" t="str">
        <f t="shared" si="23"/>
        <v>Other &gt; available in future</v>
      </c>
      <c r="B134" s="46" t="s">
        <v>298</v>
      </c>
      <c r="C134" s="46">
        <f t="shared" ca="1" si="24"/>
        <v>0</v>
      </c>
      <c r="D134" s="46">
        <f t="shared" ca="1" si="25"/>
        <v>32.79999999999999</v>
      </c>
      <c r="K134" s="46">
        <f ca="1">L100+(SUM($C$91:C96)-C96)*$B$81</f>
        <v>31.200000000000003</v>
      </c>
    </row>
    <row r="135" spans="1:198" ht="26" x14ac:dyDescent="0.35">
      <c r="A135" s="49" t="str">
        <f ca="1">O100</f>
        <v>26
Available in future</v>
      </c>
      <c r="B135" s="46" t="s">
        <v>298</v>
      </c>
      <c r="C135" s="46">
        <f ca="1">K100</f>
        <v>21.073684210526316</v>
      </c>
      <c r="D135" s="46">
        <f ca="1">L100</f>
        <v>10.126315789473685</v>
      </c>
      <c r="K135" s="46">
        <f ca="1">L100</f>
        <v>10.126315789473685</v>
      </c>
    </row>
    <row r="136" spans="1:198" x14ac:dyDescent="0.35">
      <c r="A136" s="46" t="str">
        <f>"Available in future &gt; "&amp;A111</f>
        <v>Available in future &gt; Future deployments</v>
      </c>
      <c r="B136" s="46" t="s">
        <v>298</v>
      </c>
      <c r="C136" s="46">
        <f ca="1">B111*$B$81</f>
        <v>21.073684210526316</v>
      </c>
      <c r="D136" s="46">
        <f ca="1">L100</f>
        <v>10.126315789473685</v>
      </c>
      <c r="K136" s="46">
        <f ca="1">L111</f>
        <v>12.526315789473687</v>
      </c>
    </row>
    <row r="139" spans="1:198" x14ac:dyDescent="0.35">
      <c r="A139" s="51" t="s">
        <v>299</v>
      </c>
      <c r="K139" s="52">
        <v>0</v>
      </c>
      <c r="L139" s="52">
        <v>1</v>
      </c>
      <c r="M139" s="52">
        <v>2</v>
      </c>
      <c r="N139" s="52">
        <v>3</v>
      </c>
      <c r="O139" s="52">
        <v>4</v>
      </c>
      <c r="P139" s="52">
        <v>5</v>
      </c>
      <c r="Q139" s="52">
        <v>6</v>
      </c>
      <c r="R139" s="52">
        <v>7</v>
      </c>
      <c r="S139" s="52">
        <v>8</v>
      </c>
      <c r="T139" s="52">
        <v>9</v>
      </c>
      <c r="U139" s="52">
        <v>10</v>
      </c>
      <c r="V139" s="52">
        <v>11</v>
      </c>
      <c r="W139" s="52">
        <v>12</v>
      </c>
      <c r="X139" s="52">
        <v>13</v>
      </c>
      <c r="Y139" s="52">
        <v>14</v>
      </c>
      <c r="Z139" s="52">
        <v>15</v>
      </c>
      <c r="AA139" s="52">
        <v>16</v>
      </c>
      <c r="AB139" s="52">
        <v>17</v>
      </c>
      <c r="AC139" s="52">
        <v>18</v>
      </c>
      <c r="AD139" s="52">
        <v>19</v>
      </c>
      <c r="AE139" s="52">
        <v>20</v>
      </c>
      <c r="AF139" s="52">
        <v>21</v>
      </c>
      <c r="AG139" s="52">
        <v>22</v>
      </c>
      <c r="AH139" s="52">
        <v>23</v>
      </c>
      <c r="AI139" s="52">
        <v>24</v>
      </c>
      <c r="AJ139" s="52">
        <v>25</v>
      </c>
      <c r="AK139" s="52">
        <v>26</v>
      </c>
      <c r="AL139" s="52">
        <v>27</v>
      </c>
      <c r="AM139" s="52">
        <v>28</v>
      </c>
      <c r="AN139" s="52">
        <v>29</v>
      </c>
      <c r="AO139" s="52">
        <v>30</v>
      </c>
      <c r="AP139" s="52">
        <v>31</v>
      </c>
      <c r="AQ139" s="52">
        <v>32</v>
      </c>
      <c r="AR139" s="52">
        <v>33</v>
      </c>
      <c r="AS139" s="52">
        <v>34</v>
      </c>
      <c r="AT139" s="52">
        <v>35</v>
      </c>
      <c r="AU139" s="52">
        <v>36</v>
      </c>
      <c r="AV139" s="52">
        <v>37</v>
      </c>
      <c r="AW139" s="52">
        <v>38</v>
      </c>
      <c r="AX139" s="52">
        <v>39</v>
      </c>
      <c r="AY139" s="52">
        <v>40</v>
      </c>
      <c r="AZ139" s="52">
        <v>41</v>
      </c>
      <c r="BA139" s="52">
        <v>42</v>
      </c>
      <c r="BB139" s="52">
        <v>43</v>
      </c>
      <c r="BC139" s="52">
        <v>44</v>
      </c>
      <c r="BD139" s="52">
        <v>45</v>
      </c>
      <c r="BE139" s="52">
        <v>46</v>
      </c>
      <c r="BF139" s="52">
        <v>47</v>
      </c>
      <c r="BG139" s="52">
        <v>48</v>
      </c>
      <c r="BH139" s="52">
        <v>49</v>
      </c>
      <c r="BI139" s="52">
        <v>50</v>
      </c>
      <c r="BJ139" s="52">
        <v>51</v>
      </c>
      <c r="BK139" s="52">
        <v>52</v>
      </c>
      <c r="BL139" s="52">
        <v>53</v>
      </c>
      <c r="BM139" s="52">
        <v>54</v>
      </c>
      <c r="BN139" s="52">
        <v>55</v>
      </c>
      <c r="BO139" s="52">
        <v>56</v>
      </c>
      <c r="BP139" s="52">
        <v>57</v>
      </c>
      <c r="BQ139" s="52">
        <v>58</v>
      </c>
      <c r="BR139" s="52">
        <v>59</v>
      </c>
      <c r="BS139" s="52">
        <v>60</v>
      </c>
      <c r="BT139" s="52">
        <v>61</v>
      </c>
      <c r="BU139" s="52">
        <v>62</v>
      </c>
      <c r="BV139" s="52">
        <v>63</v>
      </c>
      <c r="BW139" s="52">
        <v>64</v>
      </c>
      <c r="BX139" s="52">
        <v>65</v>
      </c>
      <c r="BY139" s="52">
        <v>66</v>
      </c>
      <c r="BZ139" s="52">
        <v>67</v>
      </c>
      <c r="CA139" s="52">
        <v>68</v>
      </c>
      <c r="CB139" s="52">
        <v>69</v>
      </c>
      <c r="CC139" s="52">
        <v>70</v>
      </c>
      <c r="CD139" s="52">
        <v>71</v>
      </c>
      <c r="CE139" s="52">
        <v>72</v>
      </c>
      <c r="CF139" s="52">
        <v>73</v>
      </c>
      <c r="CG139" s="52">
        <v>74</v>
      </c>
      <c r="CH139" s="52">
        <v>75</v>
      </c>
      <c r="CI139" s="52">
        <v>76</v>
      </c>
      <c r="CJ139" s="52">
        <v>77</v>
      </c>
      <c r="CK139" s="52">
        <v>78</v>
      </c>
      <c r="CL139" s="52">
        <v>79</v>
      </c>
      <c r="CM139" s="52">
        <v>80</v>
      </c>
      <c r="CN139" s="52">
        <v>81</v>
      </c>
      <c r="CO139" s="52">
        <v>82</v>
      </c>
      <c r="CP139" s="52">
        <v>83</v>
      </c>
      <c r="CQ139" s="52">
        <v>84</v>
      </c>
      <c r="CR139" s="52">
        <v>85</v>
      </c>
      <c r="CS139" s="52">
        <v>86</v>
      </c>
      <c r="CT139" s="52">
        <v>87</v>
      </c>
      <c r="CU139" s="52">
        <v>88</v>
      </c>
      <c r="CV139" s="52">
        <v>89</v>
      </c>
      <c r="CW139" s="52">
        <v>90</v>
      </c>
      <c r="CX139" s="52">
        <v>91</v>
      </c>
      <c r="CY139" s="52">
        <v>92</v>
      </c>
      <c r="CZ139" s="52">
        <v>93</v>
      </c>
      <c r="DA139" s="52">
        <v>94</v>
      </c>
      <c r="DB139" s="52">
        <v>95</v>
      </c>
      <c r="DC139" s="52">
        <v>96</v>
      </c>
      <c r="DD139" s="52">
        <v>97</v>
      </c>
      <c r="DE139" s="52">
        <v>98</v>
      </c>
      <c r="DF139" s="52">
        <v>99</v>
      </c>
      <c r="DG139" s="52">
        <v>100</v>
      </c>
      <c r="DH139" s="52">
        <v>101</v>
      </c>
      <c r="DI139" s="52">
        <v>102</v>
      </c>
      <c r="DJ139" s="52">
        <v>103</v>
      </c>
      <c r="DK139" s="52">
        <v>104</v>
      </c>
      <c r="DL139" s="52">
        <v>105</v>
      </c>
      <c r="DM139" s="52">
        <v>106</v>
      </c>
      <c r="DN139" s="52">
        <v>107</v>
      </c>
      <c r="DO139" s="52">
        <v>108</v>
      </c>
      <c r="DP139" s="52">
        <v>109</v>
      </c>
      <c r="DQ139" s="52">
        <v>110</v>
      </c>
      <c r="DR139" s="52">
        <v>111</v>
      </c>
      <c r="DS139" s="52">
        <v>112</v>
      </c>
      <c r="DT139" s="52">
        <v>113</v>
      </c>
      <c r="DU139" s="52">
        <v>114</v>
      </c>
      <c r="DV139" s="52">
        <v>115</v>
      </c>
      <c r="DW139" s="52">
        <v>116</v>
      </c>
      <c r="DX139" s="52">
        <v>117</v>
      </c>
      <c r="DY139" s="52">
        <v>118</v>
      </c>
      <c r="DZ139" s="52">
        <v>119</v>
      </c>
      <c r="EA139" s="52">
        <v>120</v>
      </c>
      <c r="EB139" s="52">
        <v>121</v>
      </c>
      <c r="EC139" s="52">
        <v>122</v>
      </c>
      <c r="ED139" s="52">
        <v>123</v>
      </c>
      <c r="EE139" s="52">
        <v>124</v>
      </c>
      <c r="EF139" s="52">
        <v>125</v>
      </c>
      <c r="EG139" s="52">
        <v>126</v>
      </c>
      <c r="EH139" s="52">
        <v>127</v>
      </c>
      <c r="EI139" s="52">
        <v>128</v>
      </c>
      <c r="EJ139" s="52">
        <v>129</v>
      </c>
      <c r="EK139" s="52">
        <v>130</v>
      </c>
      <c r="EL139" s="52">
        <v>131</v>
      </c>
      <c r="EM139" s="52">
        <v>132</v>
      </c>
      <c r="EN139" s="52">
        <v>133</v>
      </c>
      <c r="EO139" s="52">
        <v>134</v>
      </c>
      <c r="EP139" s="52">
        <v>135</v>
      </c>
      <c r="EQ139" s="52">
        <v>136</v>
      </c>
      <c r="ER139" s="52">
        <v>137</v>
      </c>
      <c r="ES139" s="52">
        <v>138</v>
      </c>
      <c r="ET139" s="52">
        <v>139</v>
      </c>
      <c r="EU139" s="52">
        <v>140</v>
      </c>
      <c r="EV139" s="52">
        <v>141</v>
      </c>
      <c r="EW139" s="52">
        <v>142</v>
      </c>
      <c r="EX139" s="52">
        <v>143</v>
      </c>
      <c r="EY139" s="52">
        <v>144</v>
      </c>
      <c r="EZ139" s="52">
        <v>145</v>
      </c>
      <c r="FA139" s="52">
        <v>146</v>
      </c>
      <c r="FB139" s="52">
        <v>147</v>
      </c>
      <c r="FC139" s="52">
        <v>148</v>
      </c>
      <c r="FD139" s="52">
        <v>149</v>
      </c>
      <c r="FE139" s="52">
        <v>150</v>
      </c>
      <c r="FF139" s="52">
        <v>151</v>
      </c>
      <c r="FG139" s="52">
        <v>152</v>
      </c>
      <c r="FH139" s="52">
        <v>153</v>
      </c>
      <c r="FI139" s="52">
        <v>154</v>
      </c>
      <c r="FJ139" s="52">
        <v>155</v>
      </c>
      <c r="FK139" s="52">
        <v>156</v>
      </c>
      <c r="FL139" s="52">
        <v>157</v>
      </c>
      <c r="FM139" s="52">
        <v>158</v>
      </c>
      <c r="FN139" s="52">
        <v>159</v>
      </c>
      <c r="FO139" s="52">
        <v>160</v>
      </c>
      <c r="FP139" s="52">
        <v>161</v>
      </c>
      <c r="FQ139" s="52">
        <v>162</v>
      </c>
      <c r="FR139" s="52">
        <v>163</v>
      </c>
      <c r="FS139" s="52">
        <v>164</v>
      </c>
      <c r="FT139" s="52">
        <v>165</v>
      </c>
      <c r="FU139" s="52">
        <v>166</v>
      </c>
      <c r="FV139" s="52">
        <v>167</v>
      </c>
      <c r="FW139" s="52">
        <v>168</v>
      </c>
      <c r="FX139" s="52">
        <v>169</v>
      </c>
      <c r="FY139" s="52">
        <v>170</v>
      </c>
      <c r="FZ139" s="52">
        <v>171</v>
      </c>
      <c r="GA139" s="52">
        <v>172</v>
      </c>
      <c r="GB139" s="52">
        <v>173</v>
      </c>
      <c r="GC139" s="52">
        <v>174</v>
      </c>
      <c r="GD139" s="52">
        <v>175</v>
      </c>
      <c r="GE139" s="52">
        <v>176</v>
      </c>
      <c r="GF139" s="52">
        <v>177</v>
      </c>
      <c r="GG139" s="52">
        <v>178</v>
      </c>
      <c r="GH139" s="52">
        <v>179</v>
      </c>
      <c r="GI139" s="52">
        <v>180</v>
      </c>
      <c r="GJ139" s="52">
        <v>181</v>
      </c>
      <c r="GK139" s="52">
        <v>182</v>
      </c>
      <c r="GL139" s="52">
        <v>183</v>
      </c>
      <c r="GM139" s="52">
        <v>184</v>
      </c>
      <c r="GN139" s="52">
        <v>185</v>
      </c>
      <c r="GO139" s="52">
        <v>186</v>
      </c>
      <c r="GP139" s="52">
        <v>187</v>
      </c>
    </row>
    <row r="141" spans="1:198" x14ac:dyDescent="0.35">
      <c r="A141" s="53" t="s">
        <v>300</v>
      </c>
      <c r="B141" s="54"/>
      <c r="C141" s="54"/>
      <c r="D141" s="54"/>
      <c r="E141" s="54"/>
      <c r="F141" s="54"/>
      <c r="G141" s="54"/>
      <c r="H141" s="54"/>
      <c r="I141" s="54"/>
    </row>
    <row r="142" spans="1:198" x14ac:dyDescent="0.35">
      <c r="A142" s="55" t="str">
        <f t="shared" ref="A142:A164" si="26">A114</f>
        <v>USA &gt; available now</v>
      </c>
      <c r="B142" s="55" t="s">
        <v>297</v>
      </c>
      <c r="K142" s="56">
        <f t="shared" ref="K142:AP142" ca="1" si="27">$D114+($K114-$D114)*(1-COS(PI()*MIN(MAX((K$139-($B$82-1))/$B$83,0),1)))/2</f>
        <v>0</v>
      </c>
      <c r="L142" s="56">
        <f t="shared" ca="1" si="27"/>
        <v>0</v>
      </c>
      <c r="M142" s="56">
        <f t="shared" ca="1" si="27"/>
        <v>0</v>
      </c>
      <c r="N142" s="56">
        <f t="shared" ca="1" si="27"/>
        <v>0</v>
      </c>
      <c r="O142" s="56">
        <f t="shared" ca="1" si="27"/>
        <v>0</v>
      </c>
      <c r="P142" s="56">
        <f t="shared" ca="1" si="27"/>
        <v>0</v>
      </c>
      <c r="Q142" s="56">
        <f t="shared" ca="1" si="27"/>
        <v>0</v>
      </c>
      <c r="R142" s="56">
        <f t="shared" ca="1" si="27"/>
        <v>0</v>
      </c>
      <c r="S142" s="56">
        <f t="shared" ca="1" si="27"/>
        <v>0</v>
      </c>
      <c r="T142" s="56">
        <f t="shared" ca="1" si="27"/>
        <v>0</v>
      </c>
      <c r="U142" s="56">
        <f t="shared" ca="1" si="27"/>
        <v>0</v>
      </c>
      <c r="V142" s="56">
        <f t="shared" ca="1" si="27"/>
        <v>0</v>
      </c>
      <c r="W142" s="56">
        <f t="shared" ca="1" si="27"/>
        <v>0</v>
      </c>
      <c r="X142" s="56">
        <f t="shared" ca="1" si="27"/>
        <v>0</v>
      </c>
      <c r="Y142" s="56">
        <f t="shared" ca="1" si="27"/>
        <v>0</v>
      </c>
      <c r="Z142" s="56">
        <f t="shared" ca="1" si="27"/>
        <v>0</v>
      </c>
      <c r="AA142" s="56">
        <f t="shared" ca="1" si="27"/>
        <v>0</v>
      </c>
      <c r="AB142" s="56">
        <f t="shared" ca="1" si="27"/>
        <v>0</v>
      </c>
      <c r="AC142" s="56">
        <f t="shared" ca="1" si="27"/>
        <v>0</v>
      </c>
      <c r="AD142" s="56">
        <f t="shared" ca="1" si="27"/>
        <v>0</v>
      </c>
      <c r="AE142" s="56">
        <f t="shared" ca="1" si="27"/>
        <v>0</v>
      </c>
      <c r="AF142" s="56">
        <f t="shared" ca="1" si="27"/>
        <v>0</v>
      </c>
      <c r="AG142" s="56">
        <f t="shared" ca="1" si="27"/>
        <v>0</v>
      </c>
      <c r="AH142" s="56">
        <f t="shared" ca="1" si="27"/>
        <v>0</v>
      </c>
      <c r="AI142" s="56">
        <f t="shared" ca="1" si="27"/>
        <v>0</v>
      </c>
      <c r="AJ142" s="56">
        <f t="shared" ca="1" si="27"/>
        <v>0</v>
      </c>
      <c r="AK142" s="56">
        <f t="shared" ca="1" si="27"/>
        <v>0</v>
      </c>
      <c r="AL142" s="56">
        <f t="shared" ca="1" si="27"/>
        <v>0</v>
      </c>
      <c r="AM142" s="56">
        <f t="shared" ca="1" si="27"/>
        <v>0</v>
      </c>
      <c r="AN142" s="56">
        <f t="shared" ca="1" si="27"/>
        <v>0</v>
      </c>
      <c r="AO142" s="56">
        <f t="shared" ca="1" si="27"/>
        <v>0</v>
      </c>
      <c r="AP142" s="56">
        <f t="shared" ca="1" si="27"/>
        <v>0</v>
      </c>
      <c r="AQ142" s="56">
        <f t="shared" ref="AQ142:BV142" ca="1" si="28">$D114+($K114-$D114)*(1-COS(PI()*MIN(MAX((AQ$139-($B$82-1))/$B$83,0),1)))/2</f>
        <v>0</v>
      </c>
      <c r="AR142" s="56">
        <f t="shared" ca="1" si="28"/>
        <v>0</v>
      </c>
      <c r="AS142" s="56">
        <f t="shared" ca="1" si="28"/>
        <v>0</v>
      </c>
      <c r="AT142" s="56">
        <f t="shared" ca="1" si="28"/>
        <v>0</v>
      </c>
      <c r="AU142" s="56">
        <f t="shared" ca="1" si="28"/>
        <v>0</v>
      </c>
      <c r="AV142" s="56">
        <f t="shared" ca="1" si="28"/>
        <v>0</v>
      </c>
      <c r="AW142" s="56">
        <f t="shared" ca="1" si="28"/>
        <v>0</v>
      </c>
      <c r="AX142" s="56">
        <f t="shared" ca="1" si="28"/>
        <v>0</v>
      </c>
      <c r="AY142" s="56">
        <f t="shared" ca="1" si="28"/>
        <v>0</v>
      </c>
      <c r="AZ142" s="56">
        <f t="shared" ca="1" si="28"/>
        <v>0</v>
      </c>
      <c r="BA142" s="56">
        <f t="shared" ca="1" si="28"/>
        <v>0</v>
      </c>
      <c r="BB142" s="56">
        <f t="shared" ca="1" si="28"/>
        <v>0</v>
      </c>
      <c r="BC142" s="56">
        <f t="shared" ca="1" si="28"/>
        <v>0</v>
      </c>
      <c r="BD142" s="56">
        <f t="shared" ca="1" si="28"/>
        <v>0</v>
      </c>
      <c r="BE142" s="56">
        <f t="shared" ca="1" si="28"/>
        <v>0</v>
      </c>
      <c r="BF142" s="56">
        <f t="shared" ca="1" si="28"/>
        <v>0</v>
      </c>
      <c r="BG142" s="56">
        <f t="shared" ca="1" si="28"/>
        <v>0</v>
      </c>
      <c r="BH142" s="56">
        <f t="shared" ca="1" si="28"/>
        <v>0</v>
      </c>
      <c r="BI142" s="56">
        <f t="shared" ca="1" si="28"/>
        <v>0</v>
      </c>
      <c r="BJ142" s="56">
        <f t="shared" ca="1" si="28"/>
        <v>0</v>
      </c>
      <c r="BK142" s="56">
        <f t="shared" ca="1" si="28"/>
        <v>0</v>
      </c>
      <c r="BL142" s="56">
        <f t="shared" ca="1" si="28"/>
        <v>0</v>
      </c>
      <c r="BM142" s="56">
        <f t="shared" ca="1" si="28"/>
        <v>0</v>
      </c>
      <c r="BN142" s="56">
        <f t="shared" ca="1" si="28"/>
        <v>0</v>
      </c>
      <c r="BO142" s="56">
        <f t="shared" ca="1" si="28"/>
        <v>0</v>
      </c>
      <c r="BP142" s="56">
        <f t="shared" ca="1" si="28"/>
        <v>0</v>
      </c>
      <c r="BQ142" s="56">
        <f t="shared" ca="1" si="28"/>
        <v>0</v>
      </c>
      <c r="BR142" s="56">
        <f t="shared" ca="1" si="28"/>
        <v>0</v>
      </c>
      <c r="BS142" s="56">
        <f t="shared" ca="1" si="28"/>
        <v>0</v>
      </c>
      <c r="BT142" s="56">
        <f t="shared" ca="1" si="28"/>
        <v>0</v>
      </c>
      <c r="BU142" s="56">
        <f t="shared" ca="1" si="28"/>
        <v>0</v>
      </c>
      <c r="BV142" s="56">
        <f t="shared" ca="1" si="28"/>
        <v>0</v>
      </c>
      <c r="BW142" s="56">
        <f t="shared" ref="BW142:DB142" ca="1" si="29">$D114+($K114-$D114)*(1-COS(PI()*MIN(MAX((BW$139-($B$82-1))/$B$83,0),1)))/2</f>
        <v>0</v>
      </c>
      <c r="BX142" s="56">
        <f t="shared" ca="1" si="29"/>
        <v>0</v>
      </c>
      <c r="BY142" s="56">
        <f t="shared" ca="1" si="29"/>
        <v>0</v>
      </c>
      <c r="BZ142" s="56">
        <f t="shared" ca="1" si="29"/>
        <v>0</v>
      </c>
      <c r="CA142" s="56">
        <f t="shared" ca="1" si="29"/>
        <v>0</v>
      </c>
      <c r="CB142" s="56">
        <f t="shared" ca="1" si="29"/>
        <v>0</v>
      </c>
      <c r="CC142" s="56">
        <f t="shared" ca="1" si="29"/>
        <v>0</v>
      </c>
      <c r="CD142" s="56">
        <f t="shared" ca="1" si="29"/>
        <v>0</v>
      </c>
      <c r="CE142" s="56">
        <f t="shared" ca="1" si="29"/>
        <v>0</v>
      </c>
      <c r="CF142" s="56">
        <f t="shared" ca="1" si="29"/>
        <v>0</v>
      </c>
      <c r="CG142" s="56">
        <f t="shared" ca="1" si="29"/>
        <v>0</v>
      </c>
      <c r="CH142" s="56">
        <f t="shared" ca="1" si="29"/>
        <v>0</v>
      </c>
      <c r="CI142" s="56">
        <f t="shared" ca="1" si="29"/>
        <v>0</v>
      </c>
      <c r="CJ142" s="56">
        <f t="shared" ca="1" si="29"/>
        <v>0</v>
      </c>
      <c r="CK142" s="56">
        <f t="shared" ca="1" si="29"/>
        <v>0</v>
      </c>
      <c r="CL142" s="56">
        <f t="shared" ca="1" si="29"/>
        <v>0</v>
      </c>
      <c r="CM142" s="56">
        <f t="shared" ca="1" si="29"/>
        <v>0</v>
      </c>
      <c r="CN142" s="56">
        <f t="shared" ca="1" si="29"/>
        <v>0</v>
      </c>
      <c r="CO142" s="56">
        <f t="shared" ca="1" si="29"/>
        <v>0</v>
      </c>
      <c r="CP142" s="56">
        <f t="shared" ca="1" si="29"/>
        <v>0</v>
      </c>
      <c r="CQ142" s="56">
        <f t="shared" ca="1" si="29"/>
        <v>0</v>
      </c>
      <c r="CR142" s="56">
        <f t="shared" ca="1" si="29"/>
        <v>0</v>
      </c>
      <c r="CS142" s="56">
        <f t="shared" ca="1" si="29"/>
        <v>0</v>
      </c>
      <c r="CT142" s="56">
        <f t="shared" ca="1" si="29"/>
        <v>0</v>
      </c>
      <c r="CU142" s="56">
        <f t="shared" ca="1" si="29"/>
        <v>0</v>
      </c>
      <c r="CV142" s="56">
        <f t="shared" ca="1" si="29"/>
        <v>0</v>
      </c>
      <c r="CW142" s="56">
        <f t="shared" ca="1" si="29"/>
        <v>0</v>
      </c>
      <c r="CX142" s="56">
        <f t="shared" ca="1" si="29"/>
        <v>0</v>
      </c>
      <c r="CY142" s="56">
        <f t="shared" ca="1" si="29"/>
        <v>0</v>
      </c>
      <c r="CZ142" s="56">
        <f t="shared" ca="1" si="29"/>
        <v>0</v>
      </c>
      <c r="DA142" s="56">
        <f t="shared" ca="1" si="29"/>
        <v>0</v>
      </c>
      <c r="DB142" s="56">
        <f t="shared" ca="1" si="29"/>
        <v>0</v>
      </c>
      <c r="DC142" s="56">
        <f t="shared" ref="DC142:EH142" ca="1" si="30">$D114+($K114-$D114)*(1-COS(PI()*MIN(MAX((DC$139-($B$82-1))/$B$83,0),1)))/2</f>
        <v>0</v>
      </c>
      <c r="DD142" s="56">
        <f t="shared" ca="1" si="30"/>
        <v>0</v>
      </c>
      <c r="DE142" s="56">
        <f t="shared" ca="1" si="30"/>
        <v>0</v>
      </c>
      <c r="DF142" s="56">
        <f t="shared" ca="1" si="30"/>
        <v>0</v>
      </c>
      <c r="DG142" s="56">
        <f t="shared" ca="1" si="30"/>
        <v>0</v>
      </c>
      <c r="DH142" s="56">
        <f t="shared" ca="1" si="30"/>
        <v>0</v>
      </c>
      <c r="DI142" s="56">
        <f t="shared" ca="1" si="30"/>
        <v>0</v>
      </c>
      <c r="DJ142" s="56">
        <f t="shared" ca="1" si="30"/>
        <v>0</v>
      </c>
      <c r="DK142" s="56">
        <f t="shared" ca="1" si="30"/>
        <v>0</v>
      </c>
      <c r="DL142" s="56">
        <f t="shared" ca="1" si="30"/>
        <v>0</v>
      </c>
      <c r="DM142" s="56">
        <f t="shared" ca="1" si="30"/>
        <v>0</v>
      </c>
      <c r="DN142" s="56">
        <f t="shared" ca="1" si="30"/>
        <v>0</v>
      </c>
      <c r="DO142" s="56">
        <f t="shared" ca="1" si="30"/>
        <v>0</v>
      </c>
      <c r="DP142" s="56">
        <f t="shared" ca="1" si="30"/>
        <v>0</v>
      </c>
      <c r="DQ142" s="56">
        <f t="shared" ca="1" si="30"/>
        <v>0</v>
      </c>
      <c r="DR142" s="56">
        <f t="shared" ca="1" si="30"/>
        <v>0</v>
      </c>
      <c r="DS142" s="56">
        <f t="shared" ca="1" si="30"/>
        <v>0</v>
      </c>
      <c r="DT142" s="56">
        <f t="shared" ca="1" si="30"/>
        <v>0</v>
      </c>
      <c r="DU142" s="56">
        <f t="shared" ca="1" si="30"/>
        <v>0</v>
      </c>
      <c r="DV142" s="56">
        <f t="shared" ca="1" si="30"/>
        <v>0</v>
      </c>
      <c r="DW142" s="56">
        <f t="shared" ca="1" si="30"/>
        <v>0</v>
      </c>
      <c r="DX142" s="56">
        <f t="shared" ca="1" si="30"/>
        <v>0</v>
      </c>
      <c r="DY142" s="56">
        <f t="shared" ca="1" si="30"/>
        <v>0</v>
      </c>
      <c r="DZ142" s="56">
        <f t="shared" ca="1" si="30"/>
        <v>0</v>
      </c>
      <c r="EA142" s="56">
        <f t="shared" ca="1" si="30"/>
        <v>0</v>
      </c>
      <c r="EB142" s="56">
        <f t="shared" ca="1" si="30"/>
        <v>0</v>
      </c>
      <c r="EC142" s="56">
        <f t="shared" ca="1" si="30"/>
        <v>0</v>
      </c>
      <c r="ED142" s="56">
        <f t="shared" ca="1" si="30"/>
        <v>0</v>
      </c>
      <c r="EE142" s="56">
        <f t="shared" ca="1" si="30"/>
        <v>0</v>
      </c>
      <c r="EF142" s="56">
        <f t="shared" ca="1" si="30"/>
        <v>0</v>
      </c>
      <c r="EG142" s="56">
        <f t="shared" ca="1" si="30"/>
        <v>0</v>
      </c>
      <c r="EH142" s="56">
        <f t="shared" ca="1" si="30"/>
        <v>0</v>
      </c>
      <c r="EI142" s="56">
        <f t="shared" ref="EI142:FN142" ca="1" si="31">$D114+($K114-$D114)*(1-COS(PI()*MIN(MAX((EI$139-($B$82-1))/$B$83,0),1)))/2</f>
        <v>0</v>
      </c>
      <c r="EJ142" s="56">
        <f t="shared" ca="1" si="31"/>
        <v>0</v>
      </c>
      <c r="EK142" s="56">
        <f t="shared" ca="1" si="31"/>
        <v>0</v>
      </c>
      <c r="EL142" s="56">
        <f t="shared" ca="1" si="31"/>
        <v>0</v>
      </c>
      <c r="EM142" s="56">
        <f t="shared" ca="1" si="31"/>
        <v>0</v>
      </c>
      <c r="EN142" s="56">
        <f t="shared" ca="1" si="31"/>
        <v>0</v>
      </c>
      <c r="EO142" s="56">
        <f t="shared" ca="1" si="31"/>
        <v>0</v>
      </c>
      <c r="EP142" s="56">
        <f t="shared" ca="1" si="31"/>
        <v>0</v>
      </c>
      <c r="EQ142" s="56">
        <f t="shared" ca="1" si="31"/>
        <v>0</v>
      </c>
      <c r="ER142" s="56">
        <f t="shared" ca="1" si="31"/>
        <v>0</v>
      </c>
      <c r="ES142" s="56">
        <f t="shared" ca="1" si="31"/>
        <v>0</v>
      </c>
      <c r="ET142" s="56">
        <f t="shared" ca="1" si="31"/>
        <v>0</v>
      </c>
      <c r="EU142" s="56">
        <f t="shared" ca="1" si="31"/>
        <v>0</v>
      </c>
      <c r="EV142" s="56">
        <f t="shared" ca="1" si="31"/>
        <v>0</v>
      </c>
      <c r="EW142" s="56">
        <f t="shared" ca="1" si="31"/>
        <v>0</v>
      </c>
      <c r="EX142" s="56">
        <f t="shared" ca="1" si="31"/>
        <v>0</v>
      </c>
      <c r="EY142" s="56">
        <f t="shared" ca="1" si="31"/>
        <v>0</v>
      </c>
      <c r="EZ142" s="56">
        <f t="shared" ca="1" si="31"/>
        <v>0</v>
      </c>
      <c r="FA142" s="56">
        <f t="shared" ca="1" si="31"/>
        <v>0</v>
      </c>
      <c r="FB142" s="56">
        <f t="shared" ca="1" si="31"/>
        <v>0</v>
      </c>
      <c r="FC142" s="56">
        <f t="shared" ca="1" si="31"/>
        <v>0</v>
      </c>
      <c r="FD142" s="56">
        <f t="shared" ca="1" si="31"/>
        <v>0</v>
      </c>
      <c r="FE142" s="56">
        <f t="shared" ca="1" si="31"/>
        <v>0</v>
      </c>
      <c r="FF142" s="56">
        <f t="shared" ca="1" si="31"/>
        <v>0</v>
      </c>
      <c r="FG142" s="56">
        <f t="shared" ca="1" si="31"/>
        <v>0</v>
      </c>
      <c r="FH142" s="56">
        <f t="shared" ca="1" si="31"/>
        <v>0</v>
      </c>
      <c r="FI142" s="56">
        <f t="shared" ca="1" si="31"/>
        <v>0</v>
      </c>
      <c r="FJ142" s="56">
        <f t="shared" ca="1" si="31"/>
        <v>0</v>
      </c>
      <c r="FK142" s="56">
        <f t="shared" ca="1" si="31"/>
        <v>0</v>
      </c>
      <c r="FL142" s="56">
        <f t="shared" ca="1" si="31"/>
        <v>0</v>
      </c>
      <c r="FM142" s="56">
        <f t="shared" ca="1" si="31"/>
        <v>0</v>
      </c>
      <c r="FN142" s="56">
        <f t="shared" ca="1" si="31"/>
        <v>0</v>
      </c>
      <c r="FO142" s="56">
        <f t="shared" ref="FO142:GP142" ca="1" si="32">$D114+($K114-$D114)*(1-COS(PI()*MIN(MAX((FO$139-($B$82-1))/$B$83,0),1)))/2</f>
        <v>0</v>
      </c>
      <c r="FP142" s="56">
        <f t="shared" ca="1" si="32"/>
        <v>0</v>
      </c>
      <c r="FQ142" s="56">
        <f t="shared" ca="1" si="32"/>
        <v>0</v>
      </c>
      <c r="FR142" s="56">
        <f t="shared" ca="1" si="32"/>
        <v>0</v>
      </c>
      <c r="FS142" s="56">
        <f t="shared" ca="1" si="32"/>
        <v>0</v>
      </c>
      <c r="FT142" s="56">
        <f t="shared" ca="1" si="32"/>
        <v>0</v>
      </c>
      <c r="FU142" s="56">
        <f t="shared" ca="1" si="32"/>
        <v>0</v>
      </c>
      <c r="FV142" s="56">
        <f t="shared" ca="1" si="32"/>
        <v>0</v>
      </c>
      <c r="FW142" s="56">
        <f t="shared" ca="1" si="32"/>
        <v>0</v>
      </c>
      <c r="FX142" s="56">
        <f t="shared" ca="1" si="32"/>
        <v>0</v>
      </c>
      <c r="FY142" s="56">
        <f t="shared" ca="1" si="32"/>
        <v>0</v>
      </c>
      <c r="FZ142" s="56">
        <f t="shared" ca="1" si="32"/>
        <v>0</v>
      </c>
      <c r="GA142" s="56">
        <f t="shared" ca="1" si="32"/>
        <v>0</v>
      </c>
      <c r="GB142" s="56">
        <f t="shared" ca="1" si="32"/>
        <v>0</v>
      </c>
      <c r="GC142" s="56">
        <f t="shared" ca="1" si="32"/>
        <v>0</v>
      </c>
      <c r="GD142" s="56">
        <f t="shared" ca="1" si="32"/>
        <v>0</v>
      </c>
      <c r="GE142" s="56">
        <f t="shared" ca="1" si="32"/>
        <v>0</v>
      </c>
      <c r="GF142" s="56">
        <f t="shared" ca="1" si="32"/>
        <v>0</v>
      </c>
      <c r="GG142" s="56">
        <f t="shared" ca="1" si="32"/>
        <v>0</v>
      </c>
      <c r="GH142" s="56">
        <f t="shared" ca="1" si="32"/>
        <v>0</v>
      </c>
      <c r="GI142" s="56">
        <f t="shared" ca="1" si="32"/>
        <v>0</v>
      </c>
      <c r="GJ142" s="56">
        <f t="shared" ca="1" si="32"/>
        <v>0</v>
      </c>
      <c r="GK142" s="56">
        <f t="shared" ca="1" si="32"/>
        <v>0</v>
      </c>
      <c r="GL142" s="56">
        <f t="shared" ca="1" si="32"/>
        <v>0</v>
      </c>
      <c r="GM142" s="56">
        <f t="shared" ca="1" si="32"/>
        <v>0</v>
      </c>
      <c r="GN142" s="56">
        <f t="shared" ca="1" si="32"/>
        <v>0</v>
      </c>
      <c r="GO142" s="56">
        <f t="shared" ca="1" si="32"/>
        <v>0</v>
      </c>
      <c r="GP142" s="56">
        <f t="shared" ca="1" si="32"/>
        <v>0</v>
      </c>
    </row>
    <row r="143" spans="1:198" x14ac:dyDescent="0.35">
      <c r="A143" s="55" t="str">
        <f t="shared" si="26"/>
        <v>India &gt; available now</v>
      </c>
      <c r="B143" s="55" t="s">
        <v>297</v>
      </c>
      <c r="K143" s="56">
        <f t="shared" ref="K143:AP143" ca="1" si="33">$D115+($K115-$D115)*(1-COS(PI()*MIN(MAX((K$139-($B$82-1))/$B$83,0),1)))/2</f>
        <v>23.094736842105259</v>
      </c>
      <c r="L143" s="56">
        <f t="shared" ca="1" si="33"/>
        <v>23.094736842105259</v>
      </c>
      <c r="M143" s="56">
        <f t="shared" ca="1" si="33"/>
        <v>23.094736842105259</v>
      </c>
      <c r="N143" s="56">
        <f t="shared" ca="1" si="33"/>
        <v>23.094736842105259</v>
      </c>
      <c r="O143" s="56">
        <f t="shared" ca="1" si="33"/>
        <v>23.094736842105259</v>
      </c>
      <c r="P143" s="56">
        <f t="shared" ca="1" si="33"/>
        <v>23.094736842105259</v>
      </c>
      <c r="Q143" s="56">
        <f t="shared" ca="1" si="33"/>
        <v>23.094736842105259</v>
      </c>
      <c r="R143" s="56">
        <f t="shared" ca="1" si="33"/>
        <v>23.094736842105259</v>
      </c>
      <c r="S143" s="56">
        <f t="shared" ca="1" si="33"/>
        <v>23.094736842105259</v>
      </c>
      <c r="T143" s="56">
        <f t="shared" ca="1" si="33"/>
        <v>23.094736842105259</v>
      </c>
      <c r="U143" s="56">
        <f t="shared" ca="1" si="33"/>
        <v>23.085442491041714</v>
      </c>
      <c r="V143" s="56">
        <f t="shared" ca="1" si="33"/>
        <v>23.05757927246464</v>
      </c>
      <c r="W143" s="56">
        <f t="shared" ca="1" si="33"/>
        <v>23.011206647886652</v>
      </c>
      <c r="X143" s="56">
        <f t="shared" ca="1" si="33"/>
        <v>22.946423578825563</v>
      </c>
      <c r="Y143" s="56">
        <f t="shared" ca="1" si="33"/>
        <v>22.863368315615507</v>
      </c>
      <c r="Z143" s="56">
        <f t="shared" ca="1" si="33"/>
        <v>22.762218102373762</v>
      </c>
      <c r="AA143" s="56">
        <f t="shared" ca="1" si="33"/>
        <v>22.643188798752885</v>
      </c>
      <c r="AB143" s="56">
        <f t="shared" ca="1" si="33"/>
        <v>22.506534419285305</v>
      </c>
      <c r="AC143" s="56">
        <f t="shared" ca="1" si="33"/>
        <v>22.352546591303547</v>
      </c>
      <c r="AD143" s="56">
        <f t="shared" ca="1" si="33"/>
        <v>22.181553932592777</v>
      </c>
      <c r="AE143" s="56">
        <f t="shared" ca="1" si="33"/>
        <v>21.9939213501039</v>
      </c>
      <c r="AF143" s="56">
        <f t="shared" ca="1" si="33"/>
        <v>21.790049261223743</v>
      </c>
      <c r="AG143" s="56">
        <f t="shared" ca="1" si="33"/>
        <v>21.570372739264155</v>
      </c>
      <c r="AH143" s="56">
        <f t="shared" ca="1" si="33"/>
        <v>21.335360584993662</v>
      </c>
      <c r="AI143" s="56">
        <f t="shared" ca="1" si="33"/>
        <v>21.085514326192968</v>
      </c>
      <c r="AJ143" s="56">
        <f t="shared" ca="1" si="33"/>
        <v>20.821367147369422</v>
      </c>
      <c r="AK143" s="56">
        <f t="shared" ca="1" si="33"/>
        <v>20.543482751914397</v>
      </c>
      <c r="AL143" s="56">
        <f t="shared" ca="1" si="33"/>
        <v>20.252454159131851</v>
      </c>
      <c r="AM143" s="56">
        <f t="shared" ca="1" si="33"/>
        <v>19.94890243870524</v>
      </c>
      <c r="AN143" s="56">
        <f t="shared" ca="1" si="33"/>
        <v>19.63347538530352</v>
      </c>
      <c r="AO143" s="56">
        <f t="shared" ca="1" si="33"/>
        <v>19.306846136154679</v>
      </c>
      <c r="AP143" s="56">
        <f t="shared" ca="1" si="33"/>
        <v>18.969711734536965</v>
      </c>
      <c r="AQ143" s="56">
        <f t="shared" ref="AQ143:BV143" ca="1" si="34">$D115+($K115-$D115)*(1-COS(PI()*MIN(MAX((AQ$139-($B$82-1))/$B$83,0),1)))/2</f>
        <v>18.622791642253404</v>
      </c>
      <c r="AR143" s="56">
        <f t="shared" ca="1" si="34"/>
        <v>18.266826204264056</v>
      </c>
      <c r="AS143" s="56">
        <f t="shared" ca="1" si="34"/>
        <v>17.902575068752554</v>
      </c>
      <c r="AT143" s="56">
        <f t="shared" ca="1" si="34"/>
        <v>17.530815565998619</v>
      </c>
      <c r="AU143" s="56">
        <f t="shared" ca="1" si="34"/>
        <v>17.152341049516036</v>
      </c>
      <c r="AV143" s="56">
        <f t="shared" ca="1" si="34"/>
        <v>16.767959202996298</v>
      </c>
      <c r="AW143" s="56">
        <f t="shared" ca="1" si="34"/>
        <v>16.378490316670902</v>
      </c>
      <c r="AX143" s="56">
        <f t="shared" ca="1" si="34"/>
        <v>15.984765536770652</v>
      </c>
      <c r="AY143" s="56">
        <f t="shared" ca="1" si="34"/>
        <v>15.58762509181771</v>
      </c>
      <c r="AZ143" s="56">
        <f t="shared" ca="1" si="34"/>
        <v>15.187916499535602</v>
      </c>
      <c r="BA143" s="56">
        <f t="shared" ca="1" si="34"/>
        <v>14.786492758203677</v>
      </c>
      <c r="BB143" s="56">
        <f t="shared" ca="1" si="34"/>
        <v>14.384210526315789</v>
      </c>
      <c r="BC143" s="56">
        <f t="shared" ca="1" si="34"/>
        <v>13.981928294427899</v>
      </c>
      <c r="BD143" s="56">
        <f t="shared" ca="1" si="34"/>
        <v>13.580504553095974</v>
      </c>
      <c r="BE143" s="56">
        <f t="shared" ca="1" si="34"/>
        <v>13.180795960813867</v>
      </c>
      <c r="BF143" s="56">
        <f t="shared" ca="1" si="34"/>
        <v>12.783655515860923</v>
      </c>
      <c r="BG143" s="56">
        <f t="shared" ca="1" si="34"/>
        <v>12.389930735960673</v>
      </c>
      <c r="BH143" s="56">
        <f t="shared" ca="1" si="34"/>
        <v>12.000461849635276</v>
      </c>
      <c r="BI143" s="56">
        <f t="shared" ca="1" si="34"/>
        <v>11.616080003115538</v>
      </c>
      <c r="BJ143" s="56">
        <f t="shared" ca="1" si="34"/>
        <v>11.237605486632955</v>
      </c>
      <c r="BK143" s="56">
        <f t="shared" ca="1" si="34"/>
        <v>10.865845983879019</v>
      </c>
      <c r="BL143" s="56">
        <f t="shared" ca="1" si="34"/>
        <v>10.501594848367521</v>
      </c>
      <c r="BM143" s="56">
        <f t="shared" ca="1" si="34"/>
        <v>10.145629410378172</v>
      </c>
      <c r="BN143" s="56">
        <f t="shared" ca="1" si="34"/>
        <v>9.798709318094609</v>
      </c>
      <c r="BO143" s="56">
        <f t="shared" ca="1" si="34"/>
        <v>9.461574916476895</v>
      </c>
      <c r="BP143" s="56">
        <f t="shared" ca="1" si="34"/>
        <v>9.1349456673280542</v>
      </c>
      <c r="BQ143" s="56">
        <f t="shared" ca="1" si="34"/>
        <v>8.819518613926336</v>
      </c>
      <c r="BR143" s="56">
        <f t="shared" ca="1" si="34"/>
        <v>8.5159668934997228</v>
      </c>
      <c r="BS143" s="56">
        <f t="shared" ca="1" si="34"/>
        <v>8.2249383007171772</v>
      </c>
      <c r="BT143" s="56">
        <f t="shared" ca="1" si="34"/>
        <v>7.9470539052621518</v>
      </c>
      <c r="BU143" s="56">
        <f t="shared" ca="1" si="34"/>
        <v>7.6829067264386044</v>
      </c>
      <c r="BV143" s="56">
        <f t="shared" ca="1" si="34"/>
        <v>7.4330604676379117</v>
      </c>
      <c r="BW143" s="56">
        <f t="shared" ref="BW143:DB143" ca="1" si="35">$D115+($K115-$D115)*(1-COS(PI()*MIN(MAX((BW$139-($B$82-1))/$B$83,0),1)))/2</f>
        <v>7.1980483133674191</v>
      </c>
      <c r="BX143" s="56">
        <f t="shared" ca="1" si="35"/>
        <v>6.9783717914078345</v>
      </c>
      <c r="BY143" s="56">
        <f t="shared" ca="1" si="35"/>
        <v>6.7744997025276739</v>
      </c>
      <c r="BZ143" s="56">
        <f t="shared" ca="1" si="35"/>
        <v>6.5868671200388</v>
      </c>
      <c r="CA143" s="56">
        <f t="shared" ca="1" si="35"/>
        <v>6.415874461328027</v>
      </c>
      <c r="CB143" s="56">
        <f t="shared" ca="1" si="35"/>
        <v>6.2618866333462684</v>
      </c>
      <c r="CC143" s="56">
        <f t="shared" ca="1" si="35"/>
        <v>6.1252322538786892</v>
      </c>
      <c r="CD143" s="56">
        <f t="shared" ca="1" si="35"/>
        <v>6.006202950257812</v>
      </c>
      <c r="CE143" s="56">
        <f t="shared" ca="1" si="35"/>
        <v>5.9050527370160673</v>
      </c>
      <c r="CF143" s="56">
        <f t="shared" ca="1" si="35"/>
        <v>5.821997473806011</v>
      </c>
      <c r="CG143" s="56">
        <f t="shared" ca="1" si="35"/>
        <v>5.7572144047449214</v>
      </c>
      <c r="CH143" s="56">
        <f t="shared" ca="1" si="35"/>
        <v>5.710841780166934</v>
      </c>
      <c r="CI143" s="56">
        <f t="shared" ca="1" si="35"/>
        <v>5.6829785615898594</v>
      </c>
      <c r="CJ143" s="56">
        <f t="shared" ca="1" si="35"/>
        <v>5.6736842105263143</v>
      </c>
      <c r="CK143" s="56">
        <f t="shared" ca="1" si="35"/>
        <v>5.6736842105263143</v>
      </c>
      <c r="CL143" s="56">
        <f t="shared" ca="1" si="35"/>
        <v>5.6736842105263143</v>
      </c>
      <c r="CM143" s="56">
        <f t="shared" ca="1" si="35"/>
        <v>5.6736842105263143</v>
      </c>
      <c r="CN143" s="56">
        <f t="shared" ca="1" si="35"/>
        <v>5.6736842105263143</v>
      </c>
      <c r="CO143" s="56">
        <f t="shared" ca="1" si="35"/>
        <v>5.6736842105263143</v>
      </c>
      <c r="CP143" s="56">
        <f t="shared" ca="1" si="35"/>
        <v>5.6736842105263143</v>
      </c>
      <c r="CQ143" s="56">
        <f t="shared" ca="1" si="35"/>
        <v>5.6736842105263143</v>
      </c>
      <c r="CR143" s="56">
        <f t="shared" ca="1" si="35"/>
        <v>5.6736842105263143</v>
      </c>
      <c r="CS143" s="56">
        <f t="shared" ca="1" si="35"/>
        <v>5.6736842105263143</v>
      </c>
      <c r="CT143" s="56">
        <f t="shared" ca="1" si="35"/>
        <v>5.6736842105263143</v>
      </c>
      <c r="CU143" s="56">
        <f t="shared" ca="1" si="35"/>
        <v>5.6736842105263143</v>
      </c>
      <c r="CV143" s="56">
        <f t="shared" ca="1" si="35"/>
        <v>5.6736842105263143</v>
      </c>
      <c r="CW143" s="56">
        <f t="shared" ca="1" si="35"/>
        <v>5.6736842105263143</v>
      </c>
      <c r="CX143" s="56">
        <f t="shared" ca="1" si="35"/>
        <v>5.6736842105263143</v>
      </c>
      <c r="CY143" s="56">
        <f t="shared" ca="1" si="35"/>
        <v>5.6736842105263143</v>
      </c>
      <c r="CZ143" s="56">
        <f t="shared" ca="1" si="35"/>
        <v>5.6736842105263143</v>
      </c>
      <c r="DA143" s="56">
        <f t="shared" ca="1" si="35"/>
        <v>5.6736842105263143</v>
      </c>
      <c r="DB143" s="56">
        <f t="shared" ca="1" si="35"/>
        <v>5.6736842105263143</v>
      </c>
      <c r="DC143" s="56">
        <f t="shared" ref="DC143:EH143" ca="1" si="36">$D115+($K115-$D115)*(1-COS(PI()*MIN(MAX((DC$139-($B$82-1))/$B$83,0),1)))/2</f>
        <v>5.6736842105263143</v>
      </c>
      <c r="DD143" s="56">
        <f t="shared" ca="1" si="36"/>
        <v>5.6736842105263143</v>
      </c>
      <c r="DE143" s="56">
        <f t="shared" ca="1" si="36"/>
        <v>5.6736842105263143</v>
      </c>
      <c r="DF143" s="56">
        <f t="shared" ca="1" si="36"/>
        <v>5.6736842105263143</v>
      </c>
      <c r="DG143" s="56">
        <f t="shared" ca="1" si="36"/>
        <v>5.6736842105263143</v>
      </c>
      <c r="DH143" s="56">
        <f t="shared" ca="1" si="36"/>
        <v>5.6736842105263143</v>
      </c>
      <c r="DI143" s="56">
        <f t="shared" ca="1" si="36"/>
        <v>5.6736842105263143</v>
      </c>
      <c r="DJ143" s="56">
        <f t="shared" ca="1" si="36"/>
        <v>5.6736842105263143</v>
      </c>
      <c r="DK143" s="56">
        <f t="shared" ca="1" si="36"/>
        <v>5.6736842105263143</v>
      </c>
      <c r="DL143" s="56">
        <f t="shared" ca="1" si="36"/>
        <v>5.6736842105263143</v>
      </c>
      <c r="DM143" s="56">
        <f t="shared" ca="1" si="36"/>
        <v>5.6736842105263143</v>
      </c>
      <c r="DN143" s="56">
        <f t="shared" ca="1" si="36"/>
        <v>5.6736842105263143</v>
      </c>
      <c r="DO143" s="56">
        <f t="shared" ca="1" si="36"/>
        <v>5.6736842105263143</v>
      </c>
      <c r="DP143" s="56">
        <f t="shared" ca="1" si="36"/>
        <v>5.6736842105263143</v>
      </c>
      <c r="DQ143" s="56">
        <f t="shared" ca="1" si="36"/>
        <v>5.6736842105263143</v>
      </c>
      <c r="DR143" s="56">
        <f t="shared" ca="1" si="36"/>
        <v>5.6736842105263143</v>
      </c>
      <c r="DS143" s="56">
        <f t="shared" ca="1" si="36"/>
        <v>5.6736842105263143</v>
      </c>
      <c r="DT143" s="56">
        <f t="shared" ca="1" si="36"/>
        <v>5.6736842105263143</v>
      </c>
      <c r="DU143" s="56">
        <f t="shared" ca="1" si="36"/>
        <v>5.6736842105263143</v>
      </c>
      <c r="DV143" s="56">
        <f t="shared" ca="1" si="36"/>
        <v>5.6736842105263143</v>
      </c>
      <c r="DW143" s="56">
        <f t="shared" ca="1" si="36"/>
        <v>5.6736842105263143</v>
      </c>
      <c r="DX143" s="56">
        <f t="shared" ca="1" si="36"/>
        <v>5.6736842105263143</v>
      </c>
      <c r="DY143" s="56">
        <f t="shared" ca="1" si="36"/>
        <v>5.6736842105263143</v>
      </c>
      <c r="DZ143" s="56">
        <f t="shared" ca="1" si="36"/>
        <v>5.6736842105263143</v>
      </c>
      <c r="EA143" s="56">
        <f t="shared" ca="1" si="36"/>
        <v>5.6736842105263143</v>
      </c>
      <c r="EB143" s="56">
        <f t="shared" ca="1" si="36"/>
        <v>5.6736842105263143</v>
      </c>
      <c r="EC143" s="56">
        <f t="shared" ca="1" si="36"/>
        <v>5.6736842105263143</v>
      </c>
      <c r="ED143" s="56">
        <f t="shared" ca="1" si="36"/>
        <v>5.6736842105263143</v>
      </c>
      <c r="EE143" s="56">
        <f t="shared" ca="1" si="36"/>
        <v>5.6736842105263143</v>
      </c>
      <c r="EF143" s="56">
        <f t="shared" ca="1" si="36"/>
        <v>5.6736842105263143</v>
      </c>
      <c r="EG143" s="56">
        <f t="shared" ca="1" si="36"/>
        <v>5.6736842105263143</v>
      </c>
      <c r="EH143" s="56">
        <f t="shared" ca="1" si="36"/>
        <v>5.6736842105263143</v>
      </c>
      <c r="EI143" s="56">
        <f t="shared" ref="EI143:FN143" ca="1" si="37">$D115+($K115-$D115)*(1-COS(PI()*MIN(MAX((EI$139-($B$82-1))/$B$83,0),1)))/2</f>
        <v>5.6736842105263143</v>
      </c>
      <c r="EJ143" s="56">
        <f t="shared" ca="1" si="37"/>
        <v>5.6736842105263143</v>
      </c>
      <c r="EK143" s="56">
        <f t="shared" ca="1" si="37"/>
        <v>5.6736842105263143</v>
      </c>
      <c r="EL143" s="56">
        <f t="shared" ca="1" si="37"/>
        <v>5.6736842105263143</v>
      </c>
      <c r="EM143" s="56">
        <f t="shared" ca="1" si="37"/>
        <v>5.6736842105263143</v>
      </c>
      <c r="EN143" s="56">
        <f t="shared" ca="1" si="37"/>
        <v>5.6736842105263143</v>
      </c>
      <c r="EO143" s="56">
        <f t="shared" ca="1" si="37"/>
        <v>5.6736842105263143</v>
      </c>
      <c r="EP143" s="56">
        <f t="shared" ca="1" si="37"/>
        <v>5.6736842105263143</v>
      </c>
      <c r="EQ143" s="56">
        <f t="shared" ca="1" si="37"/>
        <v>5.6736842105263143</v>
      </c>
      <c r="ER143" s="56">
        <f t="shared" ca="1" si="37"/>
        <v>5.6736842105263143</v>
      </c>
      <c r="ES143" s="56">
        <f t="shared" ca="1" si="37"/>
        <v>5.6736842105263143</v>
      </c>
      <c r="ET143" s="56">
        <f t="shared" ca="1" si="37"/>
        <v>5.6736842105263143</v>
      </c>
      <c r="EU143" s="56">
        <f t="shared" ca="1" si="37"/>
        <v>5.6736842105263143</v>
      </c>
      <c r="EV143" s="56">
        <f t="shared" ca="1" si="37"/>
        <v>5.6736842105263143</v>
      </c>
      <c r="EW143" s="56">
        <f t="shared" ca="1" si="37"/>
        <v>5.6736842105263143</v>
      </c>
      <c r="EX143" s="56">
        <f t="shared" ca="1" si="37"/>
        <v>5.6736842105263143</v>
      </c>
      <c r="EY143" s="56">
        <f t="shared" ca="1" si="37"/>
        <v>5.6736842105263143</v>
      </c>
      <c r="EZ143" s="56">
        <f t="shared" ca="1" si="37"/>
        <v>5.6736842105263143</v>
      </c>
      <c r="FA143" s="56">
        <f t="shared" ca="1" si="37"/>
        <v>5.6736842105263143</v>
      </c>
      <c r="FB143" s="56">
        <f t="shared" ca="1" si="37"/>
        <v>5.6736842105263143</v>
      </c>
      <c r="FC143" s="56">
        <f t="shared" ca="1" si="37"/>
        <v>5.6736842105263143</v>
      </c>
      <c r="FD143" s="56">
        <f t="shared" ca="1" si="37"/>
        <v>5.6736842105263143</v>
      </c>
      <c r="FE143" s="56">
        <f t="shared" ca="1" si="37"/>
        <v>5.6736842105263143</v>
      </c>
      <c r="FF143" s="56">
        <f t="shared" ca="1" si="37"/>
        <v>5.6736842105263143</v>
      </c>
      <c r="FG143" s="56">
        <f t="shared" ca="1" si="37"/>
        <v>5.6736842105263143</v>
      </c>
      <c r="FH143" s="56">
        <f t="shared" ca="1" si="37"/>
        <v>5.6736842105263143</v>
      </c>
      <c r="FI143" s="56">
        <f t="shared" ca="1" si="37"/>
        <v>5.6736842105263143</v>
      </c>
      <c r="FJ143" s="56">
        <f t="shared" ca="1" si="37"/>
        <v>5.6736842105263143</v>
      </c>
      <c r="FK143" s="56">
        <f t="shared" ca="1" si="37"/>
        <v>5.6736842105263143</v>
      </c>
      <c r="FL143" s="56">
        <f t="shared" ca="1" si="37"/>
        <v>5.6736842105263143</v>
      </c>
      <c r="FM143" s="56">
        <f t="shared" ca="1" si="37"/>
        <v>5.6736842105263143</v>
      </c>
      <c r="FN143" s="56">
        <f t="shared" ca="1" si="37"/>
        <v>5.6736842105263143</v>
      </c>
      <c r="FO143" s="56">
        <f t="shared" ref="FO143:GP143" ca="1" si="38">$D115+($K115-$D115)*(1-COS(PI()*MIN(MAX((FO$139-($B$82-1))/$B$83,0),1)))/2</f>
        <v>5.6736842105263143</v>
      </c>
      <c r="FP143" s="56">
        <f t="shared" ca="1" si="38"/>
        <v>5.6736842105263143</v>
      </c>
      <c r="FQ143" s="56">
        <f t="shared" ca="1" si="38"/>
        <v>5.6736842105263143</v>
      </c>
      <c r="FR143" s="56">
        <f t="shared" ca="1" si="38"/>
        <v>5.6736842105263143</v>
      </c>
      <c r="FS143" s="56">
        <f t="shared" ca="1" si="38"/>
        <v>5.6736842105263143</v>
      </c>
      <c r="FT143" s="56">
        <f t="shared" ca="1" si="38"/>
        <v>5.6736842105263143</v>
      </c>
      <c r="FU143" s="56">
        <f t="shared" ca="1" si="38"/>
        <v>5.6736842105263143</v>
      </c>
      <c r="FV143" s="56">
        <f t="shared" ca="1" si="38"/>
        <v>5.6736842105263143</v>
      </c>
      <c r="FW143" s="56">
        <f t="shared" ca="1" si="38"/>
        <v>5.6736842105263143</v>
      </c>
      <c r="FX143" s="56">
        <f t="shared" ca="1" si="38"/>
        <v>5.6736842105263143</v>
      </c>
      <c r="FY143" s="56">
        <f t="shared" ca="1" si="38"/>
        <v>5.6736842105263143</v>
      </c>
      <c r="FZ143" s="56">
        <f t="shared" ca="1" si="38"/>
        <v>5.6736842105263143</v>
      </c>
      <c r="GA143" s="56">
        <f t="shared" ca="1" si="38"/>
        <v>5.6736842105263143</v>
      </c>
      <c r="GB143" s="56">
        <f t="shared" ca="1" si="38"/>
        <v>5.6736842105263143</v>
      </c>
      <c r="GC143" s="56">
        <f t="shared" ca="1" si="38"/>
        <v>5.6736842105263143</v>
      </c>
      <c r="GD143" s="56">
        <f t="shared" ca="1" si="38"/>
        <v>5.6736842105263143</v>
      </c>
      <c r="GE143" s="56">
        <f t="shared" ca="1" si="38"/>
        <v>5.6736842105263143</v>
      </c>
      <c r="GF143" s="56">
        <f t="shared" ca="1" si="38"/>
        <v>5.6736842105263143</v>
      </c>
      <c r="GG143" s="56">
        <f t="shared" ca="1" si="38"/>
        <v>5.6736842105263143</v>
      </c>
      <c r="GH143" s="56">
        <f t="shared" ca="1" si="38"/>
        <v>5.6736842105263143</v>
      </c>
      <c r="GI143" s="56">
        <f t="shared" ca="1" si="38"/>
        <v>5.6736842105263143</v>
      </c>
      <c r="GJ143" s="56">
        <f t="shared" ca="1" si="38"/>
        <v>5.6736842105263143</v>
      </c>
      <c r="GK143" s="56">
        <f t="shared" ca="1" si="38"/>
        <v>5.6736842105263143</v>
      </c>
      <c r="GL143" s="56">
        <f t="shared" ca="1" si="38"/>
        <v>5.6736842105263143</v>
      </c>
      <c r="GM143" s="56">
        <f t="shared" ca="1" si="38"/>
        <v>5.6736842105263143</v>
      </c>
      <c r="GN143" s="56">
        <f t="shared" ca="1" si="38"/>
        <v>5.6736842105263143</v>
      </c>
      <c r="GO143" s="56">
        <f t="shared" ca="1" si="38"/>
        <v>5.6736842105263143</v>
      </c>
      <c r="GP143" s="56">
        <f t="shared" ca="1" si="38"/>
        <v>5.6736842105263143</v>
      </c>
    </row>
    <row r="144" spans="1:198" x14ac:dyDescent="0.35">
      <c r="A144" s="55" t="str">
        <f t="shared" si="26"/>
        <v>UK &gt; available now</v>
      </c>
      <c r="B144" s="55" t="s">
        <v>297</v>
      </c>
      <c r="K144" s="56">
        <f t="shared" ref="K144:AP144" ca="1" si="39">$D116+($K116-$D116)*(1-COS(PI()*MIN(MAX((K$139-($B$82-1))/$B$83,0),1)))/2</f>
        <v>25.115789473684206</v>
      </c>
      <c r="L144" s="56">
        <f t="shared" ca="1" si="39"/>
        <v>25.115789473684206</v>
      </c>
      <c r="M144" s="56">
        <f t="shared" ca="1" si="39"/>
        <v>25.115789473684206</v>
      </c>
      <c r="N144" s="56">
        <f t="shared" ca="1" si="39"/>
        <v>25.115789473684206</v>
      </c>
      <c r="O144" s="56">
        <f t="shared" ca="1" si="39"/>
        <v>25.115789473684206</v>
      </c>
      <c r="P144" s="56">
        <f t="shared" ca="1" si="39"/>
        <v>25.115789473684206</v>
      </c>
      <c r="Q144" s="56">
        <f t="shared" ca="1" si="39"/>
        <v>25.115789473684206</v>
      </c>
      <c r="R144" s="56">
        <f t="shared" ca="1" si="39"/>
        <v>25.115789473684206</v>
      </c>
      <c r="S144" s="56">
        <f t="shared" ca="1" si="39"/>
        <v>25.115789473684206</v>
      </c>
      <c r="T144" s="56">
        <f t="shared" ca="1" si="39"/>
        <v>25.115789473684206</v>
      </c>
      <c r="U144" s="56">
        <f t="shared" ca="1" si="39"/>
        <v>25.106281717581133</v>
      </c>
      <c r="V144" s="56">
        <f t="shared" ca="1" si="39"/>
        <v>25.077778739302591</v>
      </c>
      <c r="W144" s="56">
        <f t="shared" ca="1" si="39"/>
        <v>25.030341365640641</v>
      </c>
      <c r="X144" s="56">
        <f t="shared" ca="1" si="39"/>
        <v>24.964070830341289</v>
      </c>
      <c r="Y144" s="56">
        <f t="shared" ca="1" si="39"/>
        <v>24.879108558066591</v>
      </c>
      <c r="Z144" s="56">
        <f t="shared" ca="1" si="39"/>
        <v>24.775635862587272</v>
      </c>
      <c r="AA144" s="56">
        <f t="shared" ca="1" si="39"/>
        <v>24.653873559850023</v>
      </c>
      <c r="AB144" s="56">
        <f t="shared" ca="1" si="39"/>
        <v>24.514081496745124</v>
      </c>
      <c r="AC144" s="56">
        <f t="shared" ca="1" si="39"/>
        <v>24.356557996580097</v>
      </c>
      <c r="AD144" s="56">
        <f t="shared" ca="1" si="39"/>
        <v>24.181639222442737</v>
      </c>
      <c r="AE144" s="56">
        <f t="shared" ca="1" si="39"/>
        <v>23.989698459812121</v>
      </c>
      <c r="AF144" s="56">
        <f t="shared" ca="1" si="39"/>
        <v>23.78114531994861</v>
      </c>
      <c r="AG144" s="56">
        <f t="shared" ca="1" si="39"/>
        <v>23.556424865762764</v>
      </c>
      <c r="AH144" s="56">
        <f t="shared" ca="1" si="39"/>
        <v>23.316016662028659</v>
      </c>
      <c r="AI144" s="56">
        <f t="shared" ca="1" si="39"/>
        <v>23.060433751968489</v>
      </c>
      <c r="AJ144" s="56">
        <f t="shared" ca="1" si="39"/>
        <v>22.7902215623925</v>
      </c>
      <c r="AK144" s="56">
        <f t="shared" ca="1" si="39"/>
        <v>22.505956739730653</v>
      </c>
      <c r="AL144" s="56">
        <f t="shared" ca="1" si="39"/>
        <v>22.20824591944011</v>
      </c>
      <c r="AM144" s="56">
        <f t="shared" ca="1" si="39"/>
        <v>21.897724431414577</v>
      </c>
      <c r="AN144" s="56">
        <f t="shared" ca="1" si="39"/>
        <v>21.575054944158317</v>
      </c>
      <c r="AO144" s="56">
        <f t="shared" ca="1" si="39"/>
        <v>21.240926050618143</v>
      </c>
      <c r="AP144" s="56">
        <f t="shared" ca="1" si="39"/>
        <v>20.896050798691384</v>
      </c>
      <c r="AQ144" s="56">
        <f t="shared" ref="AQ144:BV144" ca="1" si="40">$D116+($K116-$D116)*(1-COS(PI()*MIN(MAX((AQ$139-($B$82-1))/$B$83,0),1)))/2</f>
        <v>20.541165169545721</v>
      </c>
      <c r="AR144" s="56">
        <f t="shared" ca="1" si="40"/>
        <v>20.17702650699831</v>
      </c>
      <c r="AS144" s="56">
        <f t="shared" ca="1" si="40"/>
        <v>19.80441190130588</v>
      </c>
      <c r="AT144" s="56">
        <f t="shared" ca="1" si="40"/>
        <v>19.424116530814999</v>
      </c>
      <c r="AU144" s="56">
        <f t="shared" ca="1" si="40"/>
        <v>19.036951965011362</v>
      </c>
      <c r="AV144" s="56">
        <f t="shared" ca="1" si="40"/>
        <v>18.643744432589664</v>
      </c>
      <c r="AW144" s="56">
        <f t="shared" ca="1" si="40"/>
        <v>18.245333058239876</v>
      </c>
      <c r="AX144" s="56">
        <f t="shared" ca="1" si="40"/>
        <v>17.842568071912915</v>
      </c>
      <c r="AY144" s="56">
        <f t="shared" ca="1" si="40"/>
        <v>17.436308994387034</v>
      </c>
      <c r="AZ144" s="56">
        <f t="shared" ca="1" si="40"/>
        <v>17.027422803007209</v>
      </c>
      <c r="BA144" s="56">
        <f t="shared" ca="1" si="40"/>
        <v>16.616782081511772</v>
      </c>
      <c r="BB144" s="56">
        <f t="shared" ca="1" si="40"/>
        <v>16.205263157894734</v>
      </c>
      <c r="BC144" s="56">
        <f t="shared" ca="1" si="40"/>
        <v>15.793744234277698</v>
      </c>
      <c r="BD144" s="56">
        <f t="shared" ca="1" si="40"/>
        <v>15.383103512782261</v>
      </c>
      <c r="BE144" s="56">
        <f t="shared" ca="1" si="40"/>
        <v>14.974217321402438</v>
      </c>
      <c r="BF144" s="56">
        <f t="shared" ca="1" si="40"/>
        <v>14.567958243876557</v>
      </c>
      <c r="BG144" s="56">
        <f t="shared" ca="1" si="40"/>
        <v>14.165193257549594</v>
      </c>
      <c r="BH144" s="56">
        <f t="shared" ca="1" si="40"/>
        <v>13.766781883199807</v>
      </c>
      <c r="BI144" s="56">
        <f t="shared" ca="1" si="40"/>
        <v>13.373574350778107</v>
      </c>
      <c r="BJ144" s="56">
        <f t="shared" ca="1" si="40"/>
        <v>12.986409784974473</v>
      </c>
      <c r="BK144" s="56">
        <f t="shared" ca="1" si="40"/>
        <v>12.606114414483587</v>
      </c>
      <c r="BL144" s="56">
        <f t="shared" ca="1" si="40"/>
        <v>12.23349980879116</v>
      </c>
      <c r="BM144" s="56">
        <f t="shared" ca="1" si="40"/>
        <v>11.869361146243747</v>
      </c>
      <c r="BN144" s="56">
        <f t="shared" ca="1" si="40"/>
        <v>11.514475517098086</v>
      </c>
      <c r="BO144" s="56">
        <f t="shared" ca="1" si="40"/>
        <v>11.169600265171324</v>
      </c>
      <c r="BP144" s="56">
        <f t="shared" ca="1" si="40"/>
        <v>10.835471371631151</v>
      </c>
      <c r="BQ144" s="56">
        <f t="shared" ca="1" si="40"/>
        <v>10.512801884374891</v>
      </c>
      <c r="BR144" s="56">
        <f t="shared" ca="1" si="40"/>
        <v>10.202280396349359</v>
      </c>
      <c r="BS144" s="56">
        <f t="shared" ca="1" si="40"/>
        <v>9.9045695760588153</v>
      </c>
      <c r="BT144" s="56">
        <f t="shared" ca="1" si="40"/>
        <v>9.6203047533969688</v>
      </c>
      <c r="BU144" s="56">
        <f t="shared" ca="1" si="40"/>
        <v>9.3500925638209758</v>
      </c>
      <c r="BV144" s="56">
        <f t="shared" ca="1" si="40"/>
        <v>9.094509653760813</v>
      </c>
      <c r="BW144" s="56">
        <f t="shared" ref="BW144:DB144" ca="1" si="41">$D116+($K116-$D116)*(1-COS(PI()*MIN(MAX((BW$139-($B$82-1))/$B$83,0),1)))/2</f>
        <v>8.8541014500267075</v>
      </c>
      <c r="BX144" s="56">
        <f t="shared" ca="1" si="41"/>
        <v>8.629380995840858</v>
      </c>
      <c r="BY144" s="56">
        <f t="shared" ca="1" si="41"/>
        <v>8.4208278559773468</v>
      </c>
      <c r="BZ144" s="56">
        <f t="shared" ca="1" si="41"/>
        <v>8.2288870933467351</v>
      </c>
      <c r="CA144" s="56">
        <f t="shared" ca="1" si="41"/>
        <v>8.0539683192093712</v>
      </c>
      <c r="CB144" s="56">
        <f t="shared" ca="1" si="41"/>
        <v>7.8964448190443441</v>
      </c>
      <c r="CC144" s="56">
        <f t="shared" ca="1" si="41"/>
        <v>7.7566527559394451</v>
      </c>
      <c r="CD144" s="56">
        <f t="shared" ca="1" si="41"/>
        <v>7.6348904532021962</v>
      </c>
      <c r="CE144" s="56">
        <f t="shared" ca="1" si="41"/>
        <v>7.5314177577228776</v>
      </c>
      <c r="CF144" s="56">
        <f t="shared" ca="1" si="41"/>
        <v>7.4464554854481797</v>
      </c>
      <c r="CG144" s="56">
        <f t="shared" ca="1" si="41"/>
        <v>7.3801849501488306</v>
      </c>
      <c r="CH144" s="56">
        <f t="shared" ca="1" si="41"/>
        <v>7.3327475764868773</v>
      </c>
      <c r="CI144" s="56">
        <f t="shared" ca="1" si="41"/>
        <v>7.3042445982083315</v>
      </c>
      <c r="CJ144" s="56">
        <f t="shared" ca="1" si="41"/>
        <v>7.2947368421052623</v>
      </c>
      <c r="CK144" s="56">
        <f t="shared" ca="1" si="41"/>
        <v>7.2947368421052623</v>
      </c>
      <c r="CL144" s="56">
        <f t="shared" ca="1" si="41"/>
        <v>7.2947368421052623</v>
      </c>
      <c r="CM144" s="56">
        <f t="shared" ca="1" si="41"/>
        <v>7.2947368421052623</v>
      </c>
      <c r="CN144" s="56">
        <f t="shared" ca="1" si="41"/>
        <v>7.2947368421052623</v>
      </c>
      <c r="CO144" s="56">
        <f t="shared" ca="1" si="41"/>
        <v>7.2947368421052623</v>
      </c>
      <c r="CP144" s="56">
        <f t="shared" ca="1" si="41"/>
        <v>7.2947368421052623</v>
      </c>
      <c r="CQ144" s="56">
        <f t="shared" ca="1" si="41"/>
        <v>7.2947368421052623</v>
      </c>
      <c r="CR144" s="56">
        <f t="shared" ca="1" si="41"/>
        <v>7.2947368421052623</v>
      </c>
      <c r="CS144" s="56">
        <f t="shared" ca="1" si="41"/>
        <v>7.2947368421052623</v>
      </c>
      <c r="CT144" s="56">
        <f t="shared" ca="1" si="41"/>
        <v>7.2947368421052623</v>
      </c>
      <c r="CU144" s="56">
        <f t="shared" ca="1" si="41"/>
        <v>7.2947368421052623</v>
      </c>
      <c r="CV144" s="56">
        <f t="shared" ca="1" si="41"/>
        <v>7.2947368421052623</v>
      </c>
      <c r="CW144" s="56">
        <f t="shared" ca="1" si="41"/>
        <v>7.2947368421052623</v>
      </c>
      <c r="CX144" s="56">
        <f t="shared" ca="1" si="41"/>
        <v>7.2947368421052623</v>
      </c>
      <c r="CY144" s="56">
        <f t="shared" ca="1" si="41"/>
        <v>7.2947368421052623</v>
      </c>
      <c r="CZ144" s="56">
        <f t="shared" ca="1" si="41"/>
        <v>7.2947368421052623</v>
      </c>
      <c r="DA144" s="56">
        <f t="shared" ca="1" si="41"/>
        <v>7.2947368421052623</v>
      </c>
      <c r="DB144" s="56">
        <f t="shared" ca="1" si="41"/>
        <v>7.2947368421052623</v>
      </c>
      <c r="DC144" s="56">
        <f t="shared" ref="DC144:EH144" ca="1" si="42">$D116+($K116-$D116)*(1-COS(PI()*MIN(MAX((DC$139-($B$82-1))/$B$83,0),1)))/2</f>
        <v>7.2947368421052623</v>
      </c>
      <c r="DD144" s="56">
        <f t="shared" ca="1" si="42"/>
        <v>7.2947368421052623</v>
      </c>
      <c r="DE144" s="56">
        <f t="shared" ca="1" si="42"/>
        <v>7.2947368421052623</v>
      </c>
      <c r="DF144" s="56">
        <f t="shared" ca="1" si="42"/>
        <v>7.2947368421052623</v>
      </c>
      <c r="DG144" s="56">
        <f t="shared" ca="1" si="42"/>
        <v>7.2947368421052623</v>
      </c>
      <c r="DH144" s="56">
        <f t="shared" ca="1" si="42"/>
        <v>7.2947368421052623</v>
      </c>
      <c r="DI144" s="56">
        <f t="shared" ca="1" si="42"/>
        <v>7.2947368421052623</v>
      </c>
      <c r="DJ144" s="56">
        <f t="shared" ca="1" si="42"/>
        <v>7.2947368421052623</v>
      </c>
      <c r="DK144" s="56">
        <f t="shared" ca="1" si="42"/>
        <v>7.2947368421052623</v>
      </c>
      <c r="DL144" s="56">
        <f t="shared" ca="1" si="42"/>
        <v>7.2947368421052623</v>
      </c>
      <c r="DM144" s="56">
        <f t="shared" ca="1" si="42"/>
        <v>7.2947368421052623</v>
      </c>
      <c r="DN144" s="56">
        <f t="shared" ca="1" si="42"/>
        <v>7.2947368421052623</v>
      </c>
      <c r="DO144" s="56">
        <f t="shared" ca="1" si="42"/>
        <v>7.2947368421052623</v>
      </c>
      <c r="DP144" s="56">
        <f t="shared" ca="1" si="42"/>
        <v>7.2947368421052623</v>
      </c>
      <c r="DQ144" s="56">
        <f t="shared" ca="1" si="42"/>
        <v>7.2947368421052623</v>
      </c>
      <c r="DR144" s="56">
        <f t="shared" ca="1" si="42"/>
        <v>7.2947368421052623</v>
      </c>
      <c r="DS144" s="56">
        <f t="shared" ca="1" si="42"/>
        <v>7.2947368421052623</v>
      </c>
      <c r="DT144" s="56">
        <f t="shared" ca="1" si="42"/>
        <v>7.2947368421052623</v>
      </c>
      <c r="DU144" s="56">
        <f t="shared" ca="1" si="42"/>
        <v>7.2947368421052623</v>
      </c>
      <c r="DV144" s="56">
        <f t="shared" ca="1" si="42"/>
        <v>7.2947368421052623</v>
      </c>
      <c r="DW144" s="56">
        <f t="shared" ca="1" si="42"/>
        <v>7.2947368421052623</v>
      </c>
      <c r="DX144" s="56">
        <f t="shared" ca="1" si="42"/>
        <v>7.2947368421052623</v>
      </c>
      <c r="DY144" s="56">
        <f t="shared" ca="1" si="42"/>
        <v>7.2947368421052623</v>
      </c>
      <c r="DZ144" s="56">
        <f t="shared" ca="1" si="42"/>
        <v>7.2947368421052623</v>
      </c>
      <c r="EA144" s="56">
        <f t="shared" ca="1" si="42"/>
        <v>7.2947368421052623</v>
      </c>
      <c r="EB144" s="56">
        <f t="shared" ca="1" si="42"/>
        <v>7.2947368421052623</v>
      </c>
      <c r="EC144" s="56">
        <f t="shared" ca="1" si="42"/>
        <v>7.2947368421052623</v>
      </c>
      <c r="ED144" s="56">
        <f t="shared" ca="1" si="42"/>
        <v>7.2947368421052623</v>
      </c>
      <c r="EE144" s="56">
        <f t="shared" ca="1" si="42"/>
        <v>7.2947368421052623</v>
      </c>
      <c r="EF144" s="56">
        <f t="shared" ca="1" si="42"/>
        <v>7.2947368421052623</v>
      </c>
      <c r="EG144" s="56">
        <f t="shared" ca="1" si="42"/>
        <v>7.2947368421052623</v>
      </c>
      <c r="EH144" s="56">
        <f t="shared" ca="1" si="42"/>
        <v>7.2947368421052623</v>
      </c>
      <c r="EI144" s="56">
        <f t="shared" ref="EI144:FN144" ca="1" si="43">$D116+($K116-$D116)*(1-COS(PI()*MIN(MAX((EI$139-($B$82-1))/$B$83,0),1)))/2</f>
        <v>7.2947368421052623</v>
      </c>
      <c r="EJ144" s="56">
        <f t="shared" ca="1" si="43"/>
        <v>7.2947368421052623</v>
      </c>
      <c r="EK144" s="56">
        <f t="shared" ca="1" si="43"/>
        <v>7.2947368421052623</v>
      </c>
      <c r="EL144" s="56">
        <f t="shared" ca="1" si="43"/>
        <v>7.2947368421052623</v>
      </c>
      <c r="EM144" s="56">
        <f t="shared" ca="1" si="43"/>
        <v>7.2947368421052623</v>
      </c>
      <c r="EN144" s="56">
        <f t="shared" ca="1" si="43"/>
        <v>7.2947368421052623</v>
      </c>
      <c r="EO144" s="56">
        <f t="shared" ca="1" si="43"/>
        <v>7.2947368421052623</v>
      </c>
      <c r="EP144" s="56">
        <f t="shared" ca="1" si="43"/>
        <v>7.2947368421052623</v>
      </c>
      <c r="EQ144" s="56">
        <f t="shared" ca="1" si="43"/>
        <v>7.2947368421052623</v>
      </c>
      <c r="ER144" s="56">
        <f t="shared" ca="1" si="43"/>
        <v>7.2947368421052623</v>
      </c>
      <c r="ES144" s="56">
        <f t="shared" ca="1" si="43"/>
        <v>7.2947368421052623</v>
      </c>
      <c r="ET144" s="56">
        <f t="shared" ca="1" si="43"/>
        <v>7.2947368421052623</v>
      </c>
      <c r="EU144" s="56">
        <f t="shared" ca="1" si="43"/>
        <v>7.2947368421052623</v>
      </c>
      <c r="EV144" s="56">
        <f t="shared" ca="1" si="43"/>
        <v>7.2947368421052623</v>
      </c>
      <c r="EW144" s="56">
        <f t="shared" ca="1" si="43"/>
        <v>7.2947368421052623</v>
      </c>
      <c r="EX144" s="56">
        <f t="shared" ca="1" si="43"/>
        <v>7.2947368421052623</v>
      </c>
      <c r="EY144" s="56">
        <f t="shared" ca="1" si="43"/>
        <v>7.2947368421052623</v>
      </c>
      <c r="EZ144" s="56">
        <f t="shared" ca="1" si="43"/>
        <v>7.2947368421052623</v>
      </c>
      <c r="FA144" s="56">
        <f t="shared" ca="1" si="43"/>
        <v>7.2947368421052623</v>
      </c>
      <c r="FB144" s="56">
        <f t="shared" ca="1" si="43"/>
        <v>7.2947368421052623</v>
      </c>
      <c r="FC144" s="56">
        <f t="shared" ca="1" si="43"/>
        <v>7.2947368421052623</v>
      </c>
      <c r="FD144" s="56">
        <f t="shared" ca="1" si="43"/>
        <v>7.2947368421052623</v>
      </c>
      <c r="FE144" s="56">
        <f t="shared" ca="1" si="43"/>
        <v>7.2947368421052623</v>
      </c>
      <c r="FF144" s="56">
        <f t="shared" ca="1" si="43"/>
        <v>7.2947368421052623</v>
      </c>
      <c r="FG144" s="56">
        <f t="shared" ca="1" si="43"/>
        <v>7.2947368421052623</v>
      </c>
      <c r="FH144" s="56">
        <f t="shared" ca="1" si="43"/>
        <v>7.2947368421052623</v>
      </c>
      <c r="FI144" s="56">
        <f t="shared" ca="1" si="43"/>
        <v>7.2947368421052623</v>
      </c>
      <c r="FJ144" s="56">
        <f t="shared" ca="1" si="43"/>
        <v>7.2947368421052623</v>
      </c>
      <c r="FK144" s="56">
        <f t="shared" ca="1" si="43"/>
        <v>7.2947368421052623</v>
      </c>
      <c r="FL144" s="56">
        <f t="shared" ca="1" si="43"/>
        <v>7.2947368421052623</v>
      </c>
      <c r="FM144" s="56">
        <f t="shared" ca="1" si="43"/>
        <v>7.2947368421052623</v>
      </c>
      <c r="FN144" s="56">
        <f t="shared" ca="1" si="43"/>
        <v>7.2947368421052623</v>
      </c>
      <c r="FO144" s="56">
        <f t="shared" ref="FO144:GP144" ca="1" si="44">$D116+($K116-$D116)*(1-COS(PI()*MIN(MAX((FO$139-($B$82-1))/$B$83,0),1)))/2</f>
        <v>7.2947368421052623</v>
      </c>
      <c r="FP144" s="56">
        <f t="shared" ca="1" si="44"/>
        <v>7.2947368421052623</v>
      </c>
      <c r="FQ144" s="56">
        <f t="shared" ca="1" si="44"/>
        <v>7.2947368421052623</v>
      </c>
      <c r="FR144" s="56">
        <f t="shared" ca="1" si="44"/>
        <v>7.2947368421052623</v>
      </c>
      <c r="FS144" s="56">
        <f t="shared" ca="1" si="44"/>
        <v>7.2947368421052623</v>
      </c>
      <c r="FT144" s="56">
        <f t="shared" ca="1" si="44"/>
        <v>7.2947368421052623</v>
      </c>
      <c r="FU144" s="56">
        <f t="shared" ca="1" si="44"/>
        <v>7.2947368421052623</v>
      </c>
      <c r="FV144" s="56">
        <f t="shared" ca="1" si="44"/>
        <v>7.2947368421052623</v>
      </c>
      <c r="FW144" s="56">
        <f t="shared" ca="1" si="44"/>
        <v>7.2947368421052623</v>
      </c>
      <c r="FX144" s="56">
        <f t="shared" ca="1" si="44"/>
        <v>7.2947368421052623</v>
      </c>
      <c r="FY144" s="56">
        <f t="shared" ca="1" si="44"/>
        <v>7.2947368421052623</v>
      </c>
      <c r="FZ144" s="56">
        <f t="shared" ca="1" si="44"/>
        <v>7.2947368421052623</v>
      </c>
      <c r="GA144" s="56">
        <f t="shared" ca="1" si="44"/>
        <v>7.2947368421052623</v>
      </c>
      <c r="GB144" s="56">
        <f t="shared" ca="1" si="44"/>
        <v>7.2947368421052623</v>
      </c>
      <c r="GC144" s="56">
        <f t="shared" ca="1" si="44"/>
        <v>7.2947368421052623</v>
      </c>
      <c r="GD144" s="56">
        <f t="shared" ca="1" si="44"/>
        <v>7.2947368421052623</v>
      </c>
      <c r="GE144" s="56">
        <f t="shared" ca="1" si="44"/>
        <v>7.2947368421052623</v>
      </c>
      <c r="GF144" s="56">
        <f t="shared" ca="1" si="44"/>
        <v>7.2947368421052623</v>
      </c>
      <c r="GG144" s="56">
        <f t="shared" ca="1" si="44"/>
        <v>7.2947368421052623</v>
      </c>
      <c r="GH144" s="56">
        <f t="shared" ca="1" si="44"/>
        <v>7.2947368421052623</v>
      </c>
      <c r="GI144" s="56">
        <f t="shared" ca="1" si="44"/>
        <v>7.2947368421052623</v>
      </c>
      <c r="GJ144" s="56">
        <f t="shared" ca="1" si="44"/>
        <v>7.2947368421052623</v>
      </c>
      <c r="GK144" s="56">
        <f t="shared" ca="1" si="44"/>
        <v>7.2947368421052623</v>
      </c>
      <c r="GL144" s="56">
        <f t="shared" ca="1" si="44"/>
        <v>7.2947368421052623</v>
      </c>
      <c r="GM144" s="56">
        <f t="shared" ca="1" si="44"/>
        <v>7.2947368421052623</v>
      </c>
      <c r="GN144" s="56">
        <f t="shared" ca="1" si="44"/>
        <v>7.2947368421052623</v>
      </c>
      <c r="GO144" s="56">
        <f t="shared" ca="1" si="44"/>
        <v>7.2947368421052623</v>
      </c>
      <c r="GP144" s="56">
        <f t="shared" ca="1" si="44"/>
        <v>7.2947368421052623</v>
      </c>
    </row>
    <row r="145" spans="1:198" x14ac:dyDescent="0.35">
      <c r="A145" s="55" t="str">
        <f t="shared" si="26"/>
        <v>LATAM &gt; available now</v>
      </c>
      <c r="B145" s="55" t="s">
        <v>297</v>
      </c>
      <c r="K145" s="56">
        <f t="shared" ref="K145:AP145" ca="1" si="45">$D117+($K117-$D117)*(1-COS(PI()*MIN(MAX((K$139-($B$82-1))/$B$83,0),1)))/2</f>
        <v>27.947368421052627</v>
      </c>
      <c r="L145" s="56">
        <f t="shared" ca="1" si="45"/>
        <v>27.947368421052627</v>
      </c>
      <c r="M145" s="56">
        <f t="shared" ca="1" si="45"/>
        <v>27.947368421052627</v>
      </c>
      <c r="N145" s="56">
        <f t="shared" ca="1" si="45"/>
        <v>27.947368421052627</v>
      </c>
      <c r="O145" s="56">
        <f t="shared" ca="1" si="45"/>
        <v>27.947368421052627</v>
      </c>
      <c r="P145" s="56">
        <f t="shared" ca="1" si="45"/>
        <v>27.947368421052627</v>
      </c>
      <c r="Q145" s="56">
        <f t="shared" ca="1" si="45"/>
        <v>27.947368421052627</v>
      </c>
      <c r="R145" s="56">
        <f t="shared" ca="1" si="45"/>
        <v>27.947368421052627</v>
      </c>
      <c r="S145" s="56">
        <f t="shared" ca="1" si="45"/>
        <v>27.947368421052627</v>
      </c>
      <c r="T145" s="56">
        <f t="shared" ca="1" si="45"/>
        <v>27.947368421052627</v>
      </c>
      <c r="U145" s="56">
        <f t="shared" ca="1" si="45"/>
        <v>27.936782407907742</v>
      </c>
      <c r="V145" s="56">
        <f t="shared" ca="1" si="45"/>
        <v>27.905046959558625</v>
      </c>
      <c r="W145" s="56">
        <f t="shared" ca="1" si="45"/>
        <v>27.852229801051372</v>
      </c>
      <c r="X145" s="56">
        <f t="shared" ca="1" si="45"/>
        <v>27.77844364686397</v>
      </c>
      <c r="Y145" s="56">
        <f t="shared" ca="1" si="45"/>
        <v>27.683845960367922</v>
      </c>
      <c r="Z145" s="56">
        <f t="shared" ca="1" si="45"/>
        <v>27.568638617793489</v>
      </c>
      <c r="AA145" s="56">
        <f t="shared" ca="1" si="45"/>
        <v>27.43306747741563</v>
      </c>
      <c r="AB145" s="56">
        <f t="shared" ca="1" si="45"/>
        <v>27.27742185488005</v>
      </c>
      <c r="AC145" s="56">
        <f t="shared" ca="1" si="45"/>
        <v>27.102033905789046</v>
      </c>
      <c r="AD145" s="56">
        <f t="shared" ca="1" si="45"/>
        <v>26.907277916864693</v>
      </c>
      <c r="AE145" s="56">
        <f t="shared" ca="1" si="45"/>
        <v>26.693569507202135</v>
      </c>
      <c r="AF145" s="56">
        <f t="shared" ca="1" si="45"/>
        <v>26.461364741317485</v>
      </c>
      <c r="AG145" s="56">
        <f t="shared" ca="1" si="45"/>
        <v>26.211159155883152</v>
      </c>
      <c r="AH145" s="56">
        <f t="shared" ca="1" si="45"/>
        <v>25.943486702227634</v>
      </c>
      <c r="AI145" s="56">
        <f t="shared" ca="1" si="45"/>
        <v>25.658918606856453</v>
      </c>
      <c r="AJ145" s="56">
        <f t="shared" ca="1" si="45"/>
        <v>25.358062152426008</v>
      </c>
      <c r="AK145" s="56">
        <f t="shared" ca="1" si="45"/>
        <v>25.041559381771798</v>
      </c>
      <c r="AL145" s="56">
        <f t="shared" ca="1" si="45"/>
        <v>24.710085727756628</v>
      </c>
      <c r="AM145" s="56">
        <f t="shared" ca="1" si="45"/>
        <v>24.364348571862877</v>
      </c>
      <c r="AN145" s="56">
        <f t="shared" ca="1" si="45"/>
        <v>24.005085734604723</v>
      </c>
      <c r="AO145" s="56">
        <f t="shared" ca="1" si="45"/>
        <v>23.633063900982027</v>
      </c>
      <c r="AP145" s="56">
        <f t="shared" ca="1" si="45"/>
        <v>23.249076984335868</v>
      </c>
      <c r="AQ145" s="56">
        <f t="shared" ref="AQ145:BV145" ca="1" si="46">$D117+($K117-$D117)*(1-COS(PI()*MIN(MAX((AQ$139-($B$82-1))/$B$83,0),1)))/2</f>
        <v>22.853944432097492</v>
      </c>
      <c r="AR145" s="56">
        <f t="shared" ca="1" si="46"/>
        <v>22.44850947704618</v>
      </c>
      <c r="AS145" s="56">
        <f t="shared" ca="1" si="46"/>
        <v>22.033637337808006</v>
      </c>
      <c r="AT145" s="56">
        <f t="shared" ca="1" si="46"/>
        <v>21.610213372435698</v>
      </c>
      <c r="AU145" s="56">
        <f t="shared" ca="1" si="46"/>
        <v>21.179141189009915</v>
      </c>
      <c r="AV145" s="56">
        <f t="shared" ca="1" si="46"/>
        <v>20.741340717294083</v>
      </c>
      <c r="AW145" s="56">
        <f t="shared" ca="1" si="46"/>
        <v>20.297746245557907</v>
      </c>
      <c r="AX145" s="56">
        <f t="shared" ca="1" si="46"/>
        <v>19.849304426759133</v>
      </c>
      <c r="AY145" s="56">
        <f t="shared" ca="1" si="46"/>
        <v>19.396972258338408</v>
      </c>
      <c r="AZ145" s="56">
        <f t="shared" ca="1" si="46"/>
        <v>18.941715039938543</v>
      </c>
      <c r="BA145" s="56">
        <f t="shared" ca="1" si="46"/>
        <v>18.484504313406415</v>
      </c>
      <c r="BB145" s="56">
        <f t="shared" ca="1" si="46"/>
        <v>18.026315789473685</v>
      </c>
      <c r="BC145" s="56">
        <f t="shared" ca="1" si="46"/>
        <v>17.568127265540951</v>
      </c>
      <c r="BD145" s="56">
        <f t="shared" ca="1" si="46"/>
        <v>17.110916539008819</v>
      </c>
      <c r="BE145" s="56">
        <f t="shared" ca="1" si="46"/>
        <v>16.655659320608954</v>
      </c>
      <c r="BF145" s="56">
        <f t="shared" ca="1" si="46"/>
        <v>16.203327152188233</v>
      </c>
      <c r="BG145" s="56">
        <f t="shared" ca="1" si="46"/>
        <v>15.75488533338946</v>
      </c>
      <c r="BH145" s="56">
        <f t="shared" ca="1" si="46"/>
        <v>15.311290861653282</v>
      </c>
      <c r="BI145" s="56">
        <f t="shared" ca="1" si="46"/>
        <v>14.873490389937448</v>
      </c>
      <c r="BJ145" s="56">
        <f t="shared" ca="1" si="46"/>
        <v>14.442418206511665</v>
      </c>
      <c r="BK145" s="56">
        <f t="shared" ca="1" si="46"/>
        <v>14.018994241139357</v>
      </c>
      <c r="BL145" s="56">
        <f t="shared" ca="1" si="46"/>
        <v>13.604122101901185</v>
      </c>
      <c r="BM145" s="56">
        <f t="shared" ca="1" si="46"/>
        <v>13.198687146849872</v>
      </c>
      <c r="BN145" s="56">
        <f t="shared" ca="1" si="46"/>
        <v>12.803554594611494</v>
      </c>
      <c r="BO145" s="56">
        <f t="shared" ca="1" si="46"/>
        <v>12.419567677965336</v>
      </c>
      <c r="BP145" s="56">
        <f t="shared" ca="1" si="46"/>
        <v>12.04754584434264</v>
      </c>
      <c r="BQ145" s="56">
        <f t="shared" ca="1" si="46"/>
        <v>11.68828300708449</v>
      </c>
      <c r="BR145" s="56">
        <f t="shared" ca="1" si="46"/>
        <v>11.342545851190732</v>
      </c>
      <c r="BS145" s="56">
        <f t="shared" ca="1" si="46"/>
        <v>11.011072197175569</v>
      </c>
      <c r="BT145" s="56">
        <f t="shared" ca="1" si="46"/>
        <v>10.694569426521355</v>
      </c>
      <c r="BU145" s="56">
        <f t="shared" ca="1" si="46"/>
        <v>10.39371297209091</v>
      </c>
      <c r="BV145" s="56">
        <f t="shared" ca="1" si="46"/>
        <v>10.109144876719729</v>
      </c>
      <c r="BW145" s="56">
        <f t="shared" ref="BW145:DB145" ca="1" si="47">$D117+($K117-$D117)*(1-COS(PI()*MIN(MAX((BW$139-($B$82-1))/$B$83,0),1)))/2</f>
        <v>9.8414724230642108</v>
      </c>
      <c r="BX145" s="56">
        <f t="shared" ca="1" si="47"/>
        <v>9.5912668376298811</v>
      </c>
      <c r="BY145" s="56">
        <f t="shared" ca="1" si="47"/>
        <v>9.3590620717452282</v>
      </c>
      <c r="BZ145" s="56">
        <f t="shared" ca="1" si="47"/>
        <v>9.1453536620826696</v>
      </c>
      <c r="CA145" s="56">
        <f t="shared" ca="1" si="47"/>
        <v>8.9505976731583168</v>
      </c>
      <c r="CB145" s="56">
        <f t="shared" ca="1" si="47"/>
        <v>8.775209724067313</v>
      </c>
      <c r="CC145" s="56">
        <f t="shared" ca="1" si="47"/>
        <v>8.6195641015317328</v>
      </c>
      <c r="CD145" s="56">
        <f t="shared" ca="1" si="47"/>
        <v>8.4839929611538736</v>
      </c>
      <c r="CE145" s="56">
        <f t="shared" ca="1" si="47"/>
        <v>8.3687856185794409</v>
      </c>
      <c r="CF145" s="56">
        <f t="shared" ca="1" si="47"/>
        <v>8.2741879320833931</v>
      </c>
      <c r="CG145" s="56">
        <f t="shared" ca="1" si="47"/>
        <v>8.2004017778959906</v>
      </c>
      <c r="CH145" s="56">
        <f t="shared" ca="1" si="47"/>
        <v>8.1475846193887378</v>
      </c>
      <c r="CI145" s="56">
        <f t="shared" ca="1" si="47"/>
        <v>8.1158491710396206</v>
      </c>
      <c r="CJ145" s="56">
        <f t="shared" ca="1" si="47"/>
        <v>8.1052631578947363</v>
      </c>
      <c r="CK145" s="56">
        <f t="shared" ca="1" si="47"/>
        <v>8.1052631578947363</v>
      </c>
      <c r="CL145" s="56">
        <f t="shared" ca="1" si="47"/>
        <v>8.1052631578947363</v>
      </c>
      <c r="CM145" s="56">
        <f t="shared" ca="1" si="47"/>
        <v>8.1052631578947363</v>
      </c>
      <c r="CN145" s="56">
        <f t="shared" ca="1" si="47"/>
        <v>8.1052631578947363</v>
      </c>
      <c r="CO145" s="56">
        <f t="shared" ca="1" si="47"/>
        <v>8.1052631578947363</v>
      </c>
      <c r="CP145" s="56">
        <f t="shared" ca="1" si="47"/>
        <v>8.1052631578947363</v>
      </c>
      <c r="CQ145" s="56">
        <f t="shared" ca="1" si="47"/>
        <v>8.1052631578947363</v>
      </c>
      <c r="CR145" s="56">
        <f t="shared" ca="1" si="47"/>
        <v>8.1052631578947363</v>
      </c>
      <c r="CS145" s="56">
        <f t="shared" ca="1" si="47"/>
        <v>8.1052631578947363</v>
      </c>
      <c r="CT145" s="56">
        <f t="shared" ca="1" si="47"/>
        <v>8.1052631578947363</v>
      </c>
      <c r="CU145" s="56">
        <f t="shared" ca="1" si="47"/>
        <v>8.1052631578947363</v>
      </c>
      <c r="CV145" s="56">
        <f t="shared" ca="1" si="47"/>
        <v>8.1052631578947363</v>
      </c>
      <c r="CW145" s="56">
        <f t="shared" ca="1" si="47"/>
        <v>8.1052631578947363</v>
      </c>
      <c r="CX145" s="56">
        <f t="shared" ca="1" si="47"/>
        <v>8.1052631578947363</v>
      </c>
      <c r="CY145" s="56">
        <f t="shared" ca="1" si="47"/>
        <v>8.1052631578947363</v>
      </c>
      <c r="CZ145" s="56">
        <f t="shared" ca="1" si="47"/>
        <v>8.1052631578947363</v>
      </c>
      <c r="DA145" s="56">
        <f t="shared" ca="1" si="47"/>
        <v>8.1052631578947363</v>
      </c>
      <c r="DB145" s="56">
        <f t="shared" ca="1" si="47"/>
        <v>8.1052631578947363</v>
      </c>
      <c r="DC145" s="56">
        <f t="shared" ref="DC145:EH145" ca="1" si="48">$D117+($K117-$D117)*(1-COS(PI()*MIN(MAX((DC$139-($B$82-1))/$B$83,0),1)))/2</f>
        <v>8.1052631578947363</v>
      </c>
      <c r="DD145" s="56">
        <f t="shared" ca="1" si="48"/>
        <v>8.1052631578947363</v>
      </c>
      <c r="DE145" s="56">
        <f t="shared" ca="1" si="48"/>
        <v>8.1052631578947363</v>
      </c>
      <c r="DF145" s="56">
        <f t="shared" ca="1" si="48"/>
        <v>8.1052631578947363</v>
      </c>
      <c r="DG145" s="56">
        <f t="shared" ca="1" si="48"/>
        <v>8.1052631578947363</v>
      </c>
      <c r="DH145" s="56">
        <f t="shared" ca="1" si="48"/>
        <v>8.1052631578947363</v>
      </c>
      <c r="DI145" s="56">
        <f t="shared" ca="1" si="48"/>
        <v>8.1052631578947363</v>
      </c>
      <c r="DJ145" s="56">
        <f t="shared" ca="1" si="48"/>
        <v>8.1052631578947363</v>
      </c>
      <c r="DK145" s="56">
        <f t="shared" ca="1" si="48"/>
        <v>8.1052631578947363</v>
      </c>
      <c r="DL145" s="56">
        <f t="shared" ca="1" si="48"/>
        <v>8.1052631578947363</v>
      </c>
      <c r="DM145" s="56">
        <f t="shared" ca="1" si="48"/>
        <v>8.1052631578947363</v>
      </c>
      <c r="DN145" s="56">
        <f t="shared" ca="1" si="48"/>
        <v>8.1052631578947363</v>
      </c>
      <c r="DO145" s="56">
        <f t="shared" ca="1" si="48"/>
        <v>8.1052631578947363</v>
      </c>
      <c r="DP145" s="56">
        <f t="shared" ca="1" si="48"/>
        <v>8.1052631578947363</v>
      </c>
      <c r="DQ145" s="56">
        <f t="shared" ca="1" si="48"/>
        <v>8.1052631578947363</v>
      </c>
      <c r="DR145" s="56">
        <f t="shared" ca="1" si="48"/>
        <v>8.1052631578947363</v>
      </c>
      <c r="DS145" s="56">
        <f t="shared" ca="1" si="48"/>
        <v>8.1052631578947363</v>
      </c>
      <c r="DT145" s="56">
        <f t="shared" ca="1" si="48"/>
        <v>8.1052631578947363</v>
      </c>
      <c r="DU145" s="56">
        <f t="shared" ca="1" si="48"/>
        <v>8.1052631578947363</v>
      </c>
      <c r="DV145" s="56">
        <f t="shared" ca="1" si="48"/>
        <v>8.1052631578947363</v>
      </c>
      <c r="DW145" s="56">
        <f t="shared" ca="1" si="48"/>
        <v>8.1052631578947363</v>
      </c>
      <c r="DX145" s="56">
        <f t="shared" ca="1" si="48"/>
        <v>8.1052631578947363</v>
      </c>
      <c r="DY145" s="56">
        <f t="shared" ca="1" si="48"/>
        <v>8.1052631578947363</v>
      </c>
      <c r="DZ145" s="56">
        <f t="shared" ca="1" si="48"/>
        <v>8.1052631578947363</v>
      </c>
      <c r="EA145" s="56">
        <f t="shared" ca="1" si="48"/>
        <v>8.1052631578947363</v>
      </c>
      <c r="EB145" s="56">
        <f t="shared" ca="1" si="48"/>
        <v>8.1052631578947363</v>
      </c>
      <c r="EC145" s="56">
        <f t="shared" ca="1" si="48"/>
        <v>8.1052631578947363</v>
      </c>
      <c r="ED145" s="56">
        <f t="shared" ca="1" si="48"/>
        <v>8.1052631578947363</v>
      </c>
      <c r="EE145" s="56">
        <f t="shared" ca="1" si="48"/>
        <v>8.1052631578947363</v>
      </c>
      <c r="EF145" s="56">
        <f t="shared" ca="1" si="48"/>
        <v>8.1052631578947363</v>
      </c>
      <c r="EG145" s="56">
        <f t="shared" ca="1" si="48"/>
        <v>8.1052631578947363</v>
      </c>
      <c r="EH145" s="56">
        <f t="shared" ca="1" si="48"/>
        <v>8.1052631578947363</v>
      </c>
      <c r="EI145" s="56">
        <f t="shared" ref="EI145:FN145" ca="1" si="49">$D117+($K117-$D117)*(1-COS(PI()*MIN(MAX((EI$139-($B$82-1))/$B$83,0),1)))/2</f>
        <v>8.1052631578947363</v>
      </c>
      <c r="EJ145" s="56">
        <f t="shared" ca="1" si="49"/>
        <v>8.1052631578947363</v>
      </c>
      <c r="EK145" s="56">
        <f t="shared" ca="1" si="49"/>
        <v>8.1052631578947363</v>
      </c>
      <c r="EL145" s="56">
        <f t="shared" ca="1" si="49"/>
        <v>8.1052631578947363</v>
      </c>
      <c r="EM145" s="56">
        <f t="shared" ca="1" si="49"/>
        <v>8.1052631578947363</v>
      </c>
      <c r="EN145" s="56">
        <f t="shared" ca="1" si="49"/>
        <v>8.1052631578947363</v>
      </c>
      <c r="EO145" s="56">
        <f t="shared" ca="1" si="49"/>
        <v>8.1052631578947363</v>
      </c>
      <c r="EP145" s="56">
        <f t="shared" ca="1" si="49"/>
        <v>8.1052631578947363</v>
      </c>
      <c r="EQ145" s="56">
        <f t="shared" ca="1" si="49"/>
        <v>8.1052631578947363</v>
      </c>
      <c r="ER145" s="56">
        <f t="shared" ca="1" si="49"/>
        <v>8.1052631578947363</v>
      </c>
      <c r="ES145" s="56">
        <f t="shared" ca="1" si="49"/>
        <v>8.1052631578947363</v>
      </c>
      <c r="ET145" s="56">
        <f t="shared" ca="1" si="49"/>
        <v>8.1052631578947363</v>
      </c>
      <c r="EU145" s="56">
        <f t="shared" ca="1" si="49"/>
        <v>8.1052631578947363</v>
      </c>
      <c r="EV145" s="56">
        <f t="shared" ca="1" si="49"/>
        <v>8.1052631578947363</v>
      </c>
      <c r="EW145" s="56">
        <f t="shared" ca="1" si="49"/>
        <v>8.1052631578947363</v>
      </c>
      <c r="EX145" s="56">
        <f t="shared" ca="1" si="49"/>
        <v>8.1052631578947363</v>
      </c>
      <c r="EY145" s="56">
        <f t="shared" ca="1" si="49"/>
        <v>8.1052631578947363</v>
      </c>
      <c r="EZ145" s="56">
        <f t="shared" ca="1" si="49"/>
        <v>8.1052631578947363</v>
      </c>
      <c r="FA145" s="56">
        <f t="shared" ca="1" si="49"/>
        <v>8.1052631578947363</v>
      </c>
      <c r="FB145" s="56">
        <f t="shared" ca="1" si="49"/>
        <v>8.1052631578947363</v>
      </c>
      <c r="FC145" s="56">
        <f t="shared" ca="1" si="49"/>
        <v>8.1052631578947363</v>
      </c>
      <c r="FD145" s="56">
        <f t="shared" ca="1" si="49"/>
        <v>8.1052631578947363</v>
      </c>
      <c r="FE145" s="56">
        <f t="shared" ca="1" si="49"/>
        <v>8.1052631578947363</v>
      </c>
      <c r="FF145" s="56">
        <f t="shared" ca="1" si="49"/>
        <v>8.1052631578947363</v>
      </c>
      <c r="FG145" s="56">
        <f t="shared" ca="1" si="49"/>
        <v>8.1052631578947363</v>
      </c>
      <c r="FH145" s="56">
        <f t="shared" ca="1" si="49"/>
        <v>8.1052631578947363</v>
      </c>
      <c r="FI145" s="56">
        <f t="shared" ca="1" si="49"/>
        <v>8.1052631578947363</v>
      </c>
      <c r="FJ145" s="56">
        <f t="shared" ca="1" si="49"/>
        <v>8.1052631578947363</v>
      </c>
      <c r="FK145" s="56">
        <f t="shared" ca="1" si="49"/>
        <v>8.1052631578947363</v>
      </c>
      <c r="FL145" s="56">
        <f t="shared" ca="1" si="49"/>
        <v>8.1052631578947363</v>
      </c>
      <c r="FM145" s="56">
        <f t="shared" ca="1" si="49"/>
        <v>8.1052631578947363</v>
      </c>
      <c r="FN145" s="56">
        <f t="shared" ca="1" si="49"/>
        <v>8.1052631578947363</v>
      </c>
      <c r="FO145" s="56">
        <f t="shared" ref="FO145:GP145" ca="1" si="50">$D117+($K117-$D117)*(1-COS(PI()*MIN(MAX((FO$139-($B$82-1))/$B$83,0),1)))/2</f>
        <v>8.1052631578947363</v>
      </c>
      <c r="FP145" s="56">
        <f t="shared" ca="1" si="50"/>
        <v>8.1052631578947363</v>
      </c>
      <c r="FQ145" s="56">
        <f t="shared" ca="1" si="50"/>
        <v>8.1052631578947363</v>
      </c>
      <c r="FR145" s="56">
        <f t="shared" ca="1" si="50"/>
        <v>8.1052631578947363</v>
      </c>
      <c r="FS145" s="56">
        <f t="shared" ca="1" si="50"/>
        <v>8.1052631578947363</v>
      </c>
      <c r="FT145" s="56">
        <f t="shared" ca="1" si="50"/>
        <v>8.1052631578947363</v>
      </c>
      <c r="FU145" s="56">
        <f t="shared" ca="1" si="50"/>
        <v>8.1052631578947363</v>
      </c>
      <c r="FV145" s="56">
        <f t="shared" ca="1" si="50"/>
        <v>8.1052631578947363</v>
      </c>
      <c r="FW145" s="56">
        <f t="shared" ca="1" si="50"/>
        <v>8.1052631578947363</v>
      </c>
      <c r="FX145" s="56">
        <f t="shared" ca="1" si="50"/>
        <v>8.1052631578947363</v>
      </c>
      <c r="FY145" s="56">
        <f t="shared" ca="1" si="50"/>
        <v>8.1052631578947363</v>
      </c>
      <c r="FZ145" s="56">
        <f t="shared" ca="1" si="50"/>
        <v>8.1052631578947363</v>
      </c>
      <c r="GA145" s="56">
        <f t="shared" ca="1" si="50"/>
        <v>8.1052631578947363</v>
      </c>
      <c r="GB145" s="56">
        <f t="shared" ca="1" si="50"/>
        <v>8.1052631578947363</v>
      </c>
      <c r="GC145" s="56">
        <f t="shared" ca="1" si="50"/>
        <v>8.1052631578947363</v>
      </c>
      <c r="GD145" s="56">
        <f t="shared" ca="1" si="50"/>
        <v>8.1052631578947363</v>
      </c>
      <c r="GE145" s="56">
        <f t="shared" ca="1" si="50"/>
        <v>8.1052631578947363</v>
      </c>
      <c r="GF145" s="56">
        <f t="shared" ca="1" si="50"/>
        <v>8.1052631578947363</v>
      </c>
      <c r="GG145" s="56">
        <f t="shared" ca="1" si="50"/>
        <v>8.1052631578947363</v>
      </c>
      <c r="GH145" s="56">
        <f t="shared" ca="1" si="50"/>
        <v>8.1052631578947363</v>
      </c>
      <c r="GI145" s="56">
        <f t="shared" ca="1" si="50"/>
        <v>8.1052631578947363</v>
      </c>
      <c r="GJ145" s="56">
        <f t="shared" ca="1" si="50"/>
        <v>8.1052631578947363</v>
      </c>
      <c r="GK145" s="56">
        <f t="shared" ca="1" si="50"/>
        <v>8.1052631578947363</v>
      </c>
      <c r="GL145" s="56">
        <f t="shared" ca="1" si="50"/>
        <v>8.1052631578947363</v>
      </c>
      <c r="GM145" s="56">
        <f t="shared" ca="1" si="50"/>
        <v>8.1052631578947363</v>
      </c>
      <c r="GN145" s="56">
        <f t="shared" ca="1" si="50"/>
        <v>8.1052631578947363</v>
      </c>
      <c r="GO145" s="56">
        <f t="shared" ca="1" si="50"/>
        <v>8.1052631578947363</v>
      </c>
      <c r="GP145" s="56">
        <f t="shared" ca="1" si="50"/>
        <v>8.1052631578947363</v>
      </c>
    </row>
    <row r="146" spans="1:198" x14ac:dyDescent="0.35">
      <c r="A146" s="55" t="str">
        <f t="shared" si="26"/>
        <v>Canada &gt; available now</v>
      </c>
      <c r="B146" s="55" t="s">
        <v>297</v>
      </c>
      <c r="K146" s="56">
        <f t="shared" ref="K146:AP146" ca="1" si="51">$D118+($K118-$D118)*(1-COS(PI()*MIN(MAX((K$139-($B$82-1))/$B$83,0),1)))/2</f>
        <v>30.778947368421047</v>
      </c>
      <c r="L146" s="56">
        <f t="shared" ca="1" si="51"/>
        <v>30.778947368421047</v>
      </c>
      <c r="M146" s="56">
        <f t="shared" ca="1" si="51"/>
        <v>30.778947368421047</v>
      </c>
      <c r="N146" s="56">
        <f t="shared" ca="1" si="51"/>
        <v>30.778947368421047</v>
      </c>
      <c r="O146" s="56">
        <f t="shared" ca="1" si="51"/>
        <v>30.778947368421047</v>
      </c>
      <c r="P146" s="56">
        <f t="shared" ca="1" si="51"/>
        <v>30.778947368421047</v>
      </c>
      <c r="Q146" s="56">
        <f t="shared" ca="1" si="51"/>
        <v>30.778947368421047</v>
      </c>
      <c r="R146" s="56">
        <f t="shared" ca="1" si="51"/>
        <v>30.778947368421047</v>
      </c>
      <c r="S146" s="56">
        <f t="shared" ca="1" si="51"/>
        <v>30.778947368421047</v>
      </c>
      <c r="T146" s="56">
        <f t="shared" ca="1" si="51"/>
        <v>30.778947368421047</v>
      </c>
      <c r="U146" s="56">
        <f t="shared" ca="1" si="51"/>
        <v>30.767715524235495</v>
      </c>
      <c r="V146" s="56">
        <f t="shared" ca="1" si="51"/>
        <v>30.734043961000356</v>
      </c>
      <c r="W146" s="56">
        <f t="shared" ca="1" si="51"/>
        <v>30.678004535528469</v>
      </c>
      <c r="X146" s="56">
        <f t="shared" ca="1" si="51"/>
        <v>30.599716838777908</v>
      </c>
      <c r="Y146" s="56">
        <f t="shared" ca="1" si="51"/>
        <v>30.499347940638867</v>
      </c>
      <c r="Z146" s="56">
        <f t="shared" ca="1" si="51"/>
        <v>30.377112033398088</v>
      </c>
      <c r="AA146" s="56">
        <f t="shared" ca="1" si="51"/>
        <v>30.23326997464174</v>
      </c>
      <c r="AB146" s="56">
        <f t="shared" ca="1" si="51"/>
        <v>30.068128730572163</v>
      </c>
      <c r="AC146" s="56">
        <f t="shared" ca="1" si="51"/>
        <v>29.882040720926533</v>
      </c>
      <c r="AD146" s="56">
        <f t="shared" ca="1" si="51"/>
        <v>29.675403066895388</v>
      </c>
      <c r="AE146" s="56">
        <f t="shared" ca="1" si="51"/>
        <v>29.448656743645991</v>
      </c>
      <c r="AF146" s="56">
        <f t="shared" ca="1" si="51"/>
        <v>29.202285639259092</v>
      </c>
      <c r="AG146" s="56">
        <f t="shared" ca="1" si="51"/>
        <v>28.936815522087386</v>
      </c>
      <c r="AH146" s="56">
        <f t="shared" ca="1" si="51"/>
        <v>28.652812918739357</v>
      </c>
      <c r="AI146" s="56">
        <f t="shared" ca="1" si="51"/>
        <v>28.350883905082931</v>
      </c>
      <c r="AJ146" s="56">
        <f t="shared" ca="1" si="51"/>
        <v>28.031672812849038</v>
      </c>
      <c r="AK146" s="56">
        <f t="shared" ca="1" si="51"/>
        <v>27.695860854595232</v>
      </c>
      <c r="AL146" s="56">
        <f t="shared" ca="1" si="51"/>
        <v>27.344164669963757</v>
      </c>
      <c r="AM146" s="56">
        <f t="shared" ca="1" si="51"/>
        <v>26.977334796336429</v>
      </c>
      <c r="AN146" s="56">
        <f t="shared" ca="1" si="51"/>
        <v>26.596154067150064</v>
      </c>
      <c r="AO146" s="56">
        <f t="shared" ca="1" si="51"/>
        <v>26.201435941290438</v>
      </c>
      <c r="AP146" s="56">
        <f t="shared" ca="1" si="51"/>
        <v>25.794022767130059</v>
      </c>
      <c r="AQ146" s="56">
        <f t="shared" ref="AQ146:BV146" ca="1" si="52">$D118+($K118-$D118)*(1-COS(PI()*MIN(MAX((AQ$139-($B$82-1))/$B$83,0),1)))/2</f>
        <v>25.374783984914274</v>
      </c>
      <c r="AR146" s="56">
        <f t="shared" ca="1" si="52"/>
        <v>24.944614271331979</v>
      </c>
      <c r="AS146" s="56">
        <f t="shared" ca="1" si="52"/>
        <v>24.504431630230467</v>
      </c>
      <c r="AT146" s="56">
        <f t="shared" ca="1" si="52"/>
        <v>24.055175433548975</v>
      </c>
      <c r="AU146" s="56">
        <f t="shared" ca="1" si="52"/>
        <v>23.597804416651591</v>
      </c>
      <c r="AV146" s="56">
        <f t="shared" ca="1" si="52"/>
        <v>23.133294632337712</v>
      </c>
      <c r="AW146" s="56">
        <f t="shared" ca="1" si="52"/>
        <v>22.662637367896146</v>
      </c>
      <c r="AX146" s="56">
        <f t="shared" ca="1" si="52"/>
        <v>22.18683702964811</v>
      </c>
      <c r="AY146" s="56">
        <f t="shared" ca="1" si="52"/>
        <v>21.706908999493493</v>
      </c>
      <c r="AZ146" s="56">
        <f t="shared" ca="1" si="52"/>
        <v>21.223877468034757</v>
      </c>
      <c r="BA146" s="56">
        <f t="shared" ca="1" si="52"/>
        <v>20.738773248902518</v>
      </c>
      <c r="BB146" s="56">
        <f t="shared" ca="1" si="52"/>
        <v>20.252631578947366</v>
      </c>
      <c r="BC146" s="56">
        <f t="shared" ca="1" si="52"/>
        <v>19.766489908992213</v>
      </c>
      <c r="BD146" s="56">
        <f t="shared" ca="1" si="52"/>
        <v>19.281385689859981</v>
      </c>
      <c r="BE146" s="56">
        <f t="shared" ca="1" si="52"/>
        <v>18.798354158401239</v>
      </c>
      <c r="BF146" s="56">
        <f t="shared" ca="1" si="52"/>
        <v>18.318426128246625</v>
      </c>
      <c r="BG146" s="56">
        <f t="shared" ca="1" si="52"/>
        <v>17.842625789998589</v>
      </c>
      <c r="BH146" s="56">
        <f t="shared" ca="1" si="52"/>
        <v>17.371968525557023</v>
      </c>
      <c r="BI146" s="56">
        <f t="shared" ca="1" si="52"/>
        <v>16.90745874124314</v>
      </c>
      <c r="BJ146" s="56">
        <f t="shared" ca="1" si="52"/>
        <v>16.450087724345757</v>
      </c>
      <c r="BK146" s="56">
        <f t="shared" ca="1" si="52"/>
        <v>16.000831527664261</v>
      </c>
      <c r="BL146" s="56">
        <f t="shared" ca="1" si="52"/>
        <v>15.560648886562754</v>
      </c>
      <c r="BM146" s="56">
        <f t="shared" ca="1" si="52"/>
        <v>15.13047917298046</v>
      </c>
      <c r="BN146" s="56">
        <f t="shared" ca="1" si="52"/>
        <v>14.711240390764676</v>
      </c>
      <c r="BO146" s="56">
        <f t="shared" ca="1" si="52"/>
        <v>14.303827216604294</v>
      </c>
      <c r="BP146" s="56">
        <f t="shared" ca="1" si="52"/>
        <v>13.909109090744671</v>
      </c>
      <c r="BQ146" s="56">
        <f t="shared" ca="1" si="52"/>
        <v>13.527928361558303</v>
      </c>
      <c r="BR146" s="56">
        <f t="shared" ca="1" si="52"/>
        <v>13.161098487930975</v>
      </c>
      <c r="BS146" s="56">
        <f t="shared" ca="1" si="52"/>
        <v>12.8094023032995</v>
      </c>
      <c r="BT146" s="56">
        <f t="shared" ca="1" si="52"/>
        <v>12.473590345045693</v>
      </c>
      <c r="BU146" s="56">
        <f t="shared" ca="1" si="52"/>
        <v>12.1543792528118</v>
      </c>
      <c r="BV146" s="56">
        <f t="shared" ca="1" si="52"/>
        <v>11.852450239155374</v>
      </c>
      <c r="BW146" s="56">
        <f t="shared" ref="BW146:DB146" ca="1" si="53">$D118+($K118-$D118)*(1-COS(PI()*MIN(MAX((BW$139-($B$82-1))/$B$83,0),1)))/2</f>
        <v>11.568447635807345</v>
      </c>
      <c r="BX146" s="56">
        <f t="shared" ca="1" si="53"/>
        <v>11.302977518635643</v>
      </c>
      <c r="BY146" s="56">
        <f t="shared" ca="1" si="53"/>
        <v>11.056606414248741</v>
      </c>
      <c r="BZ146" s="56">
        <f t="shared" ca="1" si="53"/>
        <v>10.829860090999343</v>
      </c>
      <c r="CA146" s="56">
        <f t="shared" ca="1" si="53"/>
        <v>10.623222436968199</v>
      </c>
      <c r="CB146" s="56">
        <f t="shared" ca="1" si="53"/>
        <v>10.437134427322572</v>
      </c>
      <c r="CC146" s="56">
        <f t="shared" ca="1" si="53"/>
        <v>10.271993183252992</v>
      </c>
      <c r="CD146" s="56">
        <f t="shared" ca="1" si="53"/>
        <v>10.12815112449664</v>
      </c>
      <c r="CE146" s="56">
        <f t="shared" ca="1" si="53"/>
        <v>10.005915217255865</v>
      </c>
      <c r="CF146" s="56">
        <f t="shared" ca="1" si="53"/>
        <v>9.9055463191168229</v>
      </c>
      <c r="CG146" s="56">
        <f t="shared" ca="1" si="53"/>
        <v>9.8272586223662621</v>
      </c>
      <c r="CH146" s="56">
        <f t="shared" ca="1" si="53"/>
        <v>9.7712191968943749</v>
      </c>
      <c r="CI146" s="56">
        <f t="shared" ca="1" si="53"/>
        <v>9.7375476336592364</v>
      </c>
      <c r="CJ146" s="56">
        <f t="shared" ca="1" si="53"/>
        <v>9.7263157894736842</v>
      </c>
      <c r="CK146" s="56">
        <f t="shared" ca="1" si="53"/>
        <v>9.7263157894736842</v>
      </c>
      <c r="CL146" s="56">
        <f t="shared" ca="1" si="53"/>
        <v>9.7263157894736842</v>
      </c>
      <c r="CM146" s="56">
        <f t="shared" ca="1" si="53"/>
        <v>9.7263157894736842</v>
      </c>
      <c r="CN146" s="56">
        <f t="shared" ca="1" si="53"/>
        <v>9.7263157894736842</v>
      </c>
      <c r="CO146" s="56">
        <f t="shared" ca="1" si="53"/>
        <v>9.7263157894736842</v>
      </c>
      <c r="CP146" s="56">
        <f t="shared" ca="1" si="53"/>
        <v>9.7263157894736842</v>
      </c>
      <c r="CQ146" s="56">
        <f t="shared" ca="1" si="53"/>
        <v>9.7263157894736842</v>
      </c>
      <c r="CR146" s="56">
        <f t="shared" ca="1" si="53"/>
        <v>9.7263157894736842</v>
      </c>
      <c r="CS146" s="56">
        <f t="shared" ca="1" si="53"/>
        <v>9.7263157894736842</v>
      </c>
      <c r="CT146" s="56">
        <f t="shared" ca="1" si="53"/>
        <v>9.7263157894736842</v>
      </c>
      <c r="CU146" s="56">
        <f t="shared" ca="1" si="53"/>
        <v>9.7263157894736842</v>
      </c>
      <c r="CV146" s="56">
        <f t="shared" ca="1" si="53"/>
        <v>9.7263157894736842</v>
      </c>
      <c r="CW146" s="56">
        <f t="shared" ca="1" si="53"/>
        <v>9.7263157894736842</v>
      </c>
      <c r="CX146" s="56">
        <f t="shared" ca="1" si="53"/>
        <v>9.7263157894736842</v>
      </c>
      <c r="CY146" s="56">
        <f t="shared" ca="1" si="53"/>
        <v>9.7263157894736842</v>
      </c>
      <c r="CZ146" s="56">
        <f t="shared" ca="1" si="53"/>
        <v>9.7263157894736842</v>
      </c>
      <c r="DA146" s="56">
        <f t="shared" ca="1" si="53"/>
        <v>9.7263157894736842</v>
      </c>
      <c r="DB146" s="56">
        <f t="shared" ca="1" si="53"/>
        <v>9.7263157894736842</v>
      </c>
      <c r="DC146" s="56">
        <f t="shared" ref="DC146:EH146" ca="1" si="54">$D118+($K118-$D118)*(1-COS(PI()*MIN(MAX((DC$139-($B$82-1))/$B$83,0),1)))/2</f>
        <v>9.7263157894736842</v>
      </c>
      <c r="DD146" s="56">
        <f t="shared" ca="1" si="54"/>
        <v>9.7263157894736842</v>
      </c>
      <c r="DE146" s="56">
        <f t="shared" ca="1" si="54"/>
        <v>9.7263157894736842</v>
      </c>
      <c r="DF146" s="56">
        <f t="shared" ca="1" si="54"/>
        <v>9.7263157894736842</v>
      </c>
      <c r="DG146" s="56">
        <f t="shared" ca="1" si="54"/>
        <v>9.7263157894736842</v>
      </c>
      <c r="DH146" s="56">
        <f t="shared" ca="1" si="54"/>
        <v>9.7263157894736842</v>
      </c>
      <c r="DI146" s="56">
        <f t="shared" ca="1" si="54"/>
        <v>9.7263157894736842</v>
      </c>
      <c r="DJ146" s="56">
        <f t="shared" ca="1" si="54"/>
        <v>9.7263157894736842</v>
      </c>
      <c r="DK146" s="56">
        <f t="shared" ca="1" si="54"/>
        <v>9.7263157894736842</v>
      </c>
      <c r="DL146" s="56">
        <f t="shared" ca="1" si="54"/>
        <v>9.7263157894736842</v>
      </c>
      <c r="DM146" s="56">
        <f t="shared" ca="1" si="54"/>
        <v>9.7263157894736842</v>
      </c>
      <c r="DN146" s="56">
        <f t="shared" ca="1" si="54"/>
        <v>9.7263157894736842</v>
      </c>
      <c r="DO146" s="56">
        <f t="shared" ca="1" si="54"/>
        <v>9.7263157894736842</v>
      </c>
      <c r="DP146" s="56">
        <f t="shared" ca="1" si="54"/>
        <v>9.7263157894736842</v>
      </c>
      <c r="DQ146" s="56">
        <f t="shared" ca="1" si="54"/>
        <v>9.7263157894736842</v>
      </c>
      <c r="DR146" s="56">
        <f t="shared" ca="1" si="54"/>
        <v>9.7263157894736842</v>
      </c>
      <c r="DS146" s="56">
        <f t="shared" ca="1" si="54"/>
        <v>9.7263157894736842</v>
      </c>
      <c r="DT146" s="56">
        <f t="shared" ca="1" si="54"/>
        <v>9.7263157894736842</v>
      </c>
      <c r="DU146" s="56">
        <f t="shared" ca="1" si="54"/>
        <v>9.7263157894736842</v>
      </c>
      <c r="DV146" s="56">
        <f t="shared" ca="1" si="54"/>
        <v>9.7263157894736842</v>
      </c>
      <c r="DW146" s="56">
        <f t="shared" ca="1" si="54"/>
        <v>9.7263157894736842</v>
      </c>
      <c r="DX146" s="56">
        <f t="shared" ca="1" si="54"/>
        <v>9.7263157894736842</v>
      </c>
      <c r="DY146" s="56">
        <f t="shared" ca="1" si="54"/>
        <v>9.7263157894736842</v>
      </c>
      <c r="DZ146" s="56">
        <f t="shared" ca="1" si="54"/>
        <v>9.7263157894736842</v>
      </c>
      <c r="EA146" s="56">
        <f t="shared" ca="1" si="54"/>
        <v>9.7263157894736842</v>
      </c>
      <c r="EB146" s="56">
        <f t="shared" ca="1" si="54"/>
        <v>9.7263157894736842</v>
      </c>
      <c r="EC146" s="56">
        <f t="shared" ca="1" si="54"/>
        <v>9.7263157894736842</v>
      </c>
      <c r="ED146" s="56">
        <f t="shared" ca="1" si="54"/>
        <v>9.7263157894736842</v>
      </c>
      <c r="EE146" s="56">
        <f t="shared" ca="1" si="54"/>
        <v>9.7263157894736842</v>
      </c>
      <c r="EF146" s="56">
        <f t="shared" ca="1" si="54"/>
        <v>9.7263157894736842</v>
      </c>
      <c r="EG146" s="56">
        <f t="shared" ca="1" si="54"/>
        <v>9.7263157894736842</v>
      </c>
      <c r="EH146" s="56">
        <f t="shared" ca="1" si="54"/>
        <v>9.7263157894736842</v>
      </c>
      <c r="EI146" s="56">
        <f t="shared" ref="EI146:FN146" ca="1" si="55">$D118+($K118-$D118)*(1-COS(PI()*MIN(MAX((EI$139-($B$82-1))/$B$83,0),1)))/2</f>
        <v>9.7263157894736842</v>
      </c>
      <c r="EJ146" s="56">
        <f t="shared" ca="1" si="55"/>
        <v>9.7263157894736842</v>
      </c>
      <c r="EK146" s="56">
        <f t="shared" ca="1" si="55"/>
        <v>9.7263157894736842</v>
      </c>
      <c r="EL146" s="56">
        <f t="shared" ca="1" si="55"/>
        <v>9.7263157894736842</v>
      </c>
      <c r="EM146" s="56">
        <f t="shared" ca="1" si="55"/>
        <v>9.7263157894736842</v>
      </c>
      <c r="EN146" s="56">
        <f t="shared" ca="1" si="55"/>
        <v>9.7263157894736842</v>
      </c>
      <c r="EO146" s="56">
        <f t="shared" ca="1" si="55"/>
        <v>9.7263157894736842</v>
      </c>
      <c r="EP146" s="56">
        <f t="shared" ca="1" si="55"/>
        <v>9.7263157894736842</v>
      </c>
      <c r="EQ146" s="56">
        <f t="shared" ca="1" si="55"/>
        <v>9.7263157894736842</v>
      </c>
      <c r="ER146" s="56">
        <f t="shared" ca="1" si="55"/>
        <v>9.7263157894736842</v>
      </c>
      <c r="ES146" s="56">
        <f t="shared" ca="1" si="55"/>
        <v>9.7263157894736842</v>
      </c>
      <c r="ET146" s="56">
        <f t="shared" ca="1" si="55"/>
        <v>9.7263157894736842</v>
      </c>
      <c r="EU146" s="56">
        <f t="shared" ca="1" si="55"/>
        <v>9.7263157894736842</v>
      </c>
      <c r="EV146" s="56">
        <f t="shared" ca="1" si="55"/>
        <v>9.7263157894736842</v>
      </c>
      <c r="EW146" s="56">
        <f t="shared" ca="1" si="55"/>
        <v>9.7263157894736842</v>
      </c>
      <c r="EX146" s="56">
        <f t="shared" ca="1" si="55"/>
        <v>9.7263157894736842</v>
      </c>
      <c r="EY146" s="56">
        <f t="shared" ca="1" si="55"/>
        <v>9.7263157894736842</v>
      </c>
      <c r="EZ146" s="56">
        <f t="shared" ca="1" si="55"/>
        <v>9.7263157894736842</v>
      </c>
      <c r="FA146" s="56">
        <f t="shared" ca="1" si="55"/>
        <v>9.7263157894736842</v>
      </c>
      <c r="FB146" s="56">
        <f t="shared" ca="1" si="55"/>
        <v>9.7263157894736842</v>
      </c>
      <c r="FC146" s="56">
        <f t="shared" ca="1" si="55"/>
        <v>9.7263157894736842</v>
      </c>
      <c r="FD146" s="56">
        <f t="shared" ca="1" si="55"/>
        <v>9.7263157894736842</v>
      </c>
      <c r="FE146" s="56">
        <f t="shared" ca="1" si="55"/>
        <v>9.7263157894736842</v>
      </c>
      <c r="FF146" s="56">
        <f t="shared" ca="1" si="55"/>
        <v>9.7263157894736842</v>
      </c>
      <c r="FG146" s="56">
        <f t="shared" ca="1" si="55"/>
        <v>9.7263157894736842</v>
      </c>
      <c r="FH146" s="56">
        <f t="shared" ca="1" si="55"/>
        <v>9.7263157894736842</v>
      </c>
      <c r="FI146" s="56">
        <f t="shared" ca="1" si="55"/>
        <v>9.7263157894736842</v>
      </c>
      <c r="FJ146" s="56">
        <f t="shared" ca="1" si="55"/>
        <v>9.7263157894736842</v>
      </c>
      <c r="FK146" s="56">
        <f t="shared" ca="1" si="55"/>
        <v>9.7263157894736842</v>
      </c>
      <c r="FL146" s="56">
        <f t="shared" ca="1" si="55"/>
        <v>9.7263157894736842</v>
      </c>
      <c r="FM146" s="56">
        <f t="shared" ca="1" si="55"/>
        <v>9.7263157894736842</v>
      </c>
      <c r="FN146" s="56">
        <f t="shared" ca="1" si="55"/>
        <v>9.7263157894736842</v>
      </c>
      <c r="FO146" s="56">
        <f t="shared" ref="FO146:GP146" ca="1" si="56">$D118+($K118-$D118)*(1-COS(PI()*MIN(MAX((FO$139-($B$82-1))/$B$83,0),1)))/2</f>
        <v>9.7263157894736842</v>
      </c>
      <c r="FP146" s="56">
        <f t="shared" ca="1" si="56"/>
        <v>9.7263157894736842</v>
      </c>
      <c r="FQ146" s="56">
        <f t="shared" ca="1" si="56"/>
        <v>9.7263157894736842</v>
      </c>
      <c r="FR146" s="56">
        <f t="shared" ca="1" si="56"/>
        <v>9.7263157894736842</v>
      </c>
      <c r="FS146" s="56">
        <f t="shared" ca="1" si="56"/>
        <v>9.7263157894736842</v>
      </c>
      <c r="FT146" s="56">
        <f t="shared" ca="1" si="56"/>
        <v>9.7263157894736842</v>
      </c>
      <c r="FU146" s="56">
        <f t="shared" ca="1" si="56"/>
        <v>9.7263157894736842</v>
      </c>
      <c r="FV146" s="56">
        <f t="shared" ca="1" si="56"/>
        <v>9.7263157894736842</v>
      </c>
      <c r="FW146" s="56">
        <f t="shared" ca="1" si="56"/>
        <v>9.7263157894736842</v>
      </c>
      <c r="FX146" s="56">
        <f t="shared" ca="1" si="56"/>
        <v>9.7263157894736842</v>
      </c>
      <c r="FY146" s="56">
        <f t="shared" ca="1" si="56"/>
        <v>9.7263157894736842</v>
      </c>
      <c r="FZ146" s="56">
        <f t="shared" ca="1" si="56"/>
        <v>9.7263157894736842</v>
      </c>
      <c r="GA146" s="56">
        <f t="shared" ca="1" si="56"/>
        <v>9.7263157894736842</v>
      </c>
      <c r="GB146" s="56">
        <f t="shared" ca="1" si="56"/>
        <v>9.7263157894736842</v>
      </c>
      <c r="GC146" s="56">
        <f t="shared" ca="1" si="56"/>
        <v>9.7263157894736842</v>
      </c>
      <c r="GD146" s="56">
        <f t="shared" ca="1" si="56"/>
        <v>9.7263157894736842</v>
      </c>
      <c r="GE146" s="56">
        <f t="shared" ca="1" si="56"/>
        <v>9.7263157894736842</v>
      </c>
      <c r="GF146" s="56">
        <f t="shared" ca="1" si="56"/>
        <v>9.7263157894736842</v>
      </c>
      <c r="GG146" s="56">
        <f t="shared" ca="1" si="56"/>
        <v>9.7263157894736842</v>
      </c>
      <c r="GH146" s="56">
        <f t="shared" ca="1" si="56"/>
        <v>9.7263157894736842</v>
      </c>
      <c r="GI146" s="56">
        <f t="shared" ca="1" si="56"/>
        <v>9.7263157894736842</v>
      </c>
      <c r="GJ146" s="56">
        <f t="shared" ca="1" si="56"/>
        <v>9.7263157894736842</v>
      </c>
      <c r="GK146" s="56">
        <f t="shared" ca="1" si="56"/>
        <v>9.7263157894736842</v>
      </c>
      <c r="GL146" s="56">
        <f t="shared" ca="1" si="56"/>
        <v>9.7263157894736842</v>
      </c>
      <c r="GM146" s="56">
        <f t="shared" ca="1" si="56"/>
        <v>9.7263157894736842</v>
      </c>
      <c r="GN146" s="56">
        <f t="shared" ca="1" si="56"/>
        <v>9.7263157894736842</v>
      </c>
      <c r="GO146" s="56">
        <f t="shared" ca="1" si="56"/>
        <v>9.7263157894736842</v>
      </c>
      <c r="GP146" s="56">
        <f t="shared" ca="1" si="56"/>
        <v>9.7263157894736842</v>
      </c>
    </row>
    <row r="147" spans="1:198" x14ac:dyDescent="0.35">
      <c r="A147" s="55" t="str">
        <f t="shared" si="26"/>
        <v>Other &gt; available now</v>
      </c>
      <c r="B147" s="55" t="s">
        <v>297</v>
      </c>
      <c r="K147" s="56">
        <f t="shared" ref="K147:AP147" ca="1" si="57">$D119+($K119-$D119)*(1-COS(PI()*MIN(MAX((K$139-($B$82-1))/$B$83,0),1)))/2</f>
        <v>32.79999999999999</v>
      </c>
      <c r="L147" s="56">
        <f t="shared" ca="1" si="57"/>
        <v>32.79999999999999</v>
      </c>
      <c r="M147" s="56">
        <f t="shared" ca="1" si="57"/>
        <v>32.79999999999999</v>
      </c>
      <c r="N147" s="56">
        <f t="shared" ca="1" si="57"/>
        <v>32.79999999999999</v>
      </c>
      <c r="O147" s="56">
        <f t="shared" ca="1" si="57"/>
        <v>32.79999999999999</v>
      </c>
      <c r="P147" s="56">
        <f t="shared" ca="1" si="57"/>
        <v>32.79999999999999</v>
      </c>
      <c r="Q147" s="56">
        <f t="shared" ca="1" si="57"/>
        <v>32.79999999999999</v>
      </c>
      <c r="R147" s="56">
        <f t="shared" ca="1" si="57"/>
        <v>32.79999999999999</v>
      </c>
      <c r="S147" s="56">
        <f t="shared" ca="1" si="57"/>
        <v>32.79999999999999</v>
      </c>
      <c r="T147" s="56">
        <f t="shared" ca="1" si="57"/>
        <v>32.79999999999999</v>
      </c>
      <c r="U147" s="56">
        <f t="shared" ca="1" si="57"/>
        <v>32.787689898772626</v>
      </c>
      <c r="V147" s="56">
        <f t="shared" ca="1" si="57"/>
        <v>32.750785865466916</v>
      </c>
      <c r="W147" s="56">
        <f t="shared" ca="1" si="57"/>
        <v>32.689366655149726</v>
      </c>
      <c r="X147" s="56">
        <f t="shared" ca="1" si="57"/>
        <v>32.603563339511112</v>
      </c>
      <c r="Y147" s="56">
        <f t="shared" ca="1" si="57"/>
        <v>32.493559027150724</v>
      </c>
      <c r="Z147" s="56">
        <f t="shared" ca="1" si="57"/>
        <v>32.359588472814828</v>
      </c>
      <c r="AA147" s="56">
        <f t="shared" ca="1" si="57"/>
        <v>32.201937576417869</v>
      </c>
      <c r="AB147" s="56">
        <f t="shared" ca="1" si="57"/>
        <v>32.020942772917614</v>
      </c>
      <c r="AC147" s="56">
        <f t="shared" ca="1" si="57"/>
        <v>31.816990314346</v>
      </c>
      <c r="AD147" s="56">
        <f t="shared" ca="1" si="57"/>
        <v>31.590515445527867</v>
      </c>
      <c r="AE147" s="56">
        <f t="shared" ca="1" si="57"/>
        <v>31.34200147524653</v>
      </c>
      <c r="AF147" s="56">
        <f t="shared" ca="1" si="57"/>
        <v>31.071978744838489</v>
      </c>
      <c r="AG147" s="56">
        <f t="shared" ca="1" si="57"/>
        <v>30.7810234964183</v>
      </c>
      <c r="AH147" s="56">
        <f t="shared" ca="1" si="57"/>
        <v>30.469756643148862</v>
      </c>
      <c r="AI147" s="56">
        <f t="shared" ca="1" si="57"/>
        <v>30.138842444181414</v>
      </c>
      <c r="AJ147" s="56">
        <f t="shared" ca="1" si="57"/>
        <v>29.788987087093069</v>
      </c>
      <c r="AK147" s="56">
        <f t="shared" ca="1" si="57"/>
        <v>29.420937180846899</v>
      </c>
      <c r="AL147" s="56">
        <f t="shared" ca="1" si="57"/>
        <v>29.035478162490797</v>
      </c>
      <c r="AM147" s="56">
        <f t="shared" ca="1" si="57"/>
        <v>28.633432620995251</v>
      </c>
      <c r="AN147" s="56">
        <f t="shared" ca="1" si="57"/>
        <v>28.215658541806992</v>
      </c>
      <c r="AO147" s="56">
        <f t="shared" ca="1" si="57"/>
        <v>27.783047475864841</v>
      </c>
      <c r="AP147" s="56">
        <f t="shared" ca="1" si="57"/>
        <v>27.336522636985066</v>
      </c>
      <c r="AQ147" s="56">
        <f t="shared" ref="AQ147:BV147" ca="1" si="58">$D119+($K119-$D119)*(1-COS(PI()*MIN(MAX((AQ$139-($B$82-1))/$B$83,0),1)))/2</f>
        <v>26.877036931676564</v>
      </c>
      <c r="AR147" s="56">
        <f t="shared" ca="1" si="58"/>
        <v>26.405570925590371</v>
      </c>
      <c r="AS147" s="56">
        <f t="shared" ca="1" si="58"/>
        <v>25.923130750943116</v>
      </c>
      <c r="AT147" s="56">
        <f t="shared" ca="1" si="58"/>
        <v>25.4307459593802</v>
      </c>
      <c r="AU147" s="56">
        <f t="shared" ca="1" si="58"/>
        <v>24.929467324860667</v>
      </c>
      <c r="AV147" s="56">
        <f t="shared" ca="1" si="58"/>
        <v>24.420364601252658</v>
      </c>
      <c r="AW147" s="56">
        <f t="shared" ca="1" si="58"/>
        <v>23.904524239424699</v>
      </c>
      <c r="AX147" s="56">
        <f t="shared" ca="1" si="58"/>
        <v>23.383047068704851</v>
      </c>
      <c r="AY147" s="56">
        <f t="shared" ca="1" si="58"/>
        <v>22.857045947655394</v>
      </c>
      <c r="AZ147" s="56">
        <f t="shared" ca="1" si="58"/>
        <v>22.327643389176615</v>
      </c>
      <c r="BA147" s="56">
        <f t="shared" ca="1" si="58"/>
        <v>21.795969165007687</v>
      </c>
      <c r="BB147" s="56">
        <f t="shared" ca="1" si="58"/>
        <v>21.263157894736839</v>
      </c>
      <c r="BC147" s="56">
        <f t="shared" ca="1" si="58"/>
        <v>20.730346624465991</v>
      </c>
      <c r="BD147" s="56">
        <f t="shared" ca="1" si="58"/>
        <v>20.198672400297063</v>
      </c>
      <c r="BE147" s="56">
        <f t="shared" ca="1" si="58"/>
        <v>19.669269841818284</v>
      </c>
      <c r="BF147" s="56">
        <f t="shared" ca="1" si="58"/>
        <v>19.143268720768823</v>
      </c>
      <c r="BG147" s="56">
        <f t="shared" ca="1" si="58"/>
        <v>18.621791550048979</v>
      </c>
      <c r="BH147" s="56">
        <f t="shared" ca="1" si="58"/>
        <v>18.10595118822102</v>
      </c>
      <c r="BI147" s="56">
        <f t="shared" ca="1" si="58"/>
        <v>17.596848464613004</v>
      </c>
      <c r="BJ147" s="56">
        <f t="shared" ca="1" si="58"/>
        <v>17.095569830093474</v>
      </c>
      <c r="BK147" s="56">
        <f t="shared" ca="1" si="58"/>
        <v>16.603185038530558</v>
      </c>
      <c r="BL147" s="56">
        <f t="shared" ca="1" si="58"/>
        <v>16.120744863883303</v>
      </c>
      <c r="BM147" s="56">
        <f t="shared" ca="1" si="58"/>
        <v>15.64927885779711</v>
      </c>
      <c r="BN147" s="56">
        <f t="shared" ca="1" si="58"/>
        <v>15.189793152488608</v>
      </c>
      <c r="BO147" s="56">
        <f t="shared" ca="1" si="58"/>
        <v>14.743268313608834</v>
      </c>
      <c r="BP147" s="56">
        <f t="shared" ca="1" si="58"/>
        <v>14.310657247666683</v>
      </c>
      <c r="BQ147" s="56">
        <f t="shared" ca="1" si="58"/>
        <v>13.892883168478424</v>
      </c>
      <c r="BR147" s="56">
        <f t="shared" ca="1" si="58"/>
        <v>13.490837626982874</v>
      </c>
      <c r="BS147" s="56">
        <f t="shared" ca="1" si="58"/>
        <v>13.105378608626776</v>
      </c>
      <c r="BT147" s="56">
        <f t="shared" ca="1" si="58"/>
        <v>12.737328702380605</v>
      </c>
      <c r="BU147" s="56">
        <f t="shared" ca="1" si="58"/>
        <v>12.387473345292257</v>
      </c>
      <c r="BV147" s="56">
        <f t="shared" ca="1" si="58"/>
        <v>12.056559146324815</v>
      </c>
      <c r="BW147" s="56">
        <f t="shared" ref="BW147:DB147" ca="1" si="59">$D119+($K119-$D119)*(1-COS(PI()*MIN(MAX((BW$139-($B$82-1))/$B$83,0),1)))/2</f>
        <v>11.745292293055375</v>
      </c>
      <c r="BX147" s="56">
        <f t="shared" ca="1" si="59"/>
        <v>11.454337044635189</v>
      </c>
      <c r="BY147" s="56">
        <f t="shared" ca="1" si="59"/>
        <v>11.184314314227144</v>
      </c>
      <c r="BZ147" s="56">
        <f t="shared" ca="1" si="59"/>
        <v>10.935800343945807</v>
      </c>
      <c r="CA147" s="56">
        <f t="shared" ca="1" si="59"/>
        <v>10.709325475127674</v>
      </c>
      <c r="CB147" s="56">
        <f t="shared" ca="1" si="59"/>
        <v>10.505373016556064</v>
      </c>
      <c r="CC147" s="56">
        <f t="shared" ca="1" si="59"/>
        <v>10.324378213055805</v>
      </c>
      <c r="CD147" s="56">
        <f t="shared" ca="1" si="59"/>
        <v>10.166727316658843</v>
      </c>
      <c r="CE147" s="56">
        <f t="shared" ca="1" si="59"/>
        <v>10.032756762322954</v>
      </c>
      <c r="CF147" s="56">
        <f t="shared" ca="1" si="59"/>
        <v>9.9227524499625623</v>
      </c>
      <c r="CG147" s="56">
        <f t="shared" ca="1" si="59"/>
        <v>9.8369491343239481</v>
      </c>
      <c r="CH147" s="56">
        <f t="shared" ca="1" si="59"/>
        <v>9.7755299240067615</v>
      </c>
      <c r="CI147" s="56">
        <f t="shared" ca="1" si="59"/>
        <v>9.7386258907010479</v>
      </c>
      <c r="CJ147" s="56">
        <f t="shared" ca="1" si="59"/>
        <v>9.7263157894736842</v>
      </c>
      <c r="CK147" s="56">
        <f t="shared" ca="1" si="59"/>
        <v>9.7263157894736842</v>
      </c>
      <c r="CL147" s="56">
        <f t="shared" ca="1" si="59"/>
        <v>9.7263157894736842</v>
      </c>
      <c r="CM147" s="56">
        <f t="shared" ca="1" si="59"/>
        <v>9.7263157894736842</v>
      </c>
      <c r="CN147" s="56">
        <f t="shared" ca="1" si="59"/>
        <v>9.7263157894736842</v>
      </c>
      <c r="CO147" s="56">
        <f t="shared" ca="1" si="59"/>
        <v>9.7263157894736842</v>
      </c>
      <c r="CP147" s="56">
        <f t="shared" ca="1" si="59"/>
        <v>9.7263157894736842</v>
      </c>
      <c r="CQ147" s="56">
        <f t="shared" ca="1" si="59"/>
        <v>9.7263157894736842</v>
      </c>
      <c r="CR147" s="56">
        <f t="shared" ca="1" si="59"/>
        <v>9.7263157894736842</v>
      </c>
      <c r="CS147" s="56">
        <f t="shared" ca="1" si="59"/>
        <v>9.7263157894736842</v>
      </c>
      <c r="CT147" s="56">
        <f t="shared" ca="1" si="59"/>
        <v>9.7263157894736842</v>
      </c>
      <c r="CU147" s="56">
        <f t="shared" ca="1" si="59"/>
        <v>9.7263157894736842</v>
      </c>
      <c r="CV147" s="56">
        <f t="shared" ca="1" si="59"/>
        <v>9.7263157894736842</v>
      </c>
      <c r="CW147" s="56">
        <f t="shared" ca="1" si="59"/>
        <v>9.7263157894736842</v>
      </c>
      <c r="CX147" s="56">
        <f t="shared" ca="1" si="59"/>
        <v>9.7263157894736842</v>
      </c>
      <c r="CY147" s="56">
        <f t="shared" ca="1" si="59"/>
        <v>9.7263157894736842</v>
      </c>
      <c r="CZ147" s="56">
        <f t="shared" ca="1" si="59"/>
        <v>9.7263157894736842</v>
      </c>
      <c r="DA147" s="56">
        <f t="shared" ca="1" si="59"/>
        <v>9.7263157894736842</v>
      </c>
      <c r="DB147" s="56">
        <f t="shared" ca="1" si="59"/>
        <v>9.7263157894736842</v>
      </c>
      <c r="DC147" s="56">
        <f t="shared" ref="DC147:EH147" ca="1" si="60">$D119+($K119-$D119)*(1-COS(PI()*MIN(MAX((DC$139-($B$82-1))/$B$83,0),1)))/2</f>
        <v>9.7263157894736842</v>
      </c>
      <c r="DD147" s="56">
        <f t="shared" ca="1" si="60"/>
        <v>9.7263157894736842</v>
      </c>
      <c r="DE147" s="56">
        <f t="shared" ca="1" si="60"/>
        <v>9.7263157894736842</v>
      </c>
      <c r="DF147" s="56">
        <f t="shared" ca="1" si="60"/>
        <v>9.7263157894736842</v>
      </c>
      <c r="DG147" s="56">
        <f t="shared" ca="1" si="60"/>
        <v>9.7263157894736842</v>
      </c>
      <c r="DH147" s="56">
        <f t="shared" ca="1" si="60"/>
        <v>9.7263157894736842</v>
      </c>
      <c r="DI147" s="56">
        <f t="shared" ca="1" si="60"/>
        <v>9.7263157894736842</v>
      </c>
      <c r="DJ147" s="56">
        <f t="shared" ca="1" si="60"/>
        <v>9.7263157894736842</v>
      </c>
      <c r="DK147" s="56">
        <f t="shared" ca="1" si="60"/>
        <v>9.7263157894736842</v>
      </c>
      <c r="DL147" s="56">
        <f t="shared" ca="1" si="60"/>
        <v>9.7263157894736842</v>
      </c>
      <c r="DM147" s="56">
        <f t="shared" ca="1" si="60"/>
        <v>9.7263157894736842</v>
      </c>
      <c r="DN147" s="56">
        <f t="shared" ca="1" si="60"/>
        <v>9.7263157894736842</v>
      </c>
      <c r="DO147" s="56">
        <f t="shared" ca="1" si="60"/>
        <v>9.7263157894736842</v>
      </c>
      <c r="DP147" s="56">
        <f t="shared" ca="1" si="60"/>
        <v>9.7263157894736842</v>
      </c>
      <c r="DQ147" s="56">
        <f t="shared" ca="1" si="60"/>
        <v>9.7263157894736842</v>
      </c>
      <c r="DR147" s="56">
        <f t="shared" ca="1" si="60"/>
        <v>9.7263157894736842</v>
      </c>
      <c r="DS147" s="56">
        <f t="shared" ca="1" si="60"/>
        <v>9.7263157894736842</v>
      </c>
      <c r="DT147" s="56">
        <f t="shared" ca="1" si="60"/>
        <v>9.7263157894736842</v>
      </c>
      <c r="DU147" s="56">
        <f t="shared" ca="1" si="60"/>
        <v>9.7263157894736842</v>
      </c>
      <c r="DV147" s="56">
        <f t="shared" ca="1" si="60"/>
        <v>9.7263157894736842</v>
      </c>
      <c r="DW147" s="56">
        <f t="shared" ca="1" si="60"/>
        <v>9.7263157894736842</v>
      </c>
      <c r="DX147" s="56">
        <f t="shared" ca="1" si="60"/>
        <v>9.7263157894736842</v>
      </c>
      <c r="DY147" s="56">
        <f t="shared" ca="1" si="60"/>
        <v>9.7263157894736842</v>
      </c>
      <c r="DZ147" s="56">
        <f t="shared" ca="1" si="60"/>
        <v>9.7263157894736842</v>
      </c>
      <c r="EA147" s="56">
        <f t="shared" ca="1" si="60"/>
        <v>9.7263157894736842</v>
      </c>
      <c r="EB147" s="56">
        <f t="shared" ca="1" si="60"/>
        <v>9.7263157894736842</v>
      </c>
      <c r="EC147" s="56">
        <f t="shared" ca="1" si="60"/>
        <v>9.7263157894736842</v>
      </c>
      <c r="ED147" s="56">
        <f t="shared" ca="1" si="60"/>
        <v>9.7263157894736842</v>
      </c>
      <c r="EE147" s="56">
        <f t="shared" ca="1" si="60"/>
        <v>9.7263157894736842</v>
      </c>
      <c r="EF147" s="56">
        <f t="shared" ca="1" si="60"/>
        <v>9.7263157894736842</v>
      </c>
      <c r="EG147" s="56">
        <f t="shared" ca="1" si="60"/>
        <v>9.7263157894736842</v>
      </c>
      <c r="EH147" s="56">
        <f t="shared" ca="1" si="60"/>
        <v>9.7263157894736842</v>
      </c>
      <c r="EI147" s="56">
        <f t="shared" ref="EI147:FN147" ca="1" si="61">$D119+($K119-$D119)*(1-COS(PI()*MIN(MAX((EI$139-($B$82-1))/$B$83,0),1)))/2</f>
        <v>9.7263157894736842</v>
      </c>
      <c r="EJ147" s="56">
        <f t="shared" ca="1" si="61"/>
        <v>9.7263157894736842</v>
      </c>
      <c r="EK147" s="56">
        <f t="shared" ca="1" si="61"/>
        <v>9.7263157894736842</v>
      </c>
      <c r="EL147" s="56">
        <f t="shared" ca="1" si="61"/>
        <v>9.7263157894736842</v>
      </c>
      <c r="EM147" s="56">
        <f t="shared" ca="1" si="61"/>
        <v>9.7263157894736842</v>
      </c>
      <c r="EN147" s="56">
        <f t="shared" ca="1" si="61"/>
        <v>9.7263157894736842</v>
      </c>
      <c r="EO147" s="56">
        <f t="shared" ca="1" si="61"/>
        <v>9.7263157894736842</v>
      </c>
      <c r="EP147" s="56">
        <f t="shared" ca="1" si="61"/>
        <v>9.7263157894736842</v>
      </c>
      <c r="EQ147" s="56">
        <f t="shared" ca="1" si="61"/>
        <v>9.7263157894736842</v>
      </c>
      <c r="ER147" s="56">
        <f t="shared" ca="1" si="61"/>
        <v>9.7263157894736842</v>
      </c>
      <c r="ES147" s="56">
        <f t="shared" ca="1" si="61"/>
        <v>9.7263157894736842</v>
      </c>
      <c r="ET147" s="56">
        <f t="shared" ca="1" si="61"/>
        <v>9.7263157894736842</v>
      </c>
      <c r="EU147" s="56">
        <f t="shared" ca="1" si="61"/>
        <v>9.7263157894736842</v>
      </c>
      <c r="EV147" s="56">
        <f t="shared" ca="1" si="61"/>
        <v>9.7263157894736842</v>
      </c>
      <c r="EW147" s="56">
        <f t="shared" ca="1" si="61"/>
        <v>9.7263157894736842</v>
      </c>
      <c r="EX147" s="56">
        <f t="shared" ca="1" si="61"/>
        <v>9.7263157894736842</v>
      </c>
      <c r="EY147" s="56">
        <f t="shared" ca="1" si="61"/>
        <v>9.7263157894736842</v>
      </c>
      <c r="EZ147" s="56">
        <f t="shared" ca="1" si="61"/>
        <v>9.7263157894736842</v>
      </c>
      <c r="FA147" s="56">
        <f t="shared" ca="1" si="61"/>
        <v>9.7263157894736842</v>
      </c>
      <c r="FB147" s="56">
        <f t="shared" ca="1" si="61"/>
        <v>9.7263157894736842</v>
      </c>
      <c r="FC147" s="56">
        <f t="shared" ca="1" si="61"/>
        <v>9.7263157894736842</v>
      </c>
      <c r="FD147" s="56">
        <f t="shared" ca="1" si="61"/>
        <v>9.7263157894736842</v>
      </c>
      <c r="FE147" s="56">
        <f t="shared" ca="1" si="61"/>
        <v>9.7263157894736842</v>
      </c>
      <c r="FF147" s="56">
        <f t="shared" ca="1" si="61"/>
        <v>9.7263157894736842</v>
      </c>
      <c r="FG147" s="56">
        <f t="shared" ca="1" si="61"/>
        <v>9.7263157894736842</v>
      </c>
      <c r="FH147" s="56">
        <f t="shared" ca="1" si="61"/>
        <v>9.7263157894736842</v>
      </c>
      <c r="FI147" s="56">
        <f t="shared" ca="1" si="61"/>
        <v>9.7263157894736842</v>
      </c>
      <c r="FJ147" s="56">
        <f t="shared" ca="1" si="61"/>
        <v>9.7263157894736842</v>
      </c>
      <c r="FK147" s="56">
        <f t="shared" ca="1" si="61"/>
        <v>9.7263157894736842</v>
      </c>
      <c r="FL147" s="56">
        <f t="shared" ca="1" si="61"/>
        <v>9.7263157894736842</v>
      </c>
      <c r="FM147" s="56">
        <f t="shared" ca="1" si="61"/>
        <v>9.7263157894736842</v>
      </c>
      <c r="FN147" s="56">
        <f t="shared" ca="1" si="61"/>
        <v>9.7263157894736842</v>
      </c>
      <c r="FO147" s="56">
        <f t="shared" ref="FO147:GP147" ca="1" si="62">$D119+($K119-$D119)*(1-COS(PI()*MIN(MAX((FO$139-($B$82-1))/$B$83,0),1)))/2</f>
        <v>9.7263157894736842</v>
      </c>
      <c r="FP147" s="56">
        <f t="shared" ca="1" si="62"/>
        <v>9.7263157894736842</v>
      </c>
      <c r="FQ147" s="56">
        <f t="shared" ca="1" si="62"/>
        <v>9.7263157894736842</v>
      </c>
      <c r="FR147" s="56">
        <f t="shared" ca="1" si="62"/>
        <v>9.7263157894736842</v>
      </c>
      <c r="FS147" s="56">
        <f t="shared" ca="1" si="62"/>
        <v>9.7263157894736842</v>
      </c>
      <c r="FT147" s="56">
        <f t="shared" ca="1" si="62"/>
        <v>9.7263157894736842</v>
      </c>
      <c r="FU147" s="56">
        <f t="shared" ca="1" si="62"/>
        <v>9.7263157894736842</v>
      </c>
      <c r="FV147" s="56">
        <f t="shared" ca="1" si="62"/>
        <v>9.7263157894736842</v>
      </c>
      <c r="FW147" s="56">
        <f t="shared" ca="1" si="62"/>
        <v>9.7263157894736842</v>
      </c>
      <c r="FX147" s="56">
        <f t="shared" ca="1" si="62"/>
        <v>9.7263157894736842</v>
      </c>
      <c r="FY147" s="56">
        <f t="shared" ca="1" si="62"/>
        <v>9.7263157894736842</v>
      </c>
      <c r="FZ147" s="56">
        <f t="shared" ca="1" si="62"/>
        <v>9.7263157894736842</v>
      </c>
      <c r="GA147" s="56">
        <f t="shared" ca="1" si="62"/>
        <v>9.7263157894736842</v>
      </c>
      <c r="GB147" s="56">
        <f t="shared" ca="1" si="62"/>
        <v>9.7263157894736842</v>
      </c>
      <c r="GC147" s="56">
        <f t="shared" ca="1" si="62"/>
        <v>9.7263157894736842</v>
      </c>
      <c r="GD147" s="56">
        <f t="shared" ca="1" si="62"/>
        <v>9.7263157894736842</v>
      </c>
      <c r="GE147" s="56">
        <f t="shared" ca="1" si="62"/>
        <v>9.7263157894736842</v>
      </c>
      <c r="GF147" s="56">
        <f t="shared" ca="1" si="62"/>
        <v>9.7263157894736842</v>
      </c>
      <c r="GG147" s="56">
        <f t="shared" ca="1" si="62"/>
        <v>9.7263157894736842</v>
      </c>
      <c r="GH147" s="56">
        <f t="shared" ca="1" si="62"/>
        <v>9.7263157894736842</v>
      </c>
      <c r="GI147" s="56">
        <f t="shared" ca="1" si="62"/>
        <v>9.7263157894736842</v>
      </c>
      <c r="GJ147" s="56">
        <f t="shared" ca="1" si="62"/>
        <v>9.7263157894736842</v>
      </c>
      <c r="GK147" s="56">
        <f t="shared" ca="1" si="62"/>
        <v>9.7263157894736842</v>
      </c>
      <c r="GL147" s="56">
        <f t="shared" ca="1" si="62"/>
        <v>9.7263157894736842</v>
      </c>
      <c r="GM147" s="56">
        <f t="shared" ca="1" si="62"/>
        <v>9.7263157894736842</v>
      </c>
      <c r="GN147" s="56">
        <f t="shared" ca="1" si="62"/>
        <v>9.7263157894736842</v>
      </c>
      <c r="GO147" s="56">
        <f t="shared" ca="1" si="62"/>
        <v>9.7263157894736842</v>
      </c>
      <c r="GP147" s="56">
        <f t="shared" ca="1" si="62"/>
        <v>9.7263157894736842</v>
      </c>
    </row>
    <row r="148" spans="1:198" ht="24" x14ac:dyDescent="0.35">
      <c r="A148" s="57" t="str">
        <f t="shared" ca="1" si="26"/>
        <v>12
Available now</v>
      </c>
      <c r="B148" s="55" t="s">
        <v>297</v>
      </c>
      <c r="K148" s="56">
        <f t="shared" ref="K148:AP148" si="63">$D120</f>
        <v>0</v>
      </c>
      <c r="L148" s="56">
        <f t="shared" si="63"/>
        <v>0</v>
      </c>
      <c r="M148" s="56">
        <f t="shared" si="63"/>
        <v>0</v>
      </c>
      <c r="N148" s="56">
        <f t="shared" si="63"/>
        <v>0</v>
      </c>
      <c r="O148" s="56">
        <f t="shared" si="63"/>
        <v>0</v>
      </c>
      <c r="P148" s="56">
        <f t="shared" si="63"/>
        <v>0</v>
      </c>
      <c r="Q148" s="56">
        <f t="shared" si="63"/>
        <v>0</v>
      </c>
      <c r="R148" s="56">
        <f t="shared" si="63"/>
        <v>0</v>
      </c>
      <c r="S148" s="56">
        <f t="shared" si="63"/>
        <v>0</v>
      </c>
      <c r="T148" s="56">
        <f t="shared" si="63"/>
        <v>0</v>
      </c>
      <c r="U148" s="56">
        <f t="shared" si="63"/>
        <v>0</v>
      </c>
      <c r="V148" s="56">
        <f t="shared" si="63"/>
        <v>0</v>
      </c>
      <c r="W148" s="56">
        <f t="shared" si="63"/>
        <v>0</v>
      </c>
      <c r="X148" s="56">
        <f t="shared" si="63"/>
        <v>0</v>
      </c>
      <c r="Y148" s="56">
        <f t="shared" si="63"/>
        <v>0</v>
      </c>
      <c r="Z148" s="56">
        <f t="shared" si="63"/>
        <v>0</v>
      </c>
      <c r="AA148" s="56">
        <f t="shared" si="63"/>
        <v>0</v>
      </c>
      <c r="AB148" s="56">
        <f t="shared" si="63"/>
        <v>0</v>
      </c>
      <c r="AC148" s="56">
        <f t="shared" si="63"/>
        <v>0</v>
      </c>
      <c r="AD148" s="56">
        <f t="shared" si="63"/>
        <v>0</v>
      </c>
      <c r="AE148" s="56">
        <f t="shared" si="63"/>
        <v>0</v>
      </c>
      <c r="AF148" s="56">
        <f t="shared" si="63"/>
        <v>0</v>
      </c>
      <c r="AG148" s="56">
        <f t="shared" si="63"/>
        <v>0</v>
      </c>
      <c r="AH148" s="56">
        <f t="shared" si="63"/>
        <v>0</v>
      </c>
      <c r="AI148" s="56">
        <f t="shared" si="63"/>
        <v>0</v>
      </c>
      <c r="AJ148" s="56">
        <f t="shared" si="63"/>
        <v>0</v>
      </c>
      <c r="AK148" s="56">
        <f t="shared" si="63"/>
        <v>0</v>
      </c>
      <c r="AL148" s="56">
        <f t="shared" si="63"/>
        <v>0</v>
      </c>
      <c r="AM148" s="56">
        <f t="shared" si="63"/>
        <v>0</v>
      </c>
      <c r="AN148" s="56">
        <f t="shared" si="63"/>
        <v>0</v>
      </c>
      <c r="AO148" s="56">
        <f t="shared" si="63"/>
        <v>0</v>
      </c>
      <c r="AP148" s="56">
        <f t="shared" si="63"/>
        <v>0</v>
      </c>
      <c r="AQ148" s="56">
        <f t="shared" ref="AQ148:BV148" si="64">$D120</f>
        <v>0</v>
      </c>
      <c r="AR148" s="56">
        <f t="shared" si="64"/>
        <v>0</v>
      </c>
      <c r="AS148" s="56">
        <f t="shared" si="64"/>
        <v>0</v>
      </c>
      <c r="AT148" s="56">
        <f t="shared" si="64"/>
        <v>0</v>
      </c>
      <c r="AU148" s="56">
        <f t="shared" si="64"/>
        <v>0</v>
      </c>
      <c r="AV148" s="56">
        <f t="shared" si="64"/>
        <v>0</v>
      </c>
      <c r="AW148" s="56">
        <f t="shared" si="64"/>
        <v>0</v>
      </c>
      <c r="AX148" s="56">
        <f t="shared" si="64"/>
        <v>0</v>
      </c>
      <c r="AY148" s="56">
        <f t="shared" si="64"/>
        <v>0</v>
      </c>
      <c r="AZ148" s="56">
        <f t="shared" si="64"/>
        <v>0</v>
      </c>
      <c r="BA148" s="56">
        <f t="shared" si="64"/>
        <v>0</v>
      </c>
      <c r="BB148" s="56">
        <f t="shared" si="64"/>
        <v>0</v>
      </c>
      <c r="BC148" s="56">
        <f t="shared" si="64"/>
        <v>0</v>
      </c>
      <c r="BD148" s="56">
        <f t="shared" si="64"/>
        <v>0</v>
      </c>
      <c r="BE148" s="56">
        <f t="shared" si="64"/>
        <v>0</v>
      </c>
      <c r="BF148" s="56">
        <f t="shared" si="64"/>
        <v>0</v>
      </c>
      <c r="BG148" s="56">
        <f t="shared" si="64"/>
        <v>0</v>
      </c>
      <c r="BH148" s="56">
        <f t="shared" si="64"/>
        <v>0</v>
      </c>
      <c r="BI148" s="56">
        <f t="shared" si="64"/>
        <v>0</v>
      </c>
      <c r="BJ148" s="56">
        <f t="shared" si="64"/>
        <v>0</v>
      </c>
      <c r="BK148" s="56">
        <f t="shared" si="64"/>
        <v>0</v>
      </c>
      <c r="BL148" s="56">
        <f t="shared" si="64"/>
        <v>0</v>
      </c>
      <c r="BM148" s="56">
        <f t="shared" si="64"/>
        <v>0</v>
      </c>
      <c r="BN148" s="56">
        <f t="shared" si="64"/>
        <v>0</v>
      </c>
      <c r="BO148" s="56">
        <f t="shared" si="64"/>
        <v>0</v>
      </c>
      <c r="BP148" s="56">
        <f t="shared" si="64"/>
        <v>0</v>
      </c>
      <c r="BQ148" s="56">
        <f t="shared" si="64"/>
        <v>0</v>
      </c>
      <c r="BR148" s="56">
        <f t="shared" si="64"/>
        <v>0</v>
      </c>
      <c r="BS148" s="56">
        <f t="shared" si="64"/>
        <v>0</v>
      </c>
      <c r="BT148" s="56">
        <f t="shared" si="64"/>
        <v>0</v>
      </c>
      <c r="BU148" s="56">
        <f t="shared" si="64"/>
        <v>0</v>
      </c>
      <c r="BV148" s="56">
        <f t="shared" si="64"/>
        <v>0</v>
      </c>
      <c r="BW148" s="56">
        <f t="shared" ref="BW148:DB148" si="65">$D120</f>
        <v>0</v>
      </c>
      <c r="BX148" s="56">
        <f t="shared" si="65"/>
        <v>0</v>
      </c>
      <c r="BY148" s="56">
        <f t="shared" si="65"/>
        <v>0</v>
      </c>
      <c r="BZ148" s="56">
        <f t="shared" si="65"/>
        <v>0</v>
      </c>
      <c r="CA148" s="56">
        <f t="shared" si="65"/>
        <v>0</v>
      </c>
      <c r="CB148" s="56">
        <f t="shared" si="65"/>
        <v>0</v>
      </c>
      <c r="CC148" s="56">
        <f t="shared" si="65"/>
        <v>0</v>
      </c>
      <c r="CD148" s="56">
        <f t="shared" si="65"/>
        <v>0</v>
      </c>
      <c r="CE148" s="56">
        <f t="shared" si="65"/>
        <v>0</v>
      </c>
      <c r="CF148" s="56">
        <f t="shared" si="65"/>
        <v>0</v>
      </c>
      <c r="CG148" s="56">
        <f t="shared" si="65"/>
        <v>0</v>
      </c>
      <c r="CH148" s="56">
        <f t="shared" si="65"/>
        <v>0</v>
      </c>
      <c r="CI148" s="56">
        <f t="shared" si="65"/>
        <v>0</v>
      </c>
      <c r="CJ148" s="56">
        <f t="shared" si="65"/>
        <v>0</v>
      </c>
      <c r="CK148" s="56">
        <f t="shared" si="65"/>
        <v>0</v>
      </c>
      <c r="CL148" s="56">
        <f t="shared" si="65"/>
        <v>0</v>
      </c>
      <c r="CM148" s="56">
        <f t="shared" si="65"/>
        <v>0</v>
      </c>
      <c r="CN148" s="56">
        <f t="shared" si="65"/>
        <v>0</v>
      </c>
      <c r="CO148" s="56">
        <f t="shared" si="65"/>
        <v>0</v>
      </c>
      <c r="CP148" s="56">
        <f t="shared" si="65"/>
        <v>0</v>
      </c>
      <c r="CQ148" s="56">
        <f t="shared" si="65"/>
        <v>0</v>
      </c>
      <c r="CR148" s="56">
        <f t="shared" si="65"/>
        <v>0</v>
      </c>
      <c r="CS148" s="56">
        <f t="shared" si="65"/>
        <v>0</v>
      </c>
      <c r="CT148" s="56">
        <f t="shared" si="65"/>
        <v>0</v>
      </c>
      <c r="CU148" s="56">
        <f t="shared" si="65"/>
        <v>0</v>
      </c>
      <c r="CV148" s="56">
        <f t="shared" si="65"/>
        <v>0</v>
      </c>
      <c r="CW148" s="56">
        <f t="shared" si="65"/>
        <v>0</v>
      </c>
      <c r="CX148" s="56">
        <f t="shared" si="65"/>
        <v>0</v>
      </c>
      <c r="CY148" s="56">
        <f t="shared" si="65"/>
        <v>0</v>
      </c>
      <c r="CZ148" s="56">
        <f t="shared" si="65"/>
        <v>0</v>
      </c>
      <c r="DA148" s="56">
        <f t="shared" si="65"/>
        <v>0</v>
      </c>
      <c r="DB148" s="56">
        <f t="shared" si="65"/>
        <v>0</v>
      </c>
      <c r="DC148" s="56">
        <f t="shared" ref="DC148:EH148" si="66">$D120</f>
        <v>0</v>
      </c>
      <c r="DD148" s="56">
        <f t="shared" si="66"/>
        <v>0</v>
      </c>
      <c r="DE148" s="56">
        <f t="shared" si="66"/>
        <v>0</v>
      </c>
      <c r="DF148" s="56">
        <f t="shared" si="66"/>
        <v>0</v>
      </c>
      <c r="DG148" s="56">
        <f t="shared" si="66"/>
        <v>0</v>
      </c>
      <c r="DH148" s="56">
        <f t="shared" si="66"/>
        <v>0</v>
      </c>
      <c r="DI148" s="56">
        <f t="shared" si="66"/>
        <v>0</v>
      </c>
      <c r="DJ148" s="56">
        <f t="shared" si="66"/>
        <v>0</v>
      </c>
      <c r="DK148" s="56">
        <f t="shared" si="66"/>
        <v>0</v>
      </c>
      <c r="DL148" s="56">
        <f t="shared" si="66"/>
        <v>0</v>
      </c>
      <c r="DM148" s="56">
        <f t="shared" si="66"/>
        <v>0</v>
      </c>
      <c r="DN148" s="56">
        <f t="shared" si="66"/>
        <v>0</v>
      </c>
      <c r="DO148" s="56">
        <f t="shared" si="66"/>
        <v>0</v>
      </c>
      <c r="DP148" s="56">
        <f t="shared" si="66"/>
        <v>0</v>
      </c>
      <c r="DQ148" s="56">
        <f t="shared" si="66"/>
        <v>0</v>
      </c>
      <c r="DR148" s="56">
        <f t="shared" si="66"/>
        <v>0</v>
      </c>
      <c r="DS148" s="56">
        <f t="shared" si="66"/>
        <v>0</v>
      </c>
      <c r="DT148" s="56">
        <f t="shared" si="66"/>
        <v>0</v>
      </c>
      <c r="DU148" s="56">
        <f t="shared" si="66"/>
        <v>0</v>
      </c>
      <c r="DV148" s="56">
        <f t="shared" si="66"/>
        <v>0</v>
      </c>
      <c r="DW148" s="56">
        <f t="shared" si="66"/>
        <v>0</v>
      </c>
      <c r="DX148" s="56">
        <f t="shared" si="66"/>
        <v>0</v>
      </c>
      <c r="DY148" s="56">
        <f t="shared" si="66"/>
        <v>0</v>
      </c>
      <c r="DZ148" s="56">
        <f t="shared" si="66"/>
        <v>0</v>
      </c>
      <c r="EA148" s="56">
        <f t="shared" si="66"/>
        <v>0</v>
      </c>
      <c r="EB148" s="56">
        <f t="shared" si="66"/>
        <v>0</v>
      </c>
      <c r="EC148" s="56">
        <f t="shared" si="66"/>
        <v>0</v>
      </c>
      <c r="ED148" s="56">
        <f t="shared" si="66"/>
        <v>0</v>
      </c>
      <c r="EE148" s="56">
        <f t="shared" si="66"/>
        <v>0</v>
      </c>
      <c r="EF148" s="56">
        <f t="shared" si="66"/>
        <v>0</v>
      </c>
      <c r="EG148" s="56">
        <f t="shared" si="66"/>
        <v>0</v>
      </c>
      <c r="EH148" s="56">
        <f t="shared" si="66"/>
        <v>0</v>
      </c>
      <c r="EI148" s="56">
        <f t="shared" ref="EI148:FN148" si="67">$D120</f>
        <v>0</v>
      </c>
      <c r="EJ148" s="56">
        <f t="shared" si="67"/>
        <v>0</v>
      </c>
      <c r="EK148" s="56">
        <f t="shared" si="67"/>
        <v>0</v>
      </c>
      <c r="EL148" s="56">
        <f t="shared" si="67"/>
        <v>0</v>
      </c>
      <c r="EM148" s="56">
        <f t="shared" si="67"/>
        <v>0</v>
      </c>
      <c r="EN148" s="56">
        <f t="shared" si="67"/>
        <v>0</v>
      </c>
      <c r="EO148" s="56">
        <f t="shared" si="67"/>
        <v>0</v>
      </c>
      <c r="EP148" s="56">
        <f t="shared" si="67"/>
        <v>0</v>
      </c>
      <c r="EQ148" s="56">
        <f t="shared" si="67"/>
        <v>0</v>
      </c>
      <c r="ER148" s="56">
        <f t="shared" si="67"/>
        <v>0</v>
      </c>
      <c r="ES148" s="56">
        <f t="shared" si="67"/>
        <v>0</v>
      </c>
      <c r="ET148" s="56">
        <f t="shared" si="67"/>
        <v>0</v>
      </c>
      <c r="EU148" s="56">
        <f t="shared" si="67"/>
        <v>0</v>
      </c>
      <c r="EV148" s="56">
        <f t="shared" si="67"/>
        <v>0</v>
      </c>
      <c r="EW148" s="56">
        <f t="shared" si="67"/>
        <v>0</v>
      </c>
      <c r="EX148" s="56">
        <f t="shared" si="67"/>
        <v>0</v>
      </c>
      <c r="EY148" s="56">
        <f t="shared" si="67"/>
        <v>0</v>
      </c>
      <c r="EZ148" s="56">
        <f t="shared" si="67"/>
        <v>0</v>
      </c>
      <c r="FA148" s="56">
        <f t="shared" si="67"/>
        <v>0</v>
      </c>
      <c r="FB148" s="56">
        <f t="shared" si="67"/>
        <v>0</v>
      </c>
      <c r="FC148" s="56">
        <f t="shared" si="67"/>
        <v>0</v>
      </c>
      <c r="FD148" s="56">
        <f t="shared" si="67"/>
        <v>0</v>
      </c>
      <c r="FE148" s="56">
        <f t="shared" si="67"/>
        <v>0</v>
      </c>
      <c r="FF148" s="56">
        <f t="shared" si="67"/>
        <v>0</v>
      </c>
      <c r="FG148" s="56">
        <f t="shared" si="67"/>
        <v>0</v>
      </c>
      <c r="FH148" s="56">
        <f t="shared" si="67"/>
        <v>0</v>
      </c>
      <c r="FI148" s="56">
        <f t="shared" si="67"/>
        <v>0</v>
      </c>
      <c r="FJ148" s="56">
        <f t="shared" si="67"/>
        <v>0</v>
      </c>
      <c r="FK148" s="56">
        <f t="shared" si="67"/>
        <v>0</v>
      </c>
      <c r="FL148" s="56">
        <f t="shared" si="67"/>
        <v>0</v>
      </c>
      <c r="FM148" s="56">
        <f t="shared" si="67"/>
        <v>0</v>
      </c>
      <c r="FN148" s="56">
        <f t="shared" si="67"/>
        <v>0</v>
      </c>
      <c r="FO148" s="56">
        <f t="shared" ref="FO148:GP148" si="68">$D120</f>
        <v>0</v>
      </c>
      <c r="FP148" s="56">
        <f t="shared" si="68"/>
        <v>0</v>
      </c>
      <c r="FQ148" s="56">
        <f t="shared" si="68"/>
        <v>0</v>
      </c>
      <c r="FR148" s="56">
        <f t="shared" si="68"/>
        <v>0</v>
      </c>
      <c r="FS148" s="56">
        <f t="shared" si="68"/>
        <v>0</v>
      </c>
      <c r="FT148" s="56">
        <f t="shared" si="68"/>
        <v>0</v>
      </c>
      <c r="FU148" s="56">
        <f t="shared" si="68"/>
        <v>0</v>
      </c>
      <c r="FV148" s="56">
        <f t="shared" si="68"/>
        <v>0</v>
      </c>
      <c r="FW148" s="56">
        <f t="shared" si="68"/>
        <v>0</v>
      </c>
      <c r="FX148" s="56">
        <f t="shared" si="68"/>
        <v>0</v>
      </c>
      <c r="FY148" s="56">
        <f t="shared" si="68"/>
        <v>0</v>
      </c>
      <c r="FZ148" s="56">
        <f t="shared" si="68"/>
        <v>0</v>
      </c>
      <c r="GA148" s="56">
        <f t="shared" si="68"/>
        <v>0</v>
      </c>
      <c r="GB148" s="56">
        <f t="shared" si="68"/>
        <v>0</v>
      </c>
      <c r="GC148" s="56">
        <f t="shared" si="68"/>
        <v>0</v>
      </c>
      <c r="GD148" s="56">
        <f t="shared" si="68"/>
        <v>0</v>
      </c>
      <c r="GE148" s="56">
        <f t="shared" si="68"/>
        <v>0</v>
      </c>
      <c r="GF148" s="56">
        <f t="shared" si="68"/>
        <v>0</v>
      </c>
      <c r="GG148" s="56">
        <f t="shared" si="68"/>
        <v>0</v>
      </c>
      <c r="GH148" s="56">
        <f t="shared" si="68"/>
        <v>0</v>
      </c>
      <c r="GI148" s="56">
        <f t="shared" si="68"/>
        <v>0</v>
      </c>
      <c r="GJ148" s="56">
        <f t="shared" si="68"/>
        <v>0</v>
      </c>
      <c r="GK148" s="56">
        <f t="shared" si="68"/>
        <v>0</v>
      </c>
      <c r="GL148" s="56">
        <f t="shared" si="68"/>
        <v>0</v>
      </c>
      <c r="GM148" s="56">
        <f t="shared" si="68"/>
        <v>0</v>
      </c>
      <c r="GN148" s="56">
        <f t="shared" si="68"/>
        <v>0</v>
      </c>
      <c r="GO148" s="56">
        <f t="shared" si="68"/>
        <v>0</v>
      </c>
      <c r="GP148" s="56">
        <f t="shared" si="68"/>
        <v>0</v>
      </c>
    </row>
    <row r="149" spans="1:198" x14ac:dyDescent="0.35">
      <c r="A149" s="55" t="str">
        <f t="shared" si="26"/>
        <v>Available now &gt; TriNet</v>
      </c>
      <c r="B149" s="55" t="s">
        <v>297</v>
      </c>
      <c r="K149" s="56">
        <f t="shared" ref="K149:AP149" ca="1" si="69">$D121+($K121-$D121)*(1-COS(PI()*MIN(MAX((K$139-$B$88)/($B$85-1),0),1)))/2</f>
        <v>0</v>
      </c>
      <c r="L149" s="56">
        <f t="shared" ca="1" si="69"/>
        <v>0</v>
      </c>
      <c r="M149" s="56">
        <f t="shared" ca="1" si="69"/>
        <v>0</v>
      </c>
      <c r="N149" s="56">
        <f t="shared" ca="1" si="69"/>
        <v>0</v>
      </c>
      <c r="O149" s="56">
        <f t="shared" ca="1" si="69"/>
        <v>0</v>
      </c>
      <c r="P149" s="56">
        <f t="shared" ca="1" si="69"/>
        <v>0</v>
      </c>
      <c r="Q149" s="56">
        <f t="shared" ca="1" si="69"/>
        <v>0</v>
      </c>
      <c r="R149" s="56">
        <f t="shared" ca="1" si="69"/>
        <v>0</v>
      </c>
      <c r="S149" s="56">
        <f t="shared" ca="1" si="69"/>
        <v>0</v>
      </c>
      <c r="T149" s="56">
        <f t="shared" ca="1" si="69"/>
        <v>0</v>
      </c>
      <c r="U149" s="56">
        <f t="shared" ca="1" si="69"/>
        <v>0</v>
      </c>
      <c r="V149" s="56">
        <f t="shared" ca="1" si="69"/>
        <v>0</v>
      </c>
      <c r="W149" s="56">
        <f t="shared" ca="1" si="69"/>
        <v>0</v>
      </c>
      <c r="X149" s="56">
        <f t="shared" ca="1" si="69"/>
        <v>0</v>
      </c>
      <c r="Y149" s="56">
        <f t="shared" ca="1" si="69"/>
        <v>0</v>
      </c>
      <c r="Z149" s="56">
        <f t="shared" ca="1" si="69"/>
        <v>0</v>
      </c>
      <c r="AA149" s="56">
        <f t="shared" ca="1" si="69"/>
        <v>0</v>
      </c>
      <c r="AB149" s="56">
        <f t="shared" ca="1" si="69"/>
        <v>0</v>
      </c>
      <c r="AC149" s="56">
        <f t="shared" ca="1" si="69"/>
        <v>0</v>
      </c>
      <c r="AD149" s="56">
        <f t="shared" ca="1" si="69"/>
        <v>0</v>
      </c>
      <c r="AE149" s="56">
        <f t="shared" ca="1" si="69"/>
        <v>0</v>
      </c>
      <c r="AF149" s="56">
        <f t="shared" ca="1" si="69"/>
        <v>0</v>
      </c>
      <c r="AG149" s="56">
        <f t="shared" ca="1" si="69"/>
        <v>0</v>
      </c>
      <c r="AH149" s="56">
        <f t="shared" ca="1" si="69"/>
        <v>0</v>
      </c>
      <c r="AI149" s="56">
        <f t="shared" ca="1" si="69"/>
        <v>0</v>
      </c>
      <c r="AJ149" s="56">
        <f t="shared" ca="1" si="69"/>
        <v>0</v>
      </c>
      <c r="AK149" s="56">
        <f t="shared" ca="1" si="69"/>
        <v>0</v>
      </c>
      <c r="AL149" s="56">
        <f t="shared" ca="1" si="69"/>
        <v>0</v>
      </c>
      <c r="AM149" s="56">
        <f t="shared" ca="1" si="69"/>
        <v>0</v>
      </c>
      <c r="AN149" s="56">
        <f t="shared" ca="1" si="69"/>
        <v>0</v>
      </c>
      <c r="AO149" s="56">
        <f t="shared" ca="1" si="69"/>
        <v>0</v>
      </c>
      <c r="AP149" s="56">
        <f t="shared" ca="1" si="69"/>
        <v>0</v>
      </c>
      <c r="AQ149" s="56">
        <f t="shared" ref="AQ149:BV149" ca="1" si="70">$D121+($K121-$D121)*(1-COS(PI()*MIN(MAX((AQ$139-$B$88)/($B$85-1),0),1)))/2</f>
        <v>0</v>
      </c>
      <c r="AR149" s="56">
        <f t="shared" ca="1" si="70"/>
        <v>0</v>
      </c>
      <c r="AS149" s="56">
        <f t="shared" ca="1" si="70"/>
        <v>0</v>
      </c>
      <c r="AT149" s="56">
        <f t="shared" ca="1" si="70"/>
        <v>0</v>
      </c>
      <c r="AU149" s="56">
        <f t="shared" ca="1" si="70"/>
        <v>0</v>
      </c>
      <c r="AV149" s="56">
        <f t="shared" ca="1" si="70"/>
        <v>0</v>
      </c>
      <c r="AW149" s="56">
        <f t="shared" ca="1" si="70"/>
        <v>0</v>
      </c>
      <c r="AX149" s="56">
        <f t="shared" ca="1" si="70"/>
        <v>0</v>
      </c>
      <c r="AY149" s="56">
        <f t="shared" ca="1" si="70"/>
        <v>0</v>
      </c>
      <c r="AZ149" s="56">
        <f t="shared" ca="1" si="70"/>
        <v>0</v>
      </c>
      <c r="BA149" s="56">
        <f t="shared" ca="1" si="70"/>
        <v>0</v>
      </c>
      <c r="BB149" s="56">
        <f t="shared" ca="1" si="70"/>
        <v>0</v>
      </c>
      <c r="BC149" s="56">
        <f t="shared" ca="1" si="70"/>
        <v>0</v>
      </c>
      <c r="BD149" s="56">
        <f t="shared" ca="1" si="70"/>
        <v>0</v>
      </c>
      <c r="BE149" s="56">
        <f t="shared" ca="1" si="70"/>
        <v>0</v>
      </c>
      <c r="BF149" s="56">
        <f t="shared" ca="1" si="70"/>
        <v>0</v>
      </c>
      <c r="BG149" s="56">
        <f t="shared" ca="1" si="70"/>
        <v>0</v>
      </c>
      <c r="BH149" s="56">
        <f t="shared" ca="1" si="70"/>
        <v>0</v>
      </c>
      <c r="BI149" s="56">
        <f t="shared" ca="1" si="70"/>
        <v>0</v>
      </c>
      <c r="BJ149" s="56">
        <f t="shared" ca="1" si="70"/>
        <v>0</v>
      </c>
      <c r="BK149" s="56">
        <f t="shared" ca="1" si="70"/>
        <v>0</v>
      </c>
      <c r="BL149" s="56">
        <f t="shared" ca="1" si="70"/>
        <v>0</v>
      </c>
      <c r="BM149" s="56">
        <f t="shared" ca="1" si="70"/>
        <v>0</v>
      </c>
      <c r="BN149" s="56">
        <f t="shared" ca="1" si="70"/>
        <v>0</v>
      </c>
      <c r="BO149" s="56">
        <f t="shared" ca="1" si="70"/>
        <v>0</v>
      </c>
      <c r="BP149" s="56">
        <f t="shared" ca="1" si="70"/>
        <v>0</v>
      </c>
      <c r="BQ149" s="56">
        <f t="shared" ca="1" si="70"/>
        <v>0</v>
      </c>
      <c r="BR149" s="56">
        <f t="shared" ca="1" si="70"/>
        <v>0</v>
      </c>
      <c r="BS149" s="56">
        <f t="shared" ca="1" si="70"/>
        <v>0</v>
      </c>
      <c r="BT149" s="56">
        <f t="shared" ca="1" si="70"/>
        <v>0</v>
      </c>
      <c r="BU149" s="56">
        <f t="shared" ca="1" si="70"/>
        <v>0</v>
      </c>
      <c r="BV149" s="56">
        <f t="shared" ca="1" si="70"/>
        <v>0</v>
      </c>
      <c r="BW149" s="56">
        <f t="shared" ref="BW149:DB149" ca="1" si="71">$D121+($K121-$D121)*(1-COS(PI()*MIN(MAX((BW$139-$B$88)/($B$85-1),0),1)))/2</f>
        <v>0</v>
      </c>
      <c r="BX149" s="56">
        <f t="shared" ca="1" si="71"/>
        <v>0</v>
      </c>
      <c r="BY149" s="56">
        <f t="shared" ca="1" si="71"/>
        <v>0</v>
      </c>
      <c r="BZ149" s="56">
        <f t="shared" ca="1" si="71"/>
        <v>0</v>
      </c>
      <c r="CA149" s="56">
        <f t="shared" ca="1" si="71"/>
        <v>0</v>
      </c>
      <c r="CB149" s="56">
        <f t="shared" ca="1" si="71"/>
        <v>0</v>
      </c>
      <c r="CC149" s="56">
        <f t="shared" ca="1" si="71"/>
        <v>0</v>
      </c>
      <c r="CD149" s="56">
        <f t="shared" ca="1" si="71"/>
        <v>0</v>
      </c>
      <c r="CE149" s="56">
        <f t="shared" ca="1" si="71"/>
        <v>0</v>
      </c>
      <c r="CF149" s="56">
        <f t="shared" ca="1" si="71"/>
        <v>0</v>
      </c>
      <c r="CG149" s="56">
        <f t="shared" ca="1" si="71"/>
        <v>0</v>
      </c>
      <c r="CH149" s="56">
        <f t="shared" ca="1" si="71"/>
        <v>0</v>
      </c>
      <c r="CI149" s="56">
        <f t="shared" ca="1" si="71"/>
        <v>0</v>
      </c>
      <c r="CJ149" s="56">
        <f t="shared" ca="1" si="71"/>
        <v>0</v>
      </c>
      <c r="CK149" s="56">
        <f t="shared" ca="1" si="71"/>
        <v>0</v>
      </c>
      <c r="CL149" s="56">
        <f t="shared" ca="1" si="71"/>
        <v>0</v>
      </c>
      <c r="CM149" s="56">
        <f t="shared" ca="1" si="71"/>
        <v>0</v>
      </c>
      <c r="CN149" s="56">
        <f t="shared" ca="1" si="71"/>
        <v>0</v>
      </c>
      <c r="CO149" s="56">
        <f t="shared" ca="1" si="71"/>
        <v>0</v>
      </c>
      <c r="CP149" s="56">
        <f t="shared" ca="1" si="71"/>
        <v>0</v>
      </c>
      <c r="CQ149" s="56">
        <f t="shared" ca="1" si="71"/>
        <v>0</v>
      </c>
      <c r="CR149" s="56">
        <f t="shared" ca="1" si="71"/>
        <v>0</v>
      </c>
      <c r="CS149" s="56">
        <f t="shared" ca="1" si="71"/>
        <v>0</v>
      </c>
      <c r="CT149" s="56">
        <f t="shared" ca="1" si="71"/>
        <v>0</v>
      </c>
      <c r="CU149" s="56">
        <f t="shared" ca="1" si="71"/>
        <v>0</v>
      </c>
      <c r="CV149" s="56">
        <f t="shared" ca="1" si="71"/>
        <v>0</v>
      </c>
      <c r="CW149" s="56">
        <f t="shared" ca="1" si="71"/>
        <v>0</v>
      </c>
      <c r="CX149" s="56">
        <f t="shared" ca="1" si="71"/>
        <v>0</v>
      </c>
      <c r="CY149" s="56">
        <f t="shared" ca="1" si="71"/>
        <v>0</v>
      </c>
      <c r="CZ149" s="56">
        <f t="shared" ca="1" si="71"/>
        <v>0</v>
      </c>
      <c r="DA149" s="56">
        <f t="shared" ca="1" si="71"/>
        <v>0</v>
      </c>
      <c r="DB149" s="56">
        <f t="shared" ca="1" si="71"/>
        <v>0</v>
      </c>
      <c r="DC149" s="56">
        <f t="shared" ref="DC149:EH149" ca="1" si="72">$D121+($K121-$D121)*(1-COS(PI()*MIN(MAX((DC$139-$B$88)/($B$85-1),0),1)))/2</f>
        <v>0</v>
      </c>
      <c r="DD149" s="56">
        <f t="shared" ca="1" si="72"/>
        <v>0</v>
      </c>
      <c r="DE149" s="56">
        <f t="shared" ca="1" si="72"/>
        <v>0</v>
      </c>
      <c r="DF149" s="56">
        <f t="shared" ca="1" si="72"/>
        <v>0</v>
      </c>
      <c r="DG149" s="56">
        <f t="shared" ca="1" si="72"/>
        <v>0</v>
      </c>
      <c r="DH149" s="56">
        <f t="shared" ca="1" si="72"/>
        <v>0</v>
      </c>
      <c r="DI149" s="56">
        <f t="shared" ca="1" si="72"/>
        <v>0</v>
      </c>
      <c r="DJ149" s="56">
        <f t="shared" ca="1" si="72"/>
        <v>0</v>
      </c>
      <c r="DK149" s="56">
        <f t="shared" ca="1" si="72"/>
        <v>0</v>
      </c>
      <c r="DL149" s="56">
        <f t="shared" ca="1" si="72"/>
        <v>0</v>
      </c>
      <c r="DM149" s="56">
        <f t="shared" ca="1" si="72"/>
        <v>0</v>
      </c>
      <c r="DN149" s="56">
        <f t="shared" ca="1" si="72"/>
        <v>0</v>
      </c>
      <c r="DO149" s="56">
        <f t="shared" ca="1" si="72"/>
        <v>0</v>
      </c>
      <c r="DP149" s="56">
        <f t="shared" ca="1" si="72"/>
        <v>0</v>
      </c>
      <c r="DQ149" s="56">
        <f t="shared" ca="1" si="72"/>
        <v>0</v>
      </c>
      <c r="DR149" s="56">
        <f t="shared" ca="1" si="72"/>
        <v>0</v>
      </c>
      <c r="DS149" s="56">
        <f t="shared" ca="1" si="72"/>
        <v>0</v>
      </c>
      <c r="DT149" s="56">
        <f t="shared" ca="1" si="72"/>
        <v>0</v>
      </c>
      <c r="DU149" s="56">
        <f t="shared" ca="1" si="72"/>
        <v>0</v>
      </c>
      <c r="DV149" s="56">
        <f t="shared" ca="1" si="72"/>
        <v>0</v>
      </c>
      <c r="DW149" s="56">
        <f t="shared" ca="1" si="72"/>
        <v>0</v>
      </c>
      <c r="DX149" s="56">
        <f t="shared" ca="1" si="72"/>
        <v>0</v>
      </c>
      <c r="DY149" s="56">
        <f t="shared" ca="1" si="72"/>
        <v>0</v>
      </c>
      <c r="DZ149" s="56">
        <f t="shared" ca="1" si="72"/>
        <v>0</v>
      </c>
      <c r="EA149" s="56">
        <f t="shared" ca="1" si="72"/>
        <v>0</v>
      </c>
      <c r="EB149" s="56">
        <f t="shared" ca="1" si="72"/>
        <v>0</v>
      </c>
      <c r="EC149" s="56">
        <f t="shared" ca="1" si="72"/>
        <v>0</v>
      </c>
      <c r="ED149" s="56">
        <f t="shared" ca="1" si="72"/>
        <v>0</v>
      </c>
      <c r="EE149" s="56">
        <f t="shared" ca="1" si="72"/>
        <v>0</v>
      </c>
      <c r="EF149" s="56">
        <f t="shared" ca="1" si="72"/>
        <v>0</v>
      </c>
      <c r="EG149" s="56">
        <f t="shared" ca="1" si="72"/>
        <v>0</v>
      </c>
      <c r="EH149" s="56">
        <f t="shared" ca="1" si="72"/>
        <v>0</v>
      </c>
      <c r="EI149" s="56">
        <f t="shared" ref="EI149:FN149" ca="1" si="73">$D121+($K121-$D121)*(1-COS(PI()*MIN(MAX((EI$139-$B$88)/($B$85-1),0),1)))/2</f>
        <v>0</v>
      </c>
      <c r="EJ149" s="56">
        <f t="shared" ca="1" si="73"/>
        <v>0</v>
      </c>
      <c r="EK149" s="56">
        <f t="shared" ca="1" si="73"/>
        <v>0</v>
      </c>
      <c r="EL149" s="56">
        <f t="shared" ca="1" si="73"/>
        <v>0</v>
      </c>
      <c r="EM149" s="56">
        <f t="shared" ca="1" si="73"/>
        <v>0</v>
      </c>
      <c r="EN149" s="56">
        <f t="shared" ca="1" si="73"/>
        <v>0</v>
      </c>
      <c r="EO149" s="56">
        <f t="shared" ca="1" si="73"/>
        <v>0</v>
      </c>
      <c r="EP149" s="56">
        <f t="shared" ca="1" si="73"/>
        <v>0</v>
      </c>
      <c r="EQ149" s="56">
        <f t="shared" ca="1" si="73"/>
        <v>0</v>
      </c>
      <c r="ER149" s="56">
        <f t="shared" ca="1" si="73"/>
        <v>0</v>
      </c>
      <c r="ES149" s="56">
        <f t="shared" ca="1" si="73"/>
        <v>0</v>
      </c>
      <c r="ET149" s="56">
        <f t="shared" ca="1" si="73"/>
        <v>0</v>
      </c>
      <c r="EU149" s="56">
        <f t="shared" ca="1" si="73"/>
        <v>0</v>
      </c>
      <c r="EV149" s="56">
        <f t="shared" ca="1" si="73"/>
        <v>0</v>
      </c>
      <c r="EW149" s="56">
        <f t="shared" ca="1" si="73"/>
        <v>0</v>
      </c>
      <c r="EX149" s="56">
        <f t="shared" ca="1" si="73"/>
        <v>0</v>
      </c>
      <c r="EY149" s="56">
        <f t="shared" ca="1" si="73"/>
        <v>0</v>
      </c>
      <c r="EZ149" s="56">
        <f t="shared" ca="1" si="73"/>
        <v>0</v>
      </c>
      <c r="FA149" s="56">
        <f t="shared" ca="1" si="73"/>
        <v>0</v>
      </c>
      <c r="FB149" s="56">
        <f t="shared" ca="1" si="73"/>
        <v>0</v>
      </c>
      <c r="FC149" s="56">
        <f t="shared" ca="1" si="73"/>
        <v>0</v>
      </c>
      <c r="FD149" s="56">
        <f t="shared" ca="1" si="73"/>
        <v>0</v>
      </c>
      <c r="FE149" s="56">
        <f t="shared" ca="1" si="73"/>
        <v>0</v>
      </c>
      <c r="FF149" s="56">
        <f t="shared" ca="1" si="73"/>
        <v>0</v>
      </c>
      <c r="FG149" s="56">
        <f t="shared" ca="1" si="73"/>
        <v>0</v>
      </c>
      <c r="FH149" s="56">
        <f t="shared" ca="1" si="73"/>
        <v>0</v>
      </c>
      <c r="FI149" s="56">
        <f t="shared" ca="1" si="73"/>
        <v>0</v>
      </c>
      <c r="FJ149" s="56">
        <f t="shared" ca="1" si="73"/>
        <v>0</v>
      </c>
      <c r="FK149" s="56">
        <f t="shared" ca="1" si="73"/>
        <v>0</v>
      </c>
      <c r="FL149" s="56">
        <f t="shared" ca="1" si="73"/>
        <v>0</v>
      </c>
      <c r="FM149" s="56">
        <f t="shared" ca="1" si="73"/>
        <v>0</v>
      </c>
      <c r="FN149" s="56">
        <f t="shared" ca="1" si="73"/>
        <v>0</v>
      </c>
      <c r="FO149" s="56">
        <f t="shared" ref="FO149:GP149" ca="1" si="74">$D121+($K121-$D121)*(1-COS(PI()*MIN(MAX((FO$139-$B$88)/($B$85-1),0),1)))/2</f>
        <v>0</v>
      </c>
      <c r="FP149" s="56">
        <f t="shared" ca="1" si="74"/>
        <v>0</v>
      </c>
      <c r="FQ149" s="56">
        <f t="shared" ca="1" si="74"/>
        <v>0</v>
      </c>
      <c r="FR149" s="56">
        <f t="shared" ca="1" si="74"/>
        <v>0</v>
      </c>
      <c r="FS149" s="56">
        <f t="shared" ca="1" si="74"/>
        <v>0</v>
      </c>
      <c r="FT149" s="56">
        <f t="shared" ca="1" si="74"/>
        <v>0</v>
      </c>
      <c r="FU149" s="56">
        <f t="shared" ca="1" si="74"/>
        <v>0</v>
      </c>
      <c r="FV149" s="56">
        <f t="shared" ca="1" si="74"/>
        <v>0</v>
      </c>
      <c r="FW149" s="56">
        <f t="shared" ca="1" si="74"/>
        <v>0</v>
      </c>
      <c r="FX149" s="56">
        <f t="shared" ca="1" si="74"/>
        <v>0</v>
      </c>
      <c r="FY149" s="56">
        <f t="shared" ca="1" si="74"/>
        <v>0</v>
      </c>
      <c r="FZ149" s="56">
        <f t="shared" ca="1" si="74"/>
        <v>0</v>
      </c>
      <c r="GA149" s="56">
        <f t="shared" ca="1" si="74"/>
        <v>0</v>
      </c>
      <c r="GB149" s="56">
        <f t="shared" ca="1" si="74"/>
        <v>0</v>
      </c>
      <c r="GC149" s="56">
        <f t="shared" ca="1" si="74"/>
        <v>0</v>
      </c>
      <c r="GD149" s="56">
        <f t="shared" ca="1" si="74"/>
        <v>0</v>
      </c>
      <c r="GE149" s="56">
        <f t="shared" ca="1" si="74"/>
        <v>0</v>
      </c>
      <c r="GF149" s="56">
        <f t="shared" ca="1" si="74"/>
        <v>0</v>
      </c>
      <c r="GG149" s="56">
        <f t="shared" ca="1" si="74"/>
        <v>0</v>
      </c>
      <c r="GH149" s="56">
        <f t="shared" ca="1" si="74"/>
        <v>0</v>
      </c>
      <c r="GI149" s="56">
        <f t="shared" ca="1" si="74"/>
        <v>0</v>
      </c>
      <c r="GJ149" s="56">
        <f t="shared" ca="1" si="74"/>
        <v>0</v>
      </c>
      <c r="GK149" s="56">
        <f t="shared" ca="1" si="74"/>
        <v>0</v>
      </c>
      <c r="GL149" s="56">
        <f t="shared" ca="1" si="74"/>
        <v>0</v>
      </c>
      <c r="GM149" s="56">
        <f t="shared" ca="1" si="74"/>
        <v>0</v>
      </c>
      <c r="GN149" s="56">
        <f t="shared" ca="1" si="74"/>
        <v>0</v>
      </c>
      <c r="GO149" s="56">
        <f t="shared" ca="1" si="74"/>
        <v>0</v>
      </c>
      <c r="GP149" s="56">
        <f t="shared" ca="1" si="74"/>
        <v>0</v>
      </c>
    </row>
    <row r="150" spans="1:198" x14ac:dyDescent="0.35">
      <c r="A150" s="55" t="str">
        <f t="shared" si="26"/>
        <v>Available now &gt; PMI</v>
      </c>
      <c r="B150" s="55" t="s">
        <v>297</v>
      </c>
      <c r="K150" s="56">
        <f t="shared" ref="K150:AP150" ca="1" si="75">$D122+($K122-$D122)*(1-COS(PI()*MIN(MAX((K$139-$B$88)/($B$85-1),0),1)))/2</f>
        <v>3.2421052631578946</v>
      </c>
      <c r="L150" s="56">
        <f t="shared" ca="1" si="75"/>
        <v>3.2421052631578946</v>
      </c>
      <c r="M150" s="56">
        <f t="shared" ca="1" si="75"/>
        <v>3.2421052631578946</v>
      </c>
      <c r="N150" s="56">
        <f t="shared" ca="1" si="75"/>
        <v>3.2421052631578946</v>
      </c>
      <c r="O150" s="56">
        <f t="shared" ca="1" si="75"/>
        <v>3.2421052631578946</v>
      </c>
      <c r="P150" s="56">
        <f t="shared" ca="1" si="75"/>
        <v>3.2421052631578946</v>
      </c>
      <c r="Q150" s="56">
        <f t="shared" ca="1" si="75"/>
        <v>3.2421052631578946</v>
      </c>
      <c r="R150" s="56">
        <f t="shared" ca="1" si="75"/>
        <v>3.2421052631578946</v>
      </c>
      <c r="S150" s="56">
        <f t="shared" ca="1" si="75"/>
        <v>3.2421052631578946</v>
      </c>
      <c r="T150" s="56">
        <f t="shared" ca="1" si="75"/>
        <v>3.2421052631578946</v>
      </c>
      <c r="U150" s="56">
        <f t="shared" ca="1" si="75"/>
        <v>3.2421052631578946</v>
      </c>
      <c r="V150" s="56">
        <f t="shared" ca="1" si="75"/>
        <v>3.2421052631578946</v>
      </c>
      <c r="W150" s="56">
        <f t="shared" ca="1" si="75"/>
        <v>3.2421052631578946</v>
      </c>
      <c r="X150" s="56">
        <f t="shared" ca="1" si="75"/>
        <v>3.2421052631578946</v>
      </c>
      <c r="Y150" s="56">
        <f t="shared" ca="1" si="75"/>
        <v>3.2421052631578946</v>
      </c>
      <c r="Z150" s="56">
        <f t="shared" ca="1" si="75"/>
        <v>3.2421052631578946</v>
      </c>
      <c r="AA150" s="56">
        <f t="shared" ca="1" si="75"/>
        <v>3.2421052631578946</v>
      </c>
      <c r="AB150" s="56">
        <f t="shared" ca="1" si="75"/>
        <v>3.2421052631578946</v>
      </c>
      <c r="AC150" s="56">
        <f t="shared" ca="1" si="75"/>
        <v>3.2421052631578946</v>
      </c>
      <c r="AD150" s="56">
        <f t="shared" ca="1" si="75"/>
        <v>3.2421052631578946</v>
      </c>
      <c r="AE150" s="56">
        <f t="shared" ca="1" si="75"/>
        <v>3.2421052631578946</v>
      </c>
      <c r="AF150" s="56">
        <f t="shared" ca="1" si="75"/>
        <v>3.2421052631578946</v>
      </c>
      <c r="AG150" s="56">
        <f t="shared" ca="1" si="75"/>
        <v>3.2421052631578946</v>
      </c>
      <c r="AH150" s="56">
        <f t="shared" ca="1" si="75"/>
        <v>3.2421052631578946</v>
      </c>
      <c r="AI150" s="56">
        <f t="shared" ca="1" si="75"/>
        <v>3.2421052631578946</v>
      </c>
      <c r="AJ150" s="56">
        <f t="shared" ca="1" si="75"/>
        <v>3.2421052631578946</v>
      </c>
      <c r="AK150" s="56">
        <f t="shared" ca="1" si="75"/>
        <v>3.2421052631578946</v>
      </c>
      <c r="AL150" s="56">
        <f t="shared" ca="1" si="75"/>
        <v>3.2421052631578946</v>
      </c>
      <c r="AM150" s="56">
        <f t="shared" ca="1" si="75"/>
        <v>3.2421052631578946</v>
      </c>
      <c r="AN150" s="56">
        <f t="shared" ca="1" si="75"/>
        <v>3.2421052631578946</v>
      </c>
      <c r="AO150" s="56">
        <f t="shared" ca="1" si="75"/>
        <v>3.2421052631578946</v>
      </c>
      <c r="AP150" s="56">
        <f t="shared" ca="1" si="75"/>
        <v>3.2421052631578946</v>
      </c>
      <c r="AQ150" s="56">
        <f t="shared" ref="AQ150:BV150" ca="1" si="76">$D122+($K122-$D122)*(1-COS(PI()*MIN(MAX((AQ$139-$B$88)/($B$85-1),0),1)))/2</f>
        <v>3.2421052631578946</v>
      </c>
      <c r="AR150" s="56">
        <f t="shared" ca="1" si="76"/>
        <v>3.2421052631578946</v>
      </c>
      <c r="AS150" s="56">
        <f t="shared" ca="1" si="76"/>
        <v>3.2421052631578946</v>
      </c>
      <c r="AT150" s="56">
        <f t="shared" ca="1" si="76"/>
        <v>3.2421052631578946</v>
      </c>
      <c r="AU150" s="56">
        <f t="shared" ca="1" si="76"/>
        <v>3.2421052631578946</v>
      </c>
      <c r="AV150" s="56">
        <f t="shared" ca="1" si="76"/>
        <v>3.2421052631578946</v>
      </c>
      <c r="AW150" s="56">
        <f t="shared" ca="1" si="76"/>
        <v>3.2421052631578946</v>
      </c>
      <c r="AX150" s="56">
        <f t="shared" ca="1" si="76"/>
        <v>3.2421052631578946</v>
      </c>
      <c r="AY150" s="56">
        <f t="shared" ca="1" si="76"/>
        <v>3.2421052631578946</v>
      </c>
      <c r="AZ150" s="56">
        <f t="shared" ca="1" si="76"/>
        <v>3.2421052631578946</v>
      </c>
      <c r="BA150" s="56">
        <f t="shared" ca="1" si="76"/>
        <v>3.2421052631578946</v>
      </c>
      <c r="BB150" s="56">
        <f t="shared" ca="1" si="76"/>
        <v>3.2421052631578946</v>
      </c>
      <c r="BC150" s="56">
        <f t="shared" ca="1" si="76"/>
        <v>3.2421052631578946</v>
      </c>
      <c r="BD150" s="56">
        <f t="shared" ca="1" si="76"/>
        <v>3.2421052631578946</v>
      </c>
      <c r="BE150" s="56">
        <f t="shared" ca="1" si="76"/>
        <v>3.2421052631578946</v>
      </c>
      <c r="BF150" s="56">
        <f t="shared" ca="1" si="76"/>
        <v>3.2421052631578946</v>
      </c>
      <c r="BG150" s="56">
        <f t="shared" ca="1" si="76"/>
        <v>3.2421052631578946</v>
      </c>
      <c r="BH150" s="56">
        <f t="shared" ca="1" si="76"/>
        <v>3.2421052631578946</v>
      </c>
      <c r="BI150" s="56">
        <f t="shared" ca="1" si="76"/>
        <v>3.2421052631578946</v>
      </c>
      <c r="BJ150" s="56">
        <f t="shared" ca="1" si="76"/>
        <v>3.2421052631578946</v>
      </c>
      <c r="BK150" s="56">
        <f t="shared" ca="1" si="76"/>
        <v>3.2421052631578946</v>
      </c>
      <c r="BL150" s="56">
        <f t="shared" ca="1" si="76"/>
        <v>3.2421052631578946</v>
      </c>
      <c r="BM150" s="56">
        <f t="shared" ca="1" si="76"/>
        <v>3.2421052631578946</v>
      </c>
      <c r="BN150" s="56">
        <f t="shared" ca="1" si="76"/>
        <v>3.2421052631578946</v>
      </c>
      <c r="BO150" s="56">
        <f t="shared" ca="1" si="76"/>
        <v>3.2421052631578946</v>
      </c>
      <c r="BP150" s="56">
        <f t="shared" ca="1" si="76"/>
        <v>3.2421052631578946</v>
      </c>
      <c r="BQ150" s="56">
        <f t="shared" ca="1" si="76"/>
        <v>3.2421052631578946</v>
      </c>
      <c r="BR150" s="56">
        <f t="shared" ca="1" si="76"/>
        <v>3.2421052631578946</v>
      </c>
      <c r="BS150" s="56">
        <f t="shared" ca="1" si="76"/>
        <v>3.2421052631578946</v>
      </c>
      <c r="BT150" s="56">
        <f t="shared" ca="1" si="76"/>
        <v>3.2421052631578946</v>
      </c>
      <c r="BU150" s="56">
        <f t="shared" ca="1" si="76"/>
        <v>3.2421052631578946</v>
      </c>
      <c r="BV150" s="56">
        <f t="shared" ca="1" si="76"/>
        <v>3.2421052631578946</v>
      </c>
      <c r="BW150" s="56">
        <f t="shared" ref="BW150:DB150" ca="1" si="77">$D122+($K122-$D122)*(1-COS(PI()*MIN(MAX((BW$139-$B$88)/($B$85-1),0),1)))/2</f>
        <v>3.2421052631578946</v>
      </c>
      <c r="BX150" s="56">
        <f t="shared" ca="1" si="77"/>
        <v>3.2421052631578946</v>
      </c>
      <c r="BY150" s="56">
        <f t="shared" ca="1" si="77"/>
        <v>3.2421052631578946</v>
      </c>
      <c r="BZ150" s="56">
        <f t="shared" ca="1" si="77"/>
        <v>3.2421052631578946</v>
      </c>
      <c r="CA150" s="56">
        <f t="shared" ca="1" si="77"/>
        <v>3.2421052631578946</v>
      </c>
      <c r="CB150" s="56">
        <f t="shared" ca="1" si="77"/>
        <v>3.2421052631578946</v>
      </c>
      <c r="CC150" s="56">
        <f t="shared" ca="1" si="77"/>
        <v>3.2421052631578946</v>
      </c>
      <c r="CD150" s="56">
        <f t="shared" ca="1" si="77"/>
        <v>3.2421052631578946</v>
      </c>
      <c r="CE150" s="56">
        <f t="shared" ca="1" si="77"/>
        <v>3.2421052631578946</v>
      </c>
      <c r="CF150" s="56">
        <f t="shared" ca="1" si="77"/>
        <v>3.2421052631578946</v>
      </c>
      <c r="CG150" s="56">
        <f t="shared" ca="1" si="77"/>
        <v>3.2421052631578946</v>
      </c>
      <c r="CH150" s="56">
        <f t="shared" ca="1" si="77"/>
        <v>3.2421052631578946</v>
      </c>
      <c r="CI150" s="56">
        <f t="shared" ca="1" si="77"/>
        <v>3.2421052631578946</v>
      </c>
      <c r="CJ150" s="56">
        <f t="shared" ca="1" si="77"/>
        <v>3.2421052631578946</v>
      </c>
      <c r="CK150" s="56">
        <f t="shared" ca="1" si="77"/>
        <v>3.2421052631578946</v>
      </c>
      <c r="CL150" s="56">
        <f t="shared" ca="1" si="77"/>
        <v>3.2421052631578946</v>
      </c>
      <c r="CM150" s="56">
        <f t="shared" ca="1" si="77"/>
        <v>3.2421052631578946</v>
      </c>
      <c r="CN150" s="56">
        <f t="shared" ca="1" si="77"/>
        <v>3.2421052631578946</v>
      </c>
      <c r="CO150" s="56">
        <f t="shared" ca="1" si="77"/>
        <v>3.2421052631578946</v>
      </c>
      <c r="CP150" s="56">
        <f t="shared" ca="1" si="77"/>
        <v>3.2421052631578946</v>
      </c>
      <c r="CQ150" s="56">
        <f t="shared" ca="1" si="77"/>
        <v>3.2421052631578946</v>
      </c>
      <c r="CR150" s="56">
        <f t="shared" ca="1" si="77"/>
        <v>3.2421052631578946</v>
      </c>
      <c r="CS150" s="56">
        <f t="shared" ca="1" si="77"/>
        <v>3.2421052631578946</v>
      </c>
      <c r="CT150" s="56">
        <f t="shared" ca="1" si="77"/>
        <v>3.2421052631578946</v>
      </c>
      <c r="CU150" s="56">
        <f t="shared" ca="1" si="77"/>
        <v>3.2421052631578946</v>
      </c>
      <c r="CV150" s="56">
        <f t="shared" ca="1" si="77"/>
        <v>3.2421052631578946</v>
      </c>
      <c r="CW150" s="56">
        <f t="shared" ca="1" si="77"/>
        <v>3.2421052631578946</v>
      </c>
      <c r="CX150" s="56">
        <f t="shared" ca="1" si="77"/>
        <v>3.2421052631578946</v>
      </c>
      <c r="CY150" s="56">
        <f t="shared" ca="1" si="77"/>
        <v>3.2421052631578946</v>
      </c>
      <c r="CZ150" s="56">
        <f t="shared" ca="1" si="77"/>
        <v>3.2421052631578946</v>
      </c>
      <c r="DA150" s="56">
        <f t="shared" ca="1" si="77"/>
        <v>3.2421052631578946</v>
      </c>
      <c r="DB150" s="56">
        <f t="shared" ca="1" si="77"/>
        <v>3.2421052631578946</v>
      </c>
      <c r="DC150" s="56">
        <f t="shared" ref="DC150:EH150" ca="1" si="78">$D122+($K122-$D122)*(1-COS(PI()*MIN(MAX((DC$139-$B$88)/($B$85-1),0),1)))/2</f>
        <v>3.2421052631578946</v>
      </c>
      <c r="DD150" s="56">
        <f t="shared" ca="1" si="78"/>
        <v>3.2421052631578946</v>
      </c>
      <c r="DE150" s="56">
        <f t="shared" ca="1" si="78"/>
        <v>3.2421052631578946</v>
      </c>
      <c r="DF150" s="56">
        <f t="shared" ca="1" si="78"/>
        <v>3.2421052631578946</v>
      </c>
      <c r="DG150" s="56">
        <f t="shared" ca="1" si="78"/>
        <v>3.2421052631578946</v>
      </c>
      <c r="DH150" s="56">
        <f t="shared" ca="1" si="78"/>
        <v>3.2421052631578946</v>
      </c>
      <c r="DI150" s="56">
        <f t="shared" ca="1" si="78"/>
        <v>3.2421052631578946</v>
      </c>
      <c r="DJ150" s="56">
        <f t="shared" ca="1" si="78"/>
        <v>3.2421052631578946</v>
      </c>
      <c r="DK150" s="56">
        <f t="shared" ca="1" si="78"/>
        <v>3.2421052631578946</v>
      </c>
      <c r="DL150" s="56">
        <f t="shared" ca="1" si="78"/>
        <v>3.2421052631578946</v>
      </c>
      <c r="DM150" s="56">
        <f t="shared" ca="1" si="78"/>
        <v>3.2421052631578946</v>
      </c>
      <c r="DN150" s="56">
        <f t="shared" ca="1" si="78"/>
        <v>3.2421052631578946</v>
      </c>
      <c r="DO150" s="56">
        <f t="shared" ca="1" si="78"/>
        <v>3.2421052631578946</v>
      </c>
      <c r="DP150" s="56">
        <f t="shared" ca="1" si="78"/>
        <v>3.2421052631578946</v>
      </c>
      <c r="DQ150" s="56">
        <f t="shared" ca="1" si="78"/>
        <v>3.2421052631578946</v>
      </c>
      <c r="DR150" s="56">
        <f t="shared" ca="1" si="78"/>
        <v>3.2423250848607523</v>
      </c>
      <c r="DS150" s="56">
        <f t="shared" ca="1" si="78"/>
        <v>3.242984066753515</v>
      </c>
      <c r="DT150" s="56">
        <f t="shared" ca="1" si="78"/>
        <v>3.2440807602509643</v>
      </c>
      <c r="DU150" s="56">
        <f t="shared" ca="1" si="78"/>
        <v>3.2456127545827793</v>
      </c>
      <c r="DV150" s="56">
        <f t="shared" ca="1" si="78"/>
        <v>3.2475766820929319</v>
      </c>
      <c r="DW150" s="56">
        <f t="shared" ca="1" si="78"/>
        <v>3.2499682256425264</v>
      </c>
      <c r="DX150" s="56">
        <f t="shared" ca="1" si="78"/>
        <v>3.2527821280998079</v>
      </c>
      <c r="DY150" s="56">
        <f t="shared" ca="1" si="78"/>
        <v>3.2560122038964772</v>
      </c>
      <c r="DZ150" s="56">
        <f t="shared" ca="1" si="78"/>
        <v>3.2596513526249153</v>
      </c>
      <c r="EA150" s="56">
        <f t="shared" ca="1" si="78"/>
        <v>3.2636915746464172</v>
      </c>
      <c r="EB150" s="56">
        <f t="shared" ca="1" si="78"/>
        <v>3.2681239886761366</v>
      </c>
      <c r="EC150" s="56">
        <f t="shared" ca="1" si="78"/>
        <v>3.2729388513060753</v>
      </c>
      <c r="ED150" s="56">
        <f t="shared" ca="1" si="78"/>
        <v>3.2781255784232095</v>
      </c>
      <c r="EE150" s="56">
        <f t="shared" ca="1" si="78"/>
        <v>3.2836727684756686</v>
      </c>
      <c r="EF150" s="56">
        <f t="shared" ca="1" si="78"/>
        <v>3.2895682275358182</v>
      </c>
      <c r="EG150" s="56">
        <f t="shared" ca="1" si="78"/>
        <v>3.2957989961051606</v>
      </c>
      <c r="EH150" s="56">
        <f t="shared" ca="1" si="78"/>
        <v>3.3023513776021263</v>
      </c>
      <c r="EI150" s="56">
        <f t="shared" ref="EI150:FN150" ca="1" si="79">$D122+($K122-$D122)*(1-COS(PI()*MIN(MAX((EI$139-$B$88)/($B$85-1),0),1)))/2</f>
        <v>3.3092109684701301</v>
      </c>
      <c r="EJ150" s="56">
        <f t="shared" ca="1" si="79"/>
        <v>3.3163626898397176</v>
      </c>
      <c r="EK150" s="56">
        <f t="shared" ca="1" si="79"/>
        <v>3.3237908206751903</v>
      </c>
      <c r="EL150" s="56">
        <f t="shared" ca="1" si="79"/>
        <v>3.3314790323328545</v>
      </c>
      <c r="EM150" s="56">
        <f t="shared" ca="1" si="79"/>
        <v>3.3394104244549263</v>
      </c>
      <c r="EN150" s="56">
        <f t="shared" ca="1" si="79"/>
        <v>3.3475675621201817</v>
      </c>
      <c r="EO150" s="56">
        <f t="shared" ca="1" si="79"/>
        <v>3.3559325141697003</v>
      </c>
      <c r="EP150" s="56">
        <f t="shared" ca="1" si="79"/>
        <v>3.3644868926234448</v>
      </c>
      <c r="EQ150" s="56">
        <f t="shared" ca="1" si="79"/>
        <v>3.3732118931010282</v>
      </c>
      <c r="ER150" s="56">
        <f t="shared" ca="1" si="79"/>
        <v>3.3820883361578264</v>
      </c>
      <c r="ES150" s="56">
        <f t="shared" ca="1" si="79"/>
        <v>3.3910967094455593</v>
      </c>
      <c r="ET150" s="56">
        <f t="shared" ca="1" si="79"/>
        <v>3.4002172106046658</v>
      </c>
      <c r="EU150" s="56">
        <f t="shared" ca="1" si="79"/>
        <v>3.4094297907941886</v>
      </c>
      <c r="EV150" s="56">
        <f t="shared" ca="1" si="79"/>
        <v>3.4187141987634782</v>
      </c>
      <c r="EW150" s="56">
        <f t="shared" ca="1" si="79"/>
        <v>3.4280500253688357</v>
      </c>
      <c r="EX150" s="56">
        <f t="shared" ca="1" si="79"/>
        <v>3.4374167484372427</v>
      </c>
      <c r="EY150" s="56">
        <f t="shared" ca="1" si="79"/>
        <v>3.4467937778785465</v>
      </c>
      <c r="EZ150" s="56">
        <f t="shared" ca="1" si="79"/>
        <v>3.4561605009469529</v>
      </c>
      <c r="FA150" s="56">
        <f t="shared" ca="1" si="79"/>
        <v>3.465496327552311</v>
      </c>
      <c r="FB150" s="56">
        <f t="shared" ca="1" si="79"/>
        <v>3.4747807355216005</v>
      </c>
      <c r="FC150" s="56">
        <f t="shared" ca="1" si="79"/>
        <v>3.4839933157111234</v>
      </c>
      <c r="FD150" s="56">
        <f t="shared" ca="1" si="79"/>
        <v>3.4931138168702298</v>
      </c>
      <c r="FE150" s="56">
        <f t="shared" ca="1" si="79"/>
        <v>3.5021221901579627</v>
      </c>
      <c r="FF150" s="56">
        <f t="shared" ca="1" si="79"/>
        <v>3.5109986332147614</v>
      </c>
      <c r="FG150" s="56">
        <f t="shared" ca="1" si="79"/>
        <v>3.5197236336923448</v>
      </c>
      <c r="FH150" s="56">
        <f t="shared" ca="1" si="79"/>
        <v>3.5282780121460888</v>
      </c>
      <c r="FI150" s="56">
        <f t="shared" ca="1" si="79"/>
        <v>3.5366429641956074</v>
      </c>
      <c r="FJ150" s="56">
        <f t="shared" ca="1" si="79"/>
        <v>3.5448001018608628</v>
      </c>
      <c r="FK150" s="56">
        <f t="shared" ca="1" si="79"/>
        <v>3.5527314939829342</v>
      </c>
      <c r="FL150" s="56">
        <f t="shared" ca="1" si="79"/>
        <v>3.5604197056405988</v>
      </c>
      <c r="FM150" s="56">
        <f t="shared" ca="1" si="79"/>
        <v>3.5678478364760715</v>
      </c>
      <c r="FN150" s="56">
        <f t="shared" ca="1" si="79"/>
        <v>3.574999557845659</v>
      </c>
      <c r="FO150" s="56">
        <f t="shared" ref="FO150:GP150" ca="1" si="80">$D122+($K122-$D122)*(1-COS(PI()*MIN(MAX((FO$139-$B$88)/($B$85-1),0),1)))/2</f>
        <v>3.5818591487136628</v>
      </c>
      <c r="FP150" s="56">
        <f t="shared" ca="1" si="80"/>
        <v>3.5884115302106281</v>
      </c>
      <c r="FQ150" s="56">
        <f t="shared" ca="1" si="80"/>
        <v>3.5946422987799709</v>
      </c>
      <c r="FR150" s="56">
        <f t="shared" ca="1" si="80"/>
        <v>3.6005377578401205</v>
      </c>
      <c r="FS150" s="56">
        <f t="shared" ca="1" si="80"/>
        <v>3.6060849478925796</v>
      </c>
      <c r="FT150" s="56">
        <f t="shared" ca="1" si="80"/>
        <v>3.6112716750097138</v>
      </c>
      <c r="FU150" s="56">
        <f t="shared" ca="1" si="80"/>
        <v>3.6160865376396525</v>
      </c>
      <c r="FV150" s="56">
        <f t="shared" ca="1" si="80"/>
        <v>3.6205189516693719</v>
      </c>
      <c r="FW150" s="56">
        <f t="shared" ca="1" si="80"/>
        <v>3.6245591736908738</v>
      </c>
      <c r="FX150" s="56">
        <f t="shared" ca="1" si="80"/>
        <v>3.6281983224193119</v>
      </c>
      <c r="FY150" s="56">
        <f t="shared" ca="1" si="80"/>
        <v>3.6314283982159812</v>
      </c>
      <c r="FZ150" s="56">
        <f t="shared" ca="1" si="80"/>
        <v>3.6342423006732627</v>
      </c>
      <c r="GA150" s="56">
        <f t="shared" ca="1" si="80"/>
        <v>3.6366338442228572</v>
      </c>
      <c r="GB150" s="56">
        <f t="shared" ca="1" si="80"/>
        <v>3.6385977717330098</v>
      </c>
      <c r="GC150" s="56">
        <f t="shared" ca="1" si="80"/>
        <v>3.6401297660648249</v>
      </c>
      <c r="GD150" s="56">
        <f t="shared" ca="1" si="80"/>
        <v>3.6412264595622741</v>
      </c>
      <c r="GE150" s="56">
        <f t="shared" ca="1" si="80"/>
        <v>3.6418854414550368</v>
      </c>
      <c r="GF150" s="56">
        <f t="shared" ca="1" si="80"/>
        <v>3.6421052631578945</v>
      </c>
      <c r="GG150" s="56">
        <f t="shared" ca="1" si="80"/>
        <v>3.6421052631578945</v>
      </c>
      <c r="GH150" s="56">
        <f t="shared" ca="1" si="80"/>
        <v>3.6421052631578945</v>
      </c>
      <c r="GI150" s="56">
        <f t="shared" ca="1" si="80"/>
        <v>3.6421052631578945</v>
      </c>
      <c r="GJ150" s="56">
        <f t="shared" ca="1" si="80"/>
        <v>3.6421052631578945</v>
      </c>
      <c r="GK150" s="56">
        <f t="shared" ca="1" si="80"/>
        <v>3.6421052631578945</v>
      </c>
      <c r="GL150" s="56">
        <f t="shared" ca="1" si="80"/>
        <v>3.6421052631578945</v>
      </c>
      <c r="GM150" s="56">
        <f t="shared" ca="1" si="80"/>
        <v>3.6421052631578945</v>
      </c>
      <c r="GN150" s="56">
        <f t="shared" ca="1" si="80"/>
        <v>3.6421052631578945</v>
      </c>
      <c r="GO150" s="56">
        <f t="shared" ca="1" si="80"/>
        <v>3.6421052631578945</v>
      </c>
      <c r="GP150" s="56">
        <f t="shared" ca="1" si="80"/>
        <v>3.6421052631578945</v>
      </c>
    </row>
    <row r="151" spans="1:198" x14ac:dyDescent="0.35">
      <c r="A151" s="55" t="str">
        <f t="shared" si="26"/>
        <v>Available now &gt; Hiscox</v>
      </c>
      <c r="B151" s="55" t="s">
        <v>297</v>
      </c>
      <c r="K151" s="56">
        <f t="shared" ref="K151:AP151" ca="1" si="81">$D123+($K123-$D123)*(1-COS(PI()*MIN(MAX((K$139-$B$88)/($B$85-1),0),1)))/2</f>
        <v>4.0526315789473681</v>
      </c>
      <c r="L151" s="56">
        <f t="shared" ca="1" si="81"/>
        <v>4.0526315789473681</v>
      </c>
      <c r="M151" s="56">
        <f t="shared" ca="1" si="81"/>
        <v>4.0526315789473681</v>
      </c>
      <c r="N151" s="56">
        <f t="shared" ca="1" si="81"/>
        <v>4.0526315789473681</v>
      </c>
      <c r="O151" s="56">
        <f t="shared" ca="1" si="81"/>
        <v>4.0526315789473681</v>
      </c>
      <c r="P151" s="56">
        <f t="shared" ca="1" si="81"/>
        <v>4.0526315789473681</v>
      </c>
      <c r="Q151" s="56">
        <f t="shared" ca="1" si="81"/>
        <v>4.0526315789473681</v>
      </c>
      <c r="R151" s="56">
        <f t="shared" ca="1" si="81"/>
        <v>4.0526315789473681</v>
      </c>
      <c r="S151" s="56">
        <f t="shared" ca="1" si="81"/>
        <v>4.0526315789473681</v>
      </c>
      <c r="T151" s="56">
        <f t="shared" ca="1" si="81"/>
        <v>4.0526315789473681</v>
      </c>
      <c r="U151" s="56">
        <f t="shared" ca="1" si="81"/>
        <v>4.0526315789473681</v>
      </c>
      <c r="V151" s="56">
        <f t="shared" ca="1" si="81"/>
        <v>4.0526315789473681</v>
      </c>
      <c r="W151" s="56">
        <f t="shared" ca="1" si="81"/>
        <v>4.0526315789473681</v>
      </c>
      <c r="X151" s="56">
        <f t="shared" ca="1" si="81"/>
        <v>4.0526315789473681</v>
      </c>
      <c r="Y151" s="56">
        <f t="shared" ca="1" si="81"/>
        <v>4.0526315789473681</v>
      </c>
      <c r="Z151" s="56">
        <f t="shared" ca="1" si="81"/>
        <v>4.0526315789473681</v>
      </c>
      <c r="AA151" s="56">
        <f t="shared" ca="1" si="81"/>
        <v>4.0526315789473681</v>
      </c>
      <c r="AB151" s="56">
        <f t="shared" ca="1" si="81"/>
        <v>4.0526315789473681</v>
      </c>
      <c r="AC151" s="56">
        <f t="shared" ca="1" si="81"/>
        <v>4.0526315789473681</v>
      </c>
      <c r="AD151" s="56">
        <f t="shared" ca="1" si="81"/>
        <v>4.0526315789473681</v>
      </c>
      <c r="AE151" s="56">
        <f t="shared" ca="1" si="81"/>
        <v>4.0526315789473681</v>
      </c>
      <c r="AF151" s="56">
        <f t="shared" ca="1" si="81"/>
        <v>4.0526315789473681</v>
      </c>
      <c r="AG151" s="56">
        <f t="shared" ca="1" si="81"/>
        <v>4.0526315789473681</v>
      </c>
      <c r="AH151" s="56">
        <f t="shared" ca="1" si="81"/>
        <v>4.0526315789473681</v>
      </c>
      <c r="AI151" s="56">
        <f t="shared" ca="1" si="81"/>
        <v>4.0526315789473681</v>
      </c>
      <c r="AJ151" s="56">
        <f t="shared" ca="1" si="81"/>
        <v>4.0526315789473681</v>
      </c>
      <c r="AK151" s="56">
        <f t="shared" ca="1" si="81"/>
        <v>4.0526315789473681</v>
      </c>
      <c r="AL151" s="56">
        <f t="shared" ca="1" si="81"/>
        <v>4.0526315789473681</v>
      </c>
      <c r="AM151" s="56">
        <f t="shared" ca="1" si="81"/>
        <v>4.0526315789473681</v>
      </c>
      <c r="AN151" s="56">
        <f t="shared" ca="1" si="81"/>
        <v>4.0526315789473681</v>
      </c>
      <c r="AO151" s="56">
        <f t="shared" ca="1" si="81"/>
        <v>4.0526315789473681</v>
      </c>
      <c r="AP151" s="56">
        <f t="shared" ca="1" si="81"/>
        <v>4.0526315789473681</v>
      </c>
      <c r="AQ151" s="56">
        <f t="shared" ref="AQ151:BV151" ca="1" si="82">$D123+($K123-$D123)*(1-COS(PI()*MIN(MAX((AQ$139-$B$88)/($B$85-1),0),1)))/2</f>
        <v>4.0526315789473681</v>
      </c>
      <c r="AR151" s="56">
        <f t="shared" ca="1" si="82"/>
        <v>4.0526315789473681</v>
      </c>
      <c r="AS151" s="56">
        <f t="shared" ca="1" si="82"/>
        <v>4.0526315789473681</v>
      </c>
      <c r="AT151" s="56">
        <f t="shared" ca="1" si="82"/>
        <v>4.0526315789473681</v>
      </c>
      <c r="AU151" s="56">
        <f t="shared" ca="1" si="82"/>
        <v>4.0526315789473681</v>
      </c>
      <c r="AV151" s="56">
        <f t="shared" ca="1" si="82"/>
        <v>4.0526315789473681</v>
      </c>
      <c r="AW151" s="56">
        <f t="shared" ca="1" si="82"/>
        <v>4.0526315789473681</v>
      </c>
      <c r="AX151" s="56">
        <f t="shared" ca="1" si="82"/>
        <v>4.0526315789473681</v>
      </c>
      <c r="AY151" s="56">
        <f t="shared" ca="1" si="82"/>
        <v>4.0526315789473681</v>
      </c>
      <c r="AZ151" s="56">
        <f t="shared" ca="1" si="82"/>
        <v>4.0526315789473681</v>
      </c>
      <c r="BA151" s="56">
        <f t="shared" ca="1" si="82"/>
        <v>4.0526315789473681</v>
      </c>
      <c r="BB151" s="56">
        <f t="shared" ca="1" si="82"/>
        <v>4.0526315789473681</v>
      </c>
      <c r="BC151" s="56">
        <f t="shared" ca="1" si="82"/>
        <v>4.0526315789473681</v>
      </c>
      <c r="BD151" s="56">
        <f t="shared" ca="1" si="82"/>
        <v>4.0526315789473681</v>
      </c>
      <c r="BE151" s="56">
        <f t="shared" ca="1" si="82"/>
        <v>4.0526315789473681</v>
      </c>
      <c r="BF151" s="56">
        <f t="shared" ca="1" si="82"/>
        <v>4.0526315789473681</v>
      </c>
      <c r="BG151" s="56">
        <f t="shared" ca="1" si="82"/>
        <v>4.0526315789473681</v>
      </c>
      <c r="BH151" s="56">
        <f t="shared" ca="1" si="82"/>
        <v>4.0526315789473681</v>
      </c>
      <c r="BI151" s="56">
        <f t="shared" ca="1" si="82"/>
        <v>4.0526315789473681</v>
      </c>
      <c r="BJ151" s="56">
        <f t="shared" ca="1" si="82"/>
        <v>4.0526315789473681</v>
      </c>
      <c r="BK151" s="56">
        <f t="shared" ca="1" si="82"/>
        <v>4.0526315789473681</v>
      </c>
      <c r="BL151" s="56">
        <f t="shared" ca="1" si="82"/>
        <v>4.0526315789473681</v>
      </c>
      <c r="BM151" s="56">
        <f t="shared" ca="1" si="82"/>
        <v>4.0526315789473681</v>
      </c>
      <c r="BN151" s="56">
        <f t="shared" ca="1" si="82"/>
        <v>4.0526315789473681</v>
      </c>
      <c r="BO151" s="56">
        <f t="shared" ca="1" si="82"/>
        <v>4.0526315789473681</v>
      </c>
      <c r="BP151" s="56">
        <f t="shared" ca="1" si="82"/>
        <v>4.0526315789473681</v>
      </c>
      <c r="BQ151" s="56">
        <f t="shared" ca="1" si="82"/>
        <v>4.0526315789473681</v>
      </c>
      <c r="BR151" s="56">
        <f t="shared" ca="1" si="82"/>
        <v>4.0526315789473681</v>
      </c>
      <c r="BS151" s="56">
        <f t="shared" ca="1" si="82"/>
        <v>4.0526315789473681</v>
      </c>
      <c r="BT151" s="56">
        <f t="shared" ca="1" si="82"/>
        <v>4.0526315789473681</v>
      </c>
      <c r="BU151" s="56">
        <f t="shared" ca="1" si="82"/>
        <v>4.0526315789473681</v>
      </c>
      <c r="BV151" s="56">
        <f t="shared" ca="1" si="82"/>
        <v>4.0526315789473681</v>
      </c>
      <c r="BW151" s="56">
        <f t="shared" ref="BW151:DB151" ca="1" si="83">$D123+($K123-$D123)*(1-COS(PI()*MIN(MAX((BW$139-$B$88)/($B$85-1),0),1)))/2</f>
        <v>4.0526315789473681</v>
      </c>
      <c r="BX151" s="56">
        <f t="shared" ca="1" si="83"/>
        <v>4.0526315789473681</v>
      </c>
      <c r="BY151" s="56">
        <f t="shared" ca="1" si="83"/>
        <v>4.0526315789473681</v>
      </c>
      <c r="BZ151" s="56">
        <f t="shared" ca="1" si="83"/>
        <v>4.0526315789473681</v>
      </c>
      <c r="CA151" s="56">
        <f t="shared" ca="1" si="83"/>
        <v>4.0526315789473681</v>
      </c>
      <c r="CB151" s="56">
        <f t="shared" ca="1" si="83"/>
        <v>4.0526315789473681</v>
      </c>
      <c r="CC151" s="56">
        <f t="shared" ca="1" si="83"/>
        <v>4.0526315789473681</v>
      </c>
      <c r="CD151" s="56">
        <f t="shared" ca="1" si="83"/>
        <v>4.0526315789473681</v>
      </c>
      <c r="CE151" s="56">
        <f t="shared" ca="1" si="83"/>
        <v>4.0526315789473681</v>
      </c>
      <c r="CF151" s="56">
        <f t="shared" ca="1" si="83"/>
        <v>4.0526315789473681</v>
      </c>
      <c r="CG151" s="56">
        <f t="shared" ca="1" si="83"/>
        <v>4.0526315789473681</v>
      </c>
      <c r="CH151" s="56">
        <f t="shared" ca="1" si="83"/>
        <v>4.0526315789473681</v>
      </c>
      <c r="CI151" s="56">
        <f t="shared" ca="1" si="83"/>
        <v>4.0526315789473681</v>
      </c>
      <c r="CJ151" s="56">
        <f t="shared" ca="1" si="83"/>
        <v>4.0526315789473681</v>
      </c>
      <c r="CK151" s="56">
        <f t="shared" ca="1" si="83"/>
        <v>4.0526315789473681</v>
      </c>
      <c r="CL151" s="56">
        <f t="shared" ca="1" si="83"/>
        <v>4.0526315789473681</v>
      </c>
      <c r="CM151" s="56">
        <f t="shared" ca="1" si="83"/>
        <v>4.0526315789473681</v>
      </c>
      <c r="CN151" s="56">
        <f t="shared" ca="1" si="83"/>
        <v>4.0526315789473681</v>
      </c>
      <c r="CO151" s="56">
        <f t="shared" ca="1" si="83"/>
        <v>4.0526315789473681</v>
      </c>
      <c r="CP151" s="56">
        <f t="shared" ca="1" si="83"/>
        <v>4.0526315789473681</v>
      </c>
      <c r="CQ151" s="56">
        <f t="shared" ca="1" si="83"/>
        <v>4.0526315789473681</v>
      </c>
      <c r="CR151" s="56">
        <f t="shared" ca="1" si="83"/>
        <v>4.0526315789473681</v>
      </c>
      <c r="CS151" s="56">
        <f t="shared" ca="1" si="83"/>
        <v>4.0526315789473681</v>
      </c>
      <c r="CT151" s="56">
        <f t="shared" ca="1" si="83"/>
        <v>4.0526315789473681</v>
      </c>
      <c r="CU151" s="56">
        <f t="shared" ca="1" si="83"/>
        <v>4.0526315789473681</v>
      </c>
      <c r="CV151" s="56">
        <f t="shared" ca="1" si="83"/>
        <v>4.0526315789473681</v>
      </c>
      <c r="CW151" s="56">
        <f t="shared" ca="1" si="83"/>
        <v>4.0526315789473681</v>
      </c>
      <c r="CX151" s="56">
        <f t="shared" ca="1" si="83"/>
        <v>4.0526315789473681</v>
      </c>
      <c r="CY151" s="56">
        <f t="shared" ca="1" si="83"/>
        <v>4.0526315789473681</v>
      </c>
      <c r="CZ151" s="56">
        <f t="shared" ca="1" si="83"/>
        <v>4.0526315789473681</v>
      </c>
      <c r="DA151" s="56">
        <f t="shared" ca="1" si="83"/>
        <v>4.0526315789473681</v>
      </c>
      <c r="DB151" s="56">
        <f t="shared" ca="1" si="83"/>
        <v>4.0526315789473681</v>
      </c>
      <c r="DC151" s="56">
        <f t="shared" ref="DC151:EH151" ca="1" si="84">$D123+($K123-$D123)*(1-COS(PI()*MIN(MAX((DC$139-$B$88)/($B$85-1),0),1)))/2</f>
        <v>4.0526315789473681</v>
      </c>
      <c r="DD151" s="56">
        <f t="shared" ca="1" si="84"/>
        <v>4.0526315789473681</v>
      </c>
      <c r="DE151" s="56">
        <f t="shared" ca="1" si="84"/>
        <v>4.0526315789473681</v>
      </c>
      <c r="DF151" s="56">
        <f t="shared" ca="1" si="84"/>
        <v>4.0526315789473681</v>
      </c>
      <c r="DG151" s="56">
        <f t="shared" ca="1" si="84"/>
        <v>4.0526315789473681</v>
      </c>
      <c r="DH151" s="56">
        <f t="shared" ca="1" si="84"/>
        <v>4.0526315789473681</v>
      </c>
      <c r="DI151" s="56">
        <f t="shared" ca="1" si="84"/>
        <v>4.0526315789473681</v>
      </c>
      <c r="DJ151" s="56">
        <f t="shared" ca="1" si="84"/>
        <v>4.0526315789473681</v>
      </c>
      <c r="DK151" s="56">
        <f t="shared" ca="1" si="84"/>
        <v>4.0526315789473681</v>
      </c>
      <c r="DL151" s="56">
        <f t="shared" ca="1" si="84"/>
        <v>4.0526315789473681</v>
      </c>
      <c r="DM151" s="56">
        <f t="shared" ca="1" si="84"/>
        <v>4.0526315789473681</v>
      </c>
      <c r="DN151" s="56">
        <f t="shared" ca="1" si="84"/>
        <v>4.0526315789473681</v>
      </c>
      <c r="DO151" s="56">
        <f t="shared" ca="1" si="84"/>
        <v>4.0526315789473681</v>
      </c>
      <c r="DP151" s="56">
        <f t="shared" ca="1" si="84"/>
        <v>4.0526315789473681</v>
      </c>
      <c r="DQ151" s="56">
        <f t="shared" ca="1" si="84"/>
        <v>4.0526315789473681</v>
      </c>
      <c r="DR151" s="56">
        <f t="shared" ca="1" si="84"/>
        <v>4.0530712223530836</v>
      </c>
      <c r="DS151" s="56">
        <f t="shared" ca="1" si="84"/>
        <v>4.054389186138609</v>
      </c>
      <c r="DT151" s="56">
        <f t="shared" ca="1" si="84"/>
        <v>4.0565825731335075</v>
      </c>
      <c r="DU151" s="56">
        <f t="shared" ca="1" si="84"/>
        <v>4.0596465617971376</v>
      </c>
      <c r="DV151" s="56">
        <f t="shared" ca="1" si="84"/>
        <v>4.0635744168174428</v>
      </c>
      <c r="DW151" s="56">
        <f t="shared" ca="1" si="84"/>
        <v>4.0683575039166318</v>
      </c>
      <c r="DX151" s="56">
        <f t="shared" ca="1" si="84"/>
        <v>4.0739853088311948</v>
      </c>
      <c r="DY151" s="56">
        <f t="shared" ca="1" si="84"/>
        <v>4.0804454604245333</v>
      </c>
      <c r="DZ151" s="56">
        <f t="shared" ca="1" si="84"/>
        <v>4.0877237578814096</v>
      </c>
      <c r="EA151" s="56">
        <f t="shared" ca="1" si="84"/>
        <v>4.0958042019244134</v>
      </c>
      <c r="EB151" s="56">
        <f t="shared" ca="1" si="84"/>
        <v>4.1046690299838522</v>
      </c>
      <c r="EC151" s="56">
        <f t="shared" ca="1" si="84"/>
        <v>4.1142987552437296</v>
      </c>
      <c r="ED151" s="56">
        <f t="shared" ca="1" si="84"/>
        <v>4.124672209477998</v>
      </c>
      <c r="EE151" s="56">
        <f t="shared" ca="1" si="84"/>
        <v>4.1357665895829161</v>
      </c>
      <c r="EF151" s="56">
        <f t="shared" ca="1" si="84"/>
        <v>4.1475575077032154</v>
      </c>
      <c r="EG151" s="56">
        <f t="shared" ca="1" si="84"/>
        <v>4.160019044841901</v>
      </c>
      <c r="EH151" s="56">
        <f t="shared" ca="1" si="84"/>
        <v>4.1731238078358315</v>
      </c>
      <c r="EI151" s="56">
        <f t="shared" ref="EI151:FN151" ca="1" si="85">$D123+($K123-$D123)*(1-COS(PI()*MIN(MAX((EI$139-$B$88)/($B$85-1),0),1)))/2</f>
        <v>4.18684298957184</v>
      </c>
      <c r="EJ151" s="56">
        <f t="shared" ca="1" si="85"/>
        <v>4.2011464323110141</v>
      </c>
      <c r="EK151" s="56">
        <f t="shared" ca="1" si="85"/>
        <v>4.2160026939819595</v>
      </c>
      <c r="EL151" s="56">
        <f t="shared" ca="1" si="85"/>
        <v>4.2313791172972888</v>
      </c>
      <c r="EM151" s="56">
        <f t="shared" ca="1" si="85"/>
        <v>4.2472419015414316</v>
      </c>
      <c r="EN151" s="56">
        <f t="shared" ca="1" si="85"/>
        <v>4.2635561768719423</v>
      </c>
      <c r="EO151" s="56">
        <f t="shared" ca="1" si="85"/>
        <v>4.2802860809709804</v>
      </c>
      <c r="EP151" s="56">
        <f t="shared" ca="1" si="85"/>
        <v>4.2973948378784685</v>
      </c>
      <c r="EQ151" s="56">
        <f t="shared" ca="1" si="85"/>
        <v>4.3148448388336353</v>
      </c>
      <c r="ER151" s="56">
        <f t="shared" ca="1" si="85"/>
        <v>4.3325977249472318</v>
      </c>
      <c r="ES151" s="56">
        <f t="shared" ca="1" si="85"/>
        <v>4.3506144715226975</v>
      </c>
      <c r="ET151" s="56">
        <f t="shared" ca="1" si="85"/>
        <v>4.3688554738409104</v>
      </c>
      <c r="EU151" s="56">
        <f t="shared" ca="1" si="85"/>
        <v>4.3872806342199562</v>
      </c>
      <c r="EV151" s="56">
        <f t="shared" ca="1" si="85"/>
        <v>4.4058494501585352</v>
      </c>
      <c r="EW151" s="56">
        <f t="shared" ca="1" si="85"/>
        <v>4.4245211033692513</v>
      </c>
      <c r="EX151" s="56">
        <f t="shared" ca="1" si="85"/>
        <v>4.4432545495060642</v>
      </c>
      <c r="EY151" s="56">
        <f t="shared" ca="1" si="85"/>
        <v>4.4620086083886727</v>
      </c>
      <c r="EZ151" s="56">
        <f t="shared" ca="1" si="85"/>
        <v>4.4807420545254857</v>
      </c>
      <c r="FA151" s="56">
        <f t="shared" ca="1" si="85"/>
        <v>4.4994137077362018</v>
      </c>
      <c r="FB151" s="56">
        <f t="shared" ca="1" si="85"/>
        <v>4.5179825236747808</v>
      </c>
      <c r="FC151" s="56">
        <f t="shared" ca="1" si="85"/>
        <v>4.5364076840538266</v>
      </c>
      <c r="FD151" s="56">
        <f t="shared" ca="1" si="85"/>
        <v>4.5546486863720395</v>
      </c>
      <c r="FE151" s="56">
        <f t="shared" ca="1" si="85"/>
        <v>4.5726654329475052</v>
      </c>
      <c r="FF151" s="56">
        <f t="shared" ca="1" si="85"/>
        <v>4.5904183190611016</v>
      </c>
      <c r="FG151" s="56">
        <f t="shared" ca="1" si="85"/>
        <v>4.6078683200162684</v>
      </c>
      <c r="FH151" s="56">
        <f t="shared" ca="1" si="85"/>
        <v>4.6249770769237566</v>
      </c>
      <c r="FI151" s="56">
        <f t="shared" ca="1" si="85"/>
        <v>4.6417069810227947</v>
      </c>
      <c r="FJ151" s="56">
        <f t="shared" ca="1" si="85"/>
        <v>4.6580212563533054</v>
      </c>
      <c r="FK151" s="56">
        <f t="shared" ca="1" si="85"/>
        <v>4.6738840405974482</v>
      </c>
      <c r="FL151" s="56">
        <f t="shared" ca="1" si="85"/>
        <v>4.6892604639127775</v>
      </c>
      <c r="FM151" s="56">
        <f t="shared" ca="1" si="85"/>
        <v>4.7041167255837228</v>
      </c>
      <c r="FN151" s="56">
        <f t="shared" ca="1" si="85"/>
        <v>4.718420168322897</v>
      </c>
      <c r="FO151" s="56">
        <f t="shared" ref="FO151:GP151" ca="1" si="86">$D123+($K123-$D123)*(1-COS(PI()*MIN(MAX((FO$139-$B$88)/($B$85-1),0),1)))/2</f>
        <v>4.7321393500589055</v>
      </c>
      <c r="FP151" s="56">
        <f t="shared" ca="1" si="86"/>
        <v>4.745244113052836</v>
      </c>
      <c r="FQ151" s="56">
        <f t="shared" ca="1" si="86"/>
        <v>4.7577056501915216</v>
      </c>
      <c r="FR151" s="56">
        <f t="shared" ca="1" si="86"/>
        <v>4.7694965683118209</v>
      </c>
      <c r="FS151" s="56">
        <f t="shared" ca="1" si="86"/>
        <v>4.780590948416739</v>
      </c>
      <c r="FT151" s="56">
        <f t="shared" ca="1" si="86"/>
        <v>4.7909644026510074</v>
      </c>
      <c r="FU151" s="56">
        <f t="shared" ca="1" si="86"/>
        <v>4.8005941279108848</v>
      </c>
      <c r="FV151" s="56">
        <f t="shared" ca="1" si="86"/>
        <v>4.8094589559703236</v>
      </c>
      <c r="FW151" s="56">
        <f t="shared" ca="1" si="86"/>
        <v>4.8175394000133274</v>
      </c>
      <c r="FX151" s="56">
        <f t="shared" ca="1" si="86"/>
        <v>4.8248176974702037</v>
      </c>
      <c r="FY151" s="56">
        <f t="shared" ca="1" si="86"/>
        <v>4.8312778490635422</v>
      </c>
      <c r="FZ151" s="56">
        <f t="shared" ca="1" si="86"/>
        <v>4.8369056539781052</v>
      </c>
      <c r="GA151" s="56">
        <f t="shared" ca="1" si="86"/>
        <v>4.8416887410772942</v>
      </c>
      <c r="GB151" s="56">
        <f t="shared" ca="1" si="86"/>
        <v>4.8456165960975994</v>
      </c>
      <c r="GC151" s="56">
        <f t="shared" ca="1" si="86"/>
        <v>4.8486805847612295</v>
      </c>
      <c r="GD151" s="56">
        <f t="shared" ca="1" si="86"/>
        <v>4.850873971756128</v>
      </c>
      <c r="GE151" s="56">
        <f t="shared" ca="1" si="86"/>
        <v>4.8521919355416534</v>
      </c>
      <c r="GF151" s="56">
        <f t="shared" ca="1" si="86"/>
        <v>4.8526315789473689</v>
      </c>
      <c r="GG151" s="56">
        <f t="shared" ca="1" si="86"/>
        <v>4.8526315789473689</v>
      </c>
      <c r="GH151" s="56">
        <f t="shared" ca="1" si="86"/>
        <v>4.8526315789473689</v>
      </c>
      <c r="GI151" s="56">
        <f t="shared" ca="1" si="86"/>
        <v>4.8526315789473689</v>
      </c>
      <c r="GJ151" s="56">
        <f t="shared" ca="1" si="86"/>
        <v>4.8526315789473689</v>
      </c>
      <c r="GK151" s="56">
        <f t="shared" ca="1" si="86"/>
        <v>4.8526315789473689</v>
      </c>
      <c r="GL151" s="56">
        <f t="shared" ca="1" si="86"/>
        <v>4.8526315789473689</v>
      </c>
      <c r="GM151" s="56">
        <f t="shared" ca="1" si="86"/>
        <v>4.8526315789473689</v>
      </c>
      <c r="GN151" s="56">
        <f t="shared" ca="1" si="86"/>
        <v>4.8526315789473689</v>
      </c>
      <c r="GO151" s="56">
        <f t="shared" ca="1" si="86"/>
        <v>4.8526315789473689</v>
      </c>
      <c r="GP151" s="56">
        <f t="shared" ca="1" si="86"/>
        <v>4.8526315789473689</v>
      </c>
    </row>
    <row r="152" spans="1:198" x14ac:dyDescent="0.35">
      <c r="A152" s="55" t="str">
        <f t="shared" si="26"/>
        <v>Available now &gt; SEI</v>
      </c>
      <c r="B152" s="55" t="s">
        <v>297</v>
      </c>
      <c r="K152" s="56">
        <f t="shared" ref="K152:AP152" ca="1" si="87">$D124+($K124-$D124)*(1-COS(PI()*MIN(MAX((K$139-$B$88)/($B$85-1),0),1)))/2</f>
        <v>4.8631578947368421</v>
      </c>
      <c r="L152" s="56">
        <f t="shared" ca="1" si="87"/>
        <v>4.8631578947368421</v>
      </c>
      <c r="M152" s="56">
        <f t="shared" ca="1" si="87"/>
        <v>4.8631578947368421</v>
      </c>
      <c r="N152" s="56">
        <f t="shared" ca="1" si="87"/>
        <v>4.8631578947368421</v>
      </c>
      <c r="O152" s="56">
        <f t="shared" ca="1" si="87"/>
        <v>4.8631578947368421</v>
      </c>
      <c r="P152" s="56">
        <f t="shared" ca="1" si="87"/>
        <v>4.8631578947368421</v>
      </c>
      <c r="Q152" s="56">
        <f t="shared" ca="1" si="87"/>
        <v>4.8631578947368421</v>
      </c>
      <c r="R152" s="56">
        <f t="shared" ca="1" si="87"/>
        <v>4.8631578947368421</v>
      </c>
      <c r="S152" s="56">
        <f t="shared" ca="1" si="87"/>
        <v>4.8631578947368421</v>
      </c>
      <c r="T152" s="56">
        <f t="shared" ca="1" si="87"/>
        <v>4.8631578947368421</v>
      </c>
      <c r="U152" s="56">
        <f t="shared" ca="1" si="87"/>
        <v>4.8631578947368421</v>
      </c>
      <c r="V152" s="56">
        <f t="shared" ca="1" si="87"/>
        <v>4.8631578947368421</v>
      </c>
      <c r="W152" s="56">
        <f t="shared" ca="1" si="87"/>
        <v>4.8631578947368421</v>
      </c>
      <c r="X152" s="56">
        <f t="shared" ca="1" si="87"/>
        <v>4.8631578947368421</v>
      </c>
      <c r="Y152" s="56">
        <f t="shared" ca="1" si="87"/>
        <v>4.8631578947368421</v>
      </c>
      <c r="Z152" s="56">
        <f t="shared" ca="1" si="87"/>
        <v>4.8631578947368421</v>
      </c>
      <c r="AA152" s="56">
        <f t="shared" ca="1" si="87"/>
        <v>4.8631578947368421</v>
      </c>
      <c r="AB152" s="56">
        <f t="shared" ca="1" si="87"/>
        <v>4.8631578947368421</v>
      </c>
      <c r="AC152" s="56">
        <f t="shared" ca="1" si="87"/>
        <v>4.8631578947368421</v>
      </c>
      <c r="AD152" s="56">
        <f t="shared" ca="1" si="87"/>
        <v>4.8631578947368421</v>
      </c>
      <c r="AE152" s="56">
        <f t="shared" ca="1" si="87"/>
        <v>4.8631578947368421</v>
      </c>
      <c r="AF152" s="56">
        <f t="shared" ca="1" si="87"/>
        <v>4.8631578947368421</v>
      </c>
      <c r="AG152" s="56">
        <f t="shared" ca="1" si="87"/>
        <v>4.8631578947368421</v>
      </c>
      <c r="AH152" s="56">
        <f t="shared" ca="1" si="87"/>
        <v>4.8631578947368421</v>
      </c>
      <c r="AI152" s="56">
        <f t="shared" ca="1" si="87"/>
        <v>4.8631578947368421</v>
      </c>
      <c r="AJ152" s="56">
        <f t="shared" ca="1" si="87"/>
        <v>4.8631578947368421</v>
      </c>
      <c r="AK152" s="56">
        <f t="shared" ca="1" si="87"/>
        <v>4.8631578947368421</v>
      </c>
      <c r="AL152" s="56">
        <f t="shared" ca="1" si="87"/>
        <v>4.8631578947368421</v>
      </c>
      <c r="AM152" s="56">
        <f t="shared" ca="1" si="87"/>
        <v>4.8631578947368421</v>
      </c>
      <c r="AN152" s="56">
        <f t="shared" ca="1" si="87"/>
        <v>4.8631578947368421</v>
      </c>
      <c r="AO152" s="56">
        <f t="shared" ca="1" si="87"/>
        <v>4.8631578947368421</v>
      </c>
      <c r="AP152" s="56">
        <f t="shared" ca="1" si="87"/>
        <v>4.8631578947368421</v>
      </c>
      <c r="AQ152" s="56">
        <f t="shared" ref="AQ152:BV152" ca="1" si="88">$D124+($K124-$D124)*(1-COS(PI()*MIN(MAX((AQ$139-$B$88)/($B$85-1),0),1)))/2</f>
        <v>4.8631578947368421</v>
      </c>
      <c r="AR152" s="56">
        <f t="shared" ca="1" si="88"/>
        <v>4.8631578947368421</v>
      </c>
      <c r="AS152" s="56">
        <f t="shared" ca="1" si="88"/>
        <v>4.8631578947368421</v>
      </c>
      <c r="AT152" s="56">
        <f t="shared" ca="1" si="88"/>
        <v>4.8631578947368421</v>
      </c>
      <c r="AU152" s="56">
        <f t="shared" ca="1" si="88"/>
        <v>4.8631578947368421</v>
      </c>
      <c r="AV152" s="56">
        <f t="shared" ca="1" si="88"/>
        <v>4.8631578947368421</v>
      </c>
      <c r="AW152" s="56">
        <f t="shared" ca="1" si="88"/>
        <v>4.8631578947368421</v>
      </c>
      <c r="AX152" s="56">
        <f t="shared" ca="1" si="88"/>
        <v>4.8631578947368421</v>
      </c>
      <c r="AY152" s="56">
        <f t="shared" ca="1" si="88"/>
        <v>4.8631578947368421</v>
      </c>
      <c r="AZ152" s="56">
        <f t="shared" ca="1" si="88"/>
        <v>4.8631578947368421</v>
      </c>
      <c r="BA152" s="56">
        <f t="shared" ca="1" si="88"/>
        <v>4.8631578947368421</v>
      </c>
      <c r="BB152" s="56">
        <f t="shared" ca="1" si="88"/>
        <v>4.8631578947368421</v>
      </c>
      <c r="BC152" s="56">
        <f t="shared" ca="1" si="88"/>
        <v>4.8631578947368421</v>
      </c>
      <c r="BD152" s="56">
        <f t="shared" ca="1" si="88"/>
        <v>4.8631578947368421</v>
      </c>
      <c r="BE152" s="56">
        <f t="shared" ca="1" si="88"/>
        <v>4.8631578947368421</v>
      </c>
      <c r="BF152" s="56">
        <f t="shared" ca="1" si="88"/>
        <v>4.8631578947368421</v>
      </c>
      <c r="BG152" s="56">
        <f t="shared" ca="1" si="88"/>
        <v>4.8631578947368421</v>
      </c>
      <c r="BH152" s="56">
        <f t="shared" ca="1" si="88"/>
        <v>4.8631578947368421</v>
      </c>
      <c r="BI152" s="56">
        <f t="shared" ca="1" si="88"/>
        <v>4.8631578947368421</v>
      </c>
      <c r="BJ152" s="56">
        <f t="shared" ca="1" si="88"/>
        <v>4.8631578947368421</v>
      </c>
      <c r="BK152" s="56">
        <f t="shared" ca="1" si="88"/>
        <v>4.8631578947368421</v>
      </c>
      <c r="BL152" s="56">
        <f t="shared" ca="1" si="88"/>
        <v>4.8631578947368421</v>
      </c>
      <c r="BM152" s="56">
        <f t="shared" ca="1" si="88"/>
        <v>4.8631578947368421</v>
      </c>
      <c r="BN152" s="56">
        <f t="shared" ca="1" si="88"/>
        <v>4.8631578947368421</v>
      </c>
      <c r="BO152" s="56">
        <f t="shared" ca="1" si="88"/>
        <v>4.8631578947368421</v>
      </c>
      <c r="BP152" s="56">
        <f t="shared" ca="1" si="88"/>
        <v>4.8631578947368421</v>
      </c>
      <c r="BQ152" s="56">
        <f t="shared" ca="1" si="88"/>
        <v>4.8631578947368421</v>
      </c>
      <c r="BR152" s="56">
        <f t="shared" ca="1" si="88"/>
        <v>4.8631578947368421</v>
      </c>
      <c r="BS152" s="56">
        <f t="shared" ca="1" si="88"/>
        <v>4.8631578947368421</v>
      </c>
      <c r="BT152" s="56">
        <f t="shared" ca="1" si="88"/>
        <v>4.8631578947368421</v>
      </c>
      <c r="BU152" s="56">
        <f t="shared" ca="1" si="88"/>
        <v>4.8631578947368421</v>
      </c>
      <c r="BV152" s="56">
        <f t="shared" ca="1" si="88"/>
        <v>4.8631578947368421</v>
      </c>
      <c r="BW152" s="56">
        <f t="shared" ref="BW152:DB152" ca="1" si="89">$D124+($K124-$D124)*(1-COS(PI()*MIN(MAX((BW$139-$B$88)/($B$85-1),0),1)))/2</f>
        <v>4.8631578947368421</v>
      </c>
      <c r="BX152" s="56">
        <f t="shared" ca="1" si="89"/>
        <v>4.8631578947368421</v>
      </c>
      <c r="BY152" s="56">
        <f t="shared" ca="1" si="89"/>
        <v>4.8631578947368421</v>
      </c>
      <c r="BZ152" s="56">
        <f t="shared" ca="1" si="89"/>
        <v>4.8631578947368421</v>
      </c>
      <c r="CA152" s="56">
        <f t="shared" ca="1" si="89"/>
        <v>4.8631578947368421</v>
      </c>
      <c r="CB152" s="56">
        <f t="shared" ca="1" si="89"/>
        <v>4.8631578947368421</v>
      </c>
      <c r="CC152" s="56">
        <f t="shared" ca="1" si="89"/>
        <v>4.8631578947368421</v>
      </c>
      <c r="CD152" s="56">
        <f t="shared" ca="1" si="89"/>
        <v>4.8631578947368421</v>
      </c>
      <c r="CE152" s="56">
        <f t="shared" ca="1" si="89"/>
        <v>4.8631578947368421</v>
      </c>
      <c r="CF152" s="56">
        <f t="shared" ca="1" si="89"/>
        <v>4.8631578947368421</v>
      </c>
      <c r="CG152" s="56">
        <f t="shared" ca="1" si="89"/>
        <v>4.8631578947368421</v>
      </c>
      <c r="CH152" s="56">
        <f t="shared" ca="1" si="89"/>
        <v>4.8631578947368421</v>
      </c>
      <c r="CI152" s="56">
        <f t="shared" ca="1" si="89"/>
        <v>4.8631578947368421</v>
      </c>
      <c r="CJ152" s="56">
        <f t="shared" ca="1" si="89"/>
        <v>4.8631578947368421</v>
      </c>
      <c r="CK152" s="56">
        <f t="shared" ca="1" si="89"/>
        <v>4.8631578947368421</v>
      </c>
      <c r="CL152" s="56">
        <f t="shared" ca="1" si="89"/>
        <v>4.8631578947368421</v>
      </c>
      <c r="CM152" s="56">
        <f t="shared" ca="1" si="89"/>
        <v>4.8631578947368421</v>
      </c>
      <c r="CN152" s="56">
        <f t="shared" ca="1" si="89"/>
        <v>4.8631578947368421</v>
      </c>
      <c r="CO152" s="56">
        <f t="shared" ca="1" si="89"/>
        <v>4.8631578947368421</v>
      </c>
      <c r="CP152" s="56">
        <f t="shared" ca="1" si="89"/>
        <v>4.8631578947368421</v>
      </c>
      <c r="CQ152" s="56">
        <f t="shared" ca="1" si="89"/>
        <v>4.8631578947368421</v>
      </c>
      <c r="CR152" s="56">
        <f t="shared" ca="1" si="89"/>
        <v>4.8631578947368421</v>
      </c>
      <c r="CS152" s="56">
        <f t="shared" ca="1" si="89"/>
        <v>4.8631578947368421</v>
      </c>
      <c r="CT152" s="56">
        <f t="shared" ca="1" si="89"/>
        <v>4.8631578947368421</v>
      </c>
      <c r="CU152" s="56">
        <f t="shared" ca="1" si="89"/>
        <v>4.8631578947368421</v>
      </c>
      <c r="CV152" s="56">
        <f t="shared" ca="1" si="89"/>
        <v>4.8631578947368421</v>
      </c>
      <c r="CW152" s="56">
        <f t="shared" ca="1" si="89"/>
        <v>4.8631578947368421</v>
      </c>
      <c r="CX152" s="56">
        <f t="shared" ca="1" si="89"/>
        <v>4.8631578947368421</v>
      </c>
      <c r="CY152" s="56">
        <f t="shared" ca="1" si="89"/>
        <v>4.8631578947368421</v>
      </c>
      <c r="CZ152" s="56">
        <f t="shared" ca="1" si="89"/>
        <v>4.8631578947368421</v>
      </c>
      <c r="DA152" s="56">
        <f t="shared" ca="1" si="89"/>
        <v>4.8631578947368421</v>
      </c>
      <c r="DB152" s="56">
        <f t="shared" ca="1" si="89"/>
        <v>4.8631578947368421</v>
      </c>
      <c r="DC152" s="56">
        <f t="shared" ref="DC152:EH152" ca="1" si="90">$D124+($K124-$D124)*(1-COS(PI()*MIN(MAX((DC$139-$B$88)/($B$85-1),0),1)))/2</f>
        <v>4.8631578947368421</v>
      </c>
      <c r="DD152" s="56">
        <f t="shared" ca="1" si="90"/>
        <v>4.8631578947368421</v>
      </c>
      <c r="DE152" s="56">
        <f t="shared" ca="1" si="90"/>
        <v>4.8631578947368421</v>
      </c>
      <c r="DF152" s="56">
        <f t="shared" ca="1" si="90"/>
        <v>4.8631578947368421</v>
      </c>
      <c r="DG152" s="56">
        <f t="shared" ca="1" si="90"/>
        <v>4.8631578947368421</v>
      </c>
      <c r="DH152" s="56">
        <f t="shared" ca="1" si="90"/>
        <v>4.8631578947368421</v>
      </c>
      <c r="DI152" s="56">
        <f t="shared" ca="1" si="90"/>
        <v>4.8631578947368421</v>
      </c>
      <c r="DJ152" s="56">
        <f t="shared" ca="1" si="90"/>
        <v>4.8631578947368421</v>
      </c>
      <c r="DK152" s="56">
        <f t="shared" ca="1" si="90"/>
        <v>4.8631578947368421</v>
      </c>
      <c r="DL152" s="56">
        <f t="shared" ca="1" si="90"/>
        <v>4.8631578947368421</v>
      </c>
      <c r="DM152" s="56">
        <f t="shared" ca="1" si="90"/>
        <v>4.8631578947368421</v>
      </c>
      <c r="DN152" s="56">
        <f t="shared" ca="1" si="90"/>
        <v>4.8631578947368421</v>
      </c>
      <c r="DO152" s="56">
        <f t="shared" ca="1" si="90"/>
        <v>4.8631578947368421</v>
      </c>
      <c r="DP152" s="56">
        <f t="shared" ca="1" si="90"/>
        <v>4.8631578947368421</v>
      </c>
      <c r="DQ152" s="56">
        <f t="shared" ca="1" si="90"/>
        <v>4.8631578947368421</v>
      </c>
      <c r="DR152" s="56">
        <f t="shared" ca="1" si="90"/>
        <v>4.8638173598454149</v>
      </c>
      <c r="DS152" s="56">
        <f t="shared" ca="1" si="90"/>
        <v>4.8657943055237034</v>
      </c>
      <c r="DT152" s="56">
        <f t="shared" ca="1" si="90"/>
        <v>4.869084386016052</v>
      </c>
      <c r="DU152" s="56">
        <f t="shared" ca="1" si="90"/>
        <v>4.8736803690114963</v>
      </c>
      <c r="DV152" s="56">
        <f t="shared" ca="1" si="90"/>
        <v>4.8795721515419546</v>
      </c>
      <c r="DW152" s="56">
        <f t="shared" ca="1" si="90"/>
        <v>4.8867467821907384</v>
      </c>
      <c r="DX152" s="56">
        <f t="shared" ca="1" si="90"/>
        <v>4.8951884895625817</v>
      </c>
      <c r="DY152" s="56">
        <f t="shared" ca="1" si="90"/>
        <v>4.9048787169525898</v>
      </c>
      <c r="DZ152" s="56">
        <f t="shared" ca="1" si="90"/>
        <v>4.9157961631379044</v>
      </c>
      <c r="EA152" s="56">
        <f t="shared" ca="1" si="90"/>
        <v>4.9279168292024105</v>
      </c>
      <c r="EB152" s="56">
        <f t="shared" ca="1" si="90"/>
        <v>4.9412140712915678</v>
      </c>
      <c r="EC152" s="56">
        <f t="shared" ca="1" si="90"/>
        <v>4.9556586591813838</v>
      </c>
      <c r="ED152" s="56">
        <f t="shared" ca="1" si="90"/>
        <v>4.9712188405327877</v>
      </c>
      <c r="EE152" s="56">
        <f t="shared" ca="1" si="90"/>
        <v>4.9878604106901649</v>
      </c>
      <c r="EF152" s="56">
        <f t="shared" ca="1" si="90"/>
        <v>5.005546787870613</v>
      </c>
      <c r="EG152" s="56">
        <f t="shared" ca="1" si="90"/>
        <v>5.0242390935786405</v>
      </c>
      <c r="EH152" s="56">
        <f t="shared" ca="1" si="90"/>
        <v>5.0438962380695376</v>
      </c>
      <c r="EI152" s="56">
        <f t="shared" ref="EI152:FN152" ca="1" si="91">$D124+($K124-$D124)*(1-COS(PI()*MIN(MAX((EI$139-$B$88)/($B$85-1),0),1)))/2</f>
        <v>5.064475010673549</v>
      </c>
      <c r="EJ152" s="56">
        <f t="shared" ca="1" si="91"/>
        <v>5.0859301747823116</v>
      </c>
      <c r="EK152" s="56">
        <f t="shared" ca="1" si="91"/>
        <v>5.1082145672887291</v>
      </c>
      <c r="EL152" s="56">
        <f t="shared" ca="1" si="91"/>
        <v>5.1312792022617231</v>
      </c>
      <c r="EM152" s="56">
        <f t="shared" ca="1" si="91"/>
        <v>5.1550733786279377</v>
      </c>
      <c r="EN152" s="56">
        <f t="shared" ca="1" si="91"/>
        <v>5.1795447916237034</v>
      </c>
      <c r="EO152" s="56">
        <f t="shared" ca="1" si="91"/>
        <v>5.2046396477722601</v>
      </c>
      <c r="EP152" s="56">
        <f t="shared" ca="1" si="91"/>
        <v>5.2303027831334923</v>
      </c>
      <c r="EQ152" s="56">
        <f t="shared" ca="1" si="91"/>
        <v>5.2564777845662425</v>
      </c>
      <c r="ER152" s="56">
        <f t="shared" ca="1" si="91"/>
        <v>5.2831071137366381</v>
      </c>
      <c r="ES152" s="56">
        <f t="shared" ca="1" si="91"/>
        <v>5.3101322335998367</v>
      </c>
      <c r="ET152" s="56">
        <f t="shared" ca="1" si="91"/>
        <v>5.337493737077156</v>
      </c>
      <c r="EU152" s="56">
        <f t="shared" ca="1" si="91"/>
        <v>5.3651314776457246</v>
      </c>
      <c r="EV152" s="56">
        <f t="shared" ca="1" si="91"/>
        <v>5.3929847015535932</v>
      </c>
      <c r="EW152" s="56">
        <f t="shared" ca="1" si="91"/>
        <v>5.4209921813696669</v>
      </c>
      <c r="EX152" s="56">
        <f t="shared" ca="1" si="91"/>
        <v>5.4490923505748867</v>
      </c>
      <c r="EY152" s="56">
        <f t="shared" ca="1" si="91"/>
        <v>5.4772234388987986</v>
      </c>
      <c r="EZ152" s="56">
        <f t="shared" ca="1" si="91"/>
        <v>5.5053236081040184</v>
      </c>
      <c r="FA152" s="56">
        <f t="shared" ca="1" si="91"/>
        <v>5.5333310879200921</v>
      </c>
      <c r="FB152" s="56">
        <f t="shared" ca="1" si="91"/>
        <v>5.5611843118279607</v>
      </c>
      <c r="FC152" s="56">
        <f t="shared" ca="1" si="91"/>
        <v>5.5888220523965293</v>
      </c>
      <c r="FD152" s="56">
        <f t="shared" ca="1" si="91"/>
        <v>5.6161835558738487</v>
      </c>
      <c r="FE152" s="56">
        <f t="shared" ca="1" si="91"/>
        <v>5.6432086757370472</v>
      </c>
      <c r="FF152" s="56">
        <f t="shared" ca="1" si="91"/>
        <v>5.6698380049074428</v>
      </c>
      <c r="FG152" s="56">
        <f t="shared" ca="1" si="91"/>
        <v>5.696013006340193</v>
      </c>
      <c r="FH152" s="56">
        <f t="shared" ca="1" si="91"/>
        <v>5.7216761417014252</v>
      </c>
      <c r="FI152" s="56">
        <f t="shared" ca="1" si="91"/>
        <v>5.7467709978499819</v>
      </c>
      <c r="FJ152" s="56">
        <f t="shared" ca="1" si="91"/>
        <v>5.7712424108457485</v>
      </c>
      <c r="FK152" s="56">
        <f t="shared" ca="1" si="91"/>
        <v>5.7950365872119622</v>
      </c>
      <c r="FL152" s="56">
        <f t="shared" ca="1" si="91"/>
        <v>5.8181012221849562</v>
      </c>
      <c r="FM152" s="56">
        <f t="shared" ca="1" si="91"/>
        <v>5.8403856146913737</v>
      </c>
      <c r="FN152" s="56">
        <f t="shared" ca="1" si="91"/>
        <v>5.8618407788001363</v>
      </c>
      <c r="FO152" s="56">
        <f t="shared" ref="FO152:GP152" ca="1" si="92">$D124+($K124-$D124)*(1-COS(PI()*MIN(MAX((FO$139-$B$88)/($B$85-1),0),1)))/2</f>
        <v>5.8824195514041477</v>
      </c>
      <c r="FP152" s="56">
        <f t="shared" ca="1" si="92"/>
        <v>5.9020766958950439</v>
      </c>
      <c r="FQ152" s="56">
        <f t="shared" ca="1" si="92"/>
        <v>5.9207690016030723</v>
      </c>
      <c r="FR152" s="56">
        <f t="shared" ca="1" si="92"/>
        <v>5.9384553787835204</v>
      </c>
      <c r="FS152" s="56">
        <f t="shared" ca="1" si="92"/>
        <v>5.9550969489408976</v>
      </c>
      <c r="FT152" s="56">
        <f t="shared" ca="1" si="92"/>
        <v>5.9706571302923015</v>
      </c>
      <c r="FU152" s="56">
        <f t="shared" ca="1" si="92"/>
        <v>5.9851017181821176</v>
      </c>
      <c r="FV152" s="56">
        <f t="shared" ca="1" si="92"/>
        <v>5.9983989602712748</v>
      </c>
      <c r="FW152" s="56">
        <f t="shared" ca="1" si="92"/>
        <v>6.010519626335781</v>
      </c>
      <c r="FX152" s="56">
        <f t="shared" ca="1" si="92"/>
        <v>6.0214370725210955</v>
      </c>
      <c r="FY152" s="56">
        <f t="shared" ca="1" si="92"/>
        <v>6.0311272999111036</v>
      </c>
      <c r="FZ152" s="56">
        <f t="shared" ca="1" si="92"/>
        <v>6.0395690072829478</v>
      </c>
      <c r="GA152" s="56">
        <f t="shared" ca="1" si="92"/>
        <v>6.0467436379317308</v>
      </c>
      <c r="GB152" s="56">
        <f t="shared" ca="1" si="92"/>
        <v>6.0526354204621891</v>
      </c>
      <c r="GC152" s="56">
        <f t="shared" ca="1" si="92"/>
        <v>6.0572314034576333</v>
      </c>
      <c r="GD152" s="56">
        <f t="shared" ca="1" si="92"/>
        <v>6.0605214839499819</v>
      </c>
      <c r="GE152" s="56">
        <f t="shared" ca="1" si="92"/>
        <v>6.0624984296282705</v>
      </c>
      <c r="GF152" s="56">
        <f t="shared" ca="1" si="92"/>
        <v>6.0631578947368432</v>
      </c>
      <c r="GG152" s="56">
        <f t="shared" ca="1" si="92"/>
        <v>6.0631578947368432</v>
      </c>
      <c r="GH152" s="56">
        <f t="shared" ca="1" si="92"/>
        <v>6.0631578947368432</v>
      </c>
      <c r="GI152" s="56">
        <f t="shared" ca="1" si="92"/>
        <v>6.0631578947368432</v>
      </c>
      <c r="GJ152" s="56">
        <f t="shared" ca="1" si="92"/>
        <v>6.0631578947368432</v>
      </c>
      <c r="GK152" s="56">
        <f t="shared" ca="1" si="92"/>
        <v>6.0631578947368432</v>
      </c>
      <c r="GL152" s="56">
        <f t="shared" ca="1" si="92"/>
        <v>6.0631578947368432</v>
      </c>
      <c r="GM152" s="56">
        <f t="shared" ca="1" si="92"/>
        <v>6.0631578947368432</v>
      </c>
      <c r="GN152" s="56">
        <f t="shared" ca="1" si="92"/>
        <v>6.0631578947368432</v>
      </c>
      <c r="GO152" s="56">
        <f t="shared" ca="1" si="92"/>
        <v>6.0631578947368432</v>
      </c>
      <c r="GP152" s="56">
        <f t="shared" ca="1" si="92"/>
        <v>6.0631578947368432</v>
      </c>
    </row>
    <row r="153" spans="1:198" x14ac:dyDescent="0.35">
      <c r="A153" s="55" t="str">
        <f t="shared" si="26"/>
        <v>Available now &gt; M&amp;T Bank</v>
      </c>
      <c r="B153" s="55" t="s">
        <v>297</v>
      </c>
      <c r="K153" s="56">
        <f t="shared" ref="K153:AP153" ca="1" si="93">$D125+($K125-$D125)*(1-COS(PI()*MIN(MAX((K$139-$B$88)/($B$85-1),0),1)))/2</f>
        <v>6.4842105263157892</v>
      </c>
      <c r="L153" s="56">
        <f t="shared" ca="1" si="93"/>
        <v>6.4842105263157892</v>
      </c>
      <c r="M153" s="56">
        <f t="shared" ca="1" si="93"/>
        <v>6.4842105263157892</v>
      </c>
      <c r="N153" s="56">
        <f t="shared" ca="1" si="93"/>
        <v>6.4842105263157892</v>
      </c>
      <c r="O153" s="56">
        <f t="shared" ca="1" si="93"/>
        <v>6.4842105263157892</v>
      </c>
      <c r="P153" s="56">
        <f t="shared" ca="1" si="93"/>
        <v>6.4842105263157892</v>
      </c>
      <c r="Q153" s="56">
        <f t="shared" ca="1" si="93"/>
        <v>6.4842105263157892</v>
      </c>
      <c r="R153" s="56">
        <f t="shared" ca="1" si="93"/>
        <v>6.4842105263157892</v>
      </c>
      <c r="S153" s="56">
        <f t="shared" ca="1" si="93"/>
        <v>6.4842105263157892</v>
      </c>
      <c r="T153" s="56">
        <f t="shared" ca="1" si="93"/>
        <v>6.4842105263157892</v>
      </c>
      <c r="U153" s="56">
        <f t="shared" ca="1" si="93"/>
        <v>6.4842105263157892</v>
      </c>
      <c r="V153" s="56">
        <f t="shared" ca="1" si="93"/>
        <v>6.4842105263157892</v>
      </c>
      <c r="W153" s="56">
        <f t="shared" ca="1" si="93"/>
        <v>6.4842105263157892</v>
      </c>
      <c r="X153" s="56">
        <f t="shared" ca="1" si="93"/>
        <v>6.4842105263157892</v>
      </c>
      <c r="Y153" s="56">
        <f t="shared" ca="1" si="93"/>
        <v>6.4842105263157892</v>
      </c>
      <c r="Z153" s="56">
        <f t="shared" ca="1" si="93"/>
        <v>6.4842105263157892</v>
      </c>
      <c r="AA153" s="56">
        <f t="shared" ca="1" si="93"/>
        <v>6.4842105263157892</v>
      </c>
      <c r="AB153" s="56">
        <f t="shared" ca="1" si="93"/>
        <v>6.4842105263157892</v>
      </c>
      <c r="AC153" s="56">
        <f t="shared" ca="1" si="93"/>
        <v>6.4842105263157892</v>
      </c>
      <c r="AD153" s="56">
        <f t="shared" ca="1" si="93"/>
        <v>6.4842105263157892</v>
      </c>
      <c r="AE153" s="56">
        <f t="shared" ca="1" si="93"/>
        <v>6.4842105263157892</v>
      </c>
      <c r="AF153" s="56">
        <f t="shared" ca="1" si="93"/>
        <v>6.4842105263157892</v>
      </c>
      <c r="AG153" s="56">
        <f t="shared" ca="1" si="93"/>
        <v>6.4842105263157892</v>
      </c>
      <c r="AH153" s="56">
        <f t="shared" ca="1" si="93"/>
        <v>6.4842105263157892</v>
      </c>
      <c r="AI153" s="56">
        <f t="shared" ca="1" si="93"/>
        <v>6.4842105263157892</v>
      </c>
      <c r="AJ153" s="56">
        <f t="shared" ca="1" si="93"/>
        <v>6.4842105263157892</v>
      </c>
      <c r="AK153" s="56">
        <f t="shared" ca="1" si="93"/>
        <v>6.4842105263157892</v>
      </c>
      <c r="AL153" s="56">
        <f t="shared" ca="1" si="93"/>
        <v>6.4842105263157892</v>
      </c>
      <c r="AM153" s="56">
        <f t="shared" ca="1" si="93"/>
        <v>6.4842105263157892</v>
      </c>
      <c r="AN153" s="56">
        <f t="shared" ca="1" si="93"/>
        <v>6.4842105263157892</v>
      </c>
      <c r="AO153" s="56">
        <f t="shared" ca="1" si="93"/>
        <v>6.4842105263157892</v>
      </c>
      <c r="AP153" s="56">
        <f t="shared" ca="1" si="93"/>
        <v>6.4842105263157892</v>
      </c>
      <c r="AQ153" s="56">
        <f t="shared" ref="AQ153:BV153" ca="1" si="94">$D125+($K125-$D125)*(1-COS(PI()*MIN(MAX((AQ$139-$B$88)/($B$85-1),0),1)))/2</f>
        <v>6.4842105263157892</v>
      </c>
      <c r="AR153" s="56">
        <f t="shared" ca="1" si="94"/>
        <v>6.4842105263157892</v>
      </c>
      <c r="AS153" s="56">
        <f t="shared" ca="1" si="94"/>
        <v>6.4842105263157892</v>
      </c>
      <c r="AT153" s="56">
        <f t="shared" ca="1" si="94"/>
        <v>6.4842105263157892</v>
      </c>
      <c r="AU153" s="56">
        <f t="shared" ca="1" si="94"/>
        <v>6.4842105263157892</v>
      </c>
      <c r="AV153" s="56">
        <f t="shared" ca="1" si="94"/>
        <v>6.4842105263157892</v>
      </c>
      <c r="AW153" s="56">
        <f t="shared" ca="1" si="94"/>
        <v>6.4842105263157892</v>
      </c>
      <c r="AX153" s="56">
        <f t="shared" ca="1" si="94"/>
        <v>6.4842105263157892</v>
      </c>
      <c r="AY153" s="56">
        <f t="shared" ca="1" si="94"/>
        <v>6.4842105263157892</v>
      </c>
      <c r="AZ153" s="56">
        <f t="shared" ca="1" si="94"/>
        <v>6.4842105263157892</v>
      </c>
      <c r="BA153" s="56">
        <f t="shared" ca="1" si="94"/>
        <v>6.4842105263157892</v>
      </c>
      <c r="BB153" s="56">
        <f t="shared" ca="1" si="94"/>
        <v>6.4842105263157892</v>
      </c>
      <c r="BC153" s="56">
        <f t="shared" ca="1" si="94"/>
        <v>6.4842105263157892</v>
      </c>
      <c r="BD153" s="56">
        <f t="shared" ca="1" si="94"/>
        <v>6.4842105263157892</v>
      </c>
      <c r="BE153" s="56">
        <f t="shared" ca="1" si="94"/>
        <v>6.4842105263157892</v>
      </c>
      <c r="BF153" s="56">
        <f t="shared" ca="1" si="94"/>
        <v>6.4842105263157892</v>
      </c>
      <c r="BG153" s="56">
        <f t="shared" ca="1" si="94"/>
        <v>6.4842105263157892</v>
      </c>
      <c r="BH153" s="56">
        <f t="shared" ca="1" si="94"/>
        <v>6.4842105263157892</v>
      </c>
      <c r="BI153" s="56">
        <f t="shared" ca="1" si="94"/>
        <v>6.4842105263157892</v>
      </c>
      <c r="BJ153" s="56">
        <f t="shared" ca="1" si="94"/>
        <v>6.4842105263157892</v>
      </c>
      <c r="BK153" s="56">
        <f t="shared" ca="1" si="94"/>
        <v>6.4842105263157892</v>
      </c>
      <c r="BL153" s="56">
        <f t="shared" ca="1" si="94"/>
        <v>6.4842105263157892</v>
      </c>
      <c r="BM153" s="56">
        <f t="shared" ca="1" si="94"/>
        <v>6.4842105263157892</v>
      </c>
      <c r="BN153" s="56">
        <f t="shared" ca="1" si="94"/>
        <v>6.4842105263157892</v>
      </c>
      <c r="BO153" s="56">
        <f t="shared" ca="1" si="94"/>
        <v>6.4842105263157892</v>
      </c>
      <c r="BP153" s="56">
        <f t="shared" ca="1" si="94"/>
        <v>6.4842105263157892</v>
      </c>
      <c r="BQ153" s="56">
        <f t="shared" ca="1" si="94"/>
        <v>6.4842105263157892</v>
      </c>
      <c r="BR153" s="56">
        <f t="shared" ca="1" si="94"/>
        <v>6.4842105263157892</v>
      </c>
      <c r="BS153" s="56">
        <f t="shared" ca="1" si="94"/>
        <v>6.4842105263157892</v>
      </c>
      <c r="BT153" s="56">
        <f t="shared" ca="1" si="94"/>
        <v>6.4842105263157892</v>
      </c>
      <c r="BU153" s="56">
        <f t="shared" ca="1" si="94"/>
        <v>6.4842105263157892</v>
      </c>
      <c r="BV153" s="56">
        <f t="shared" ca="1" si="94"/>
        <v>6.4842105263157892</v>
      </c>
      <c r="BW153" s="56">
        <f t="shared" ref="BW153:DB153" ca="1" si="95">$D125+($K125-$D125)*(1-COS(PI()*MIN(MAX((BW$139-$B$88)/($B$85-1),0),1)))/2</f>
        <v>6.4842105263157892</v>
      </c>
      <c r="BX153" s="56">
        <f t="shared" ca="1" si="95"/>
        <v>6.4842105263157892</v>
      </c>
      <c r="BY153" s="56">
        <f t="shared" ca="1" si="95"/>
        <v>6.4842105263157892</v>
      </c>
      <c r="BZ153" s="56">
        <f t="shared" ca="1" si="95"/>
        <v>6.4842105263157892</v>
      </c>
      <c r="CA153" s="56">
        <f t="shared" ca="1" si="95"/>
        <v>6.4842105263157892</v>
      </c>
      <c r="CB153" s="56">
        <f t="shared" ca="1" si="95"/>
        <v>6.4842105263157892</v>
      </c>
      <c r="CC153" s="56">
        <f t="shared" ca="1" si="95"/>
        <v>6.4842105263157892</v>
      </c>
      <c r="CD153" s="56">
        <f t="shared" ca="1" si="95"/>
        <v>6.4842105263157892</v>
      </c>
      <c r="CE153" s="56">
        <f t="shared" ca="1" si="95"/>
        <v>6.4842105263157892</v>
      </c>
      <c r="CF153" s="56">
        <f t="shared" ca="1" si="95"/>
        <v>6.4842105263157892</v>
      </c>
      <c r="CG153" s="56">
        <f t="shared" ca="1" si="95"/>
        <v>6.4842105263157892</v>
      </c>
      <c r="CH153" s="56">
        <f t="shared" ca="1" si="95"/>
        <v>6.4842105263157892</v>
      </c>
      <c r="CI153" s="56">
        <f t="shared" ca="1" si="95"/>
        <v>6.4842105263157892</v>
      </c>
      <c r="CJ153" s="56">
        <f t="shared" ca="1" si="95"/>
        <v>6.4842105263157892</v>
      </c>
      <c r="CK153" s="56">
        <f t="shared" ca="1" si="95"/>
        <v>6.4842105263157892</v>
      </c>
      <c r="CL153" s="56">
        <f t="shared" ca="1" si="95"/>
        <v>6.4842105263157892</v>
      </c>
      <c r="CM153" s="56">
        <f t="shared" ca="1" si="95"/>
        <v>6.4842105263157892</v>
      </c>
      <c r="CN153" s="56">
        <f t="shared" ca="1" si="95"/>
        <v>6.4842105263157892</v>
      </c>
      <c r="CO153" s="56">
        <f t="shared" ca="1" si="95"/>
        <v>6.4842105263157892</v>
      </c>
      <c r="CP153" s="56">
        <f t="shared" ca="1" si="95"/>
        <v>6.4842105263157892</v>
      </c>
      <c r="CQ153" s="56">
        <f t="shared" ca="1" si="95"/>
        <v>6.4842105263157892</v>
      </c>
      <c r="CR153" s="56">
        <f t="shared" ca="1" si="95"/>
        <v>6.4842105263157892</v>
      </c>
      <c r="CS153" s="56">
        <f t="shared" ca="1" si="95"/>
        <v>6.4842105263157892</v>
      </c>
      <c r="CT153" s="56">
        <f t="shared" ca="1" si="95"/>
        <v>6.4842105263157892</v>
      </c>
      <c r="CU153" s="56">
        <f t="shared" ca="1" si="95"/>
        <v>6.4842105263157892</v>
      </c>
      <c r="CV153" s="56">
        <f t="shared" ca="1" si="95"/>
        <v>6.4842105263157892</v>
      </c>
      <c r="CW153" s="56">
        <f t="shared" ca="1" si="95"/>
        <v>6.4842105263157892</v>
      </c>
      <c r="CX153" s="56">
        <f t="shared" ca="1" si="95"/>
        <v>6.4842105263157892</v>
      </c>
      <c r="CY153" s="56">
        <f t="shared" ca="1" si="95"/>
        <v>6.4842105263157892</v>
      </c>
      <c r="CZ153" s="56">
        <f t="shared" ca="1" si="95"/>
        <v>6.4842105263157892</v>
      </c>
      <c r="DA153" s="56">
        <f t="shared" ca="1" si="95"/>
        <v>6.4842105263157892</v>
      </c>
      <c r="DB153" s="56">
        <f t="shared" ca="1" si="95"/>
        <v>6.4842105263157892</v>
      </c>
      <c r="DC153" s="56">
        <f t="shared" ref="DC153:EH153" ca="1" si="96">$D125+($K125-$D125)*(1-COS(PI()*MIN(MAX((DC$139-$B$88)/($B$85-1),0),1)))/2</f>
        <v>6.4842105263157892</v>
      </c>
      <c r="DD153" s="56">
        <f t="shared" ca="1" si="96"/>
        <v>6.4842105263157892</v>
      </c>
      <c r="DE153" s="56">
        <f t="shared" ca="1" si="96"/>
        <v>6.4842105263157892</v>
      </c>
      <c r="DF153" s="56">
        <f t="shared" ca="1" si="96"/>
        <v>6.4842105263157892</v>
      </c>
      <c r="DG153" s="56">
        <f t="shared" ca="1" si="96"/>
        <v>6.4842105263157892</v>
      </c>
      <c r="DH153" s="56">
        <f t="shared" ca="1" si="96"/>
        <v>6.4842105263157892</v>
      </c>
      <c r="DI153" s="56">
        <f t="shared" ca="1" si="96"/>
        <v>6.4842105263157892</v>
      </c>
      <c r="DJ153" s="56">
        <f t="shared" ca="1" si="96"/>
        <v>6.4842105263157892</v>
      </c>
      <c r="DK153" s="56">
        <f t="shared" ca="1" si="96"/>
        <v>6.4842105263157892</v>
      </c>
      <c r="DL153" s="56">
        <f t="shared" ca="1" si="96"/>
        <v>6.4842105263157892</v>
      </c>
      <c r="DM153" s="56">
        <f t="shared" ca="1" si="96"/>
        <v>6.4842105263157892</v>
      </c>
      <c r="DN153" s="56">
        <f t="shared" ca="1" si="96"/>
        <v>6.4842105263157892</v>
      </c>
      <c r="DO153" s="56">
        <f t="shared" ca="1" si="96"/>
        <v>6.4842105263157892</v>
      </c>
      <c r="DP153" s="56">
        <f t="shared" ca="1" si="96"/>
        <v>6.4842105263157892</v>
      </c>
      <c r="DQ153" s="56">
        <f t="shared" ca="1" si="96"/>
        <v>6.4842105263157892</v>
      </c>
      <c r="DR153" s="56">
        <f t="shared" ca="1" si="96"/>
        <v>6.4850898131272201</v>
      </c>
      <c r="DS153" s="56">
        <f t="shared" ca="1" si="96"/>
        <v>6.4877257406982709</v>
      </c>
      <c r="DT153" s="56">
        <f t="shared" ca="1" si="96"/>
        <v>6.4921125146880687</v>
      </c>
      <c r="DU153" s="56">
        <f t="shared" ca="1" si="96"/>
        <v>6.4982404920153281</v>
      </c>
      <c r="DV153" s="56">
        <f t="shared" ca="1" si="96"/>
        <v>6.5060962020559385</v>
      </c>
      <c r="DW153" s="56">
        <f t="shared" ca="1" si="96"/>
        <v>6.5156623762543173</v>
      </c>
      <c r="DX153" s="56">
        <f t="shared" ca="1" si="96"/>
        <v>6.5269179860834416</v>
      </c>
      <c r="DY153" s="56">
        <f t="shared" ca="1" si="96"/>
        <v>6.5398382892701203</v>
      </c>
      <c r="DZ153" s="56">
        <f t="shared" ca="1" si="96"/>
        <v>6.5543948841838722</v>
      </c>
      <c r="EA153" s="56">
        <f t="shared" ca="1" si="96"/>
        <v>6.5705557722698797</v>
      </c>
      <c r="EB153" s="56">
        <f t="shared" ca="1" si="96"/>
        <v>6.5882854283887573</v>
      </c>
      <c r="EC153" s="56">
        <f t="shared" ca="1" si="96"/>
        <v>6.6075448789085112</v>
      </c>
      <c r="ED153" s="56">
        <f t="shared" ca="1" si="96"/>
        <v>6.6282917873770497</v>
      </c>
      <c r="EE153" s="56">
        <f t="shared" ca="1" si="96"/>
        <v>6.650480547586886</v>
      </c>
      <c r="EF153" s="56">
        <f t="shared" ca="1" si="96"/>
        <v>6.6740623838274837</v>
      </c>
      <c r="EG153" s="56">
        <f t="shared" ca="1" si="96"/>
        <v>6.698985458104854</v>
      </c>
      <c r="EH153" s="56">
        <f t="shared" ca="1" si="96"/>
        <v>6.7251949840927159</v>
      </c>
      <c r="EI153" s="56">
        <f t="shared" ref="EI153:FN153" ca="1" si="97">$D125+($K125-$D125)*(1-COS(PI()*MIN(MAX((EI$139-$B$88)/($B$85-1),0),1)))/2</f>
        <v>6.752633347564732</v>
      </c>
      <c r="EJ153" s="56">
        <f t="shared" ca="1" si="97"/>
        <v>6.7812402330430812</v>
      </c>
      <c r="EK153" s="56">
        <f t="shared" ca="1" si="97"/>
        <v>6.810952756384971</v>
      </c>
      <c r="EL153" s="56">
        <f t="shared" ca="1" si="97"/>
        <v>6.8417056030156296</v>
      </c>
      <c r="EM153" s="56">
        <f t="shared" ca="1" si="97"/>
        <v>6.873431171503916</v>
      </c>
      <c r="EN153" s="56">
        <f t="shared" ca="1" si="97"/>
        <v>6.9060597221649376</v>
      </c>
      <c r="EO153" s="56">
        <f t="shared" ca="1" si="97"/>
        <v>6.9395195303630128</v>
      </c>
      <c r="EP153" s="56">
        <f t="shared" ca="1" si="97"/>
        <v>6.97373704417799</v>
      </c>
      <c r="EQ153" s="56">
        <f t="shared" ca="1" si="97"/>
        <v>7.0086370460883227</v>
      </c>
      <c r="ER153" s="56">
        <f t="shared" ca="1" si="97"/>
        <v>7.0441428183155166</v>
      </c>
      <c r="ES153" s="56">
        <f t="shared" ca="1" si="97"/>
        <v>7.080176311466448</v>
      </c>
      <c r="ET153" s="56">
        <f t="shared" ca="1" si="97"/>
        <v>7.1166583161028738</v>
      </c>
      <c r="EU153" s="56">
        <f t="shared" ca="1" si="97"/>
        <v>7.1535086368609653</v>
      </c>
      <c r="EV153" s="56">
        <f t="shared" ca="1" si="97"/>
        <v>7.1906462687381234</v>
      </c>
      <c r="EW153" s="56">
        <f t="shared" ca="1" si="97"/>
        <v>7.2279895751595546</v>
      </c>
      <c r="EX153" s="56">
        <f t="shared" ca="1" si="97"/>
        <v>7.2654564674331814</v>
      </c>
      <c r="EY153" s="56">
        <f t="shared" ca="1" si="97"/>
        <v>7.3029645851983975</v>
      </c>
      <c r="EZ153" s="56">
        <f t="shared" ca="1" si="97"/>
        <v>7.3404314774720234</v>
      </c>
      <c r="FA153" s="56">
        <f t="shared" ca="1" si="97"/>
        <v>7.3777747838934555</v>
      </c>
      <c r="FB153" s="56">
        <f t="shared" ca="1" si="97"/>
        <v>7.4149124157706137</v>
      </c>
      <c r="FC153" s="56">
        <f t="shared" ca="1" si="97"/>
        <v>7.4517627365287051</v>
      </c>
      <c r="FD153" s="56">
        <f t="shared" ca="1" si="97"/>
        <v>7.4882447411651309</v>
      </c>
      <c r="FE153" s="56">
        <f t="shared" ca="1" si="97"/>
        <v>7.5242782343160624</v>
      </c>
      <c r="FF153" s="56">
        <f t="shared" ca="1" si="97"/>
        <v>7.5597840065432553</v>
      </c>
      <c r="FG153" s="56">
        <f t="shared" ca="1" si="97"/>
        <v>7.5946840084535889</v>
      </c>
      <c r="FH153" s="56">
        <f t="shared" ca="1" si="97"/>
        <v>7.6289015222685661</v>
      </c>
      <c r="FI153" s="56">
        <f t="shared" ca="1" si="97"/>
        <v>7.6623613304666423</v>
      </c>
      <c r="FJ153" s="56">
        <f t="shared" ca="1" si="97"/>
        <v>7.6949898811276629</v>
      </c>
      <c r="FK153" s="56">
        <f t="shared" ca="1" si="97"/>
        <v>7.7267154496159494</v>
      </c>
      <c r="FL153" s="56">
        <f t="shared" ca="1" si="97"/>
        <v>7.7574682962466079</v>
      </c>
      <c r="FM153" s="56">
        <f t="shared" ca="1" si="97"/>
        <v>7.7871808195884977</v>
      </c>
      <c r="FN153" s="56">
        <f t="shared" ca="1" si="97"/>
        <v>7.8157877050668469</v>
      </c>
      <c r="FO153" s="56">
        <f t="shared" ref="FO153:GP153" ca="1" si="98">$D125+($K125-$D125)*(1-COS(PI()*MIN(MAX((FO$139-$B$88)/($B$85-1),0),1)))/2</f>
        <v>7.8432260685388631</v>
      </c>
      <c r="FP153" s="56">
        <f t="shared" ca="1" si="98"/>
        <v>7.8694355945267249</v>
      </c>
      <c r="FQ153" s="56">
        <f t="shared" ca="1" si="98"/>
        <v>7.8943586688040952</v>
      </c>
      <c r="FR153" s="56">
        <f t="shared" ca="1" si="98"/>
        <v>7.9179405050446929</v>
      </c>
      <c r="FS153" s="56">
        <f t="shared" ca="1" si="98"/>
        <v>7.9401292652545292</v>
      </c>
      <c r="FT153" s="56">
        <f t="shared" ca="1" si="98"/>
        <v>7.9608761737230678</v>
      </c>
      <c r="FU153" s="56">
        <f t="shared" ca="1" si="98"/>
        <v>7.9801356242428216</v>
      </c>
      <c r="FV153" s="56">
        <f t="shared" ca="1" si="98"/>
        <v>7.9978652803616992</v>
      </c>
      <c r="FW153" s="56">
        <f t="shared" ca="1" si="98"/>
        <v>8.0140261684477068</v>
      </c>
      <c r="FX153" s="56">
        <f t="shared" ca="1" si="98"/>
        <v>8.0285827633614595</v>
      </c>
      <c r="FY153" s="56">
        <f t="shared" ca="1" si="98"/>
        <v>8.0415030665481364</v>
      </c>
      <c r="FZ153" s="56">
        <f t="shared" ca="1" si="98"/>
        <v>8.0527586763772625</v>
      </c>
      <c r="GA153" s="56">
        <f t="shared" ca="1" si="98"/>
        <v>8.0623248505756404</v>
      </c>
      <c r="GB153" s="56">
        <f t="shared" ca="1" si="98"/>
        <v>8.0701805606162509</v>
      </c>
      <c r="GC153" s="56">
        <f t="shared" ca="1" si="98"/>
        <v>8.0763085379435111</v>
      </c>
      <c r="GD153" s="56">
        <f t="shared" ca="1" si="98"/>
        <v>8.080695311933308</v>
      </c>
      <c r="GE153" s="56">
        <f t="shared" ca="1" si="98"/>
        <v>8.0833312395043588</v>
      </c>
      <c r="GF153" s="56">
        <f t="shared" ca="1" si="98"/>
        <v>8.0842105263157897</v>
      </c>
      <c r="GG153" s="56">
        <f t="shared" ca="1" si="98"/>
        <v>8.0842105263157897</v>
      </c>
      <c r="GH153" s="56">
        <f t="shared" ca="1" si="98"/>
        <v>8.0842105263157897</v>
      </c>
      <c r="GI153" s="56">
        <f t="shared" ca="1" si="98"/>
        <v>8.0842105263157897</v>
      </c>
      <c r="GJ153" s="56">
        <f t="shared" ca="1" si="98"/>
        <v>8.0842105263157897</v>
      </c>
      <c r="GK153" s="56">
        <f t="shared" ca="1" si="98"/>
        <v>8.0842105263157897</v>
      </c>
      <c r="GL153" s="56">
        <f t="shared" ca="1" si="98"/>
        <v>8.0842105263157897</v>
      </c>
      <c r="GM153" s="56">
        <f t="shared" ca="1" si="98"/>
        <v>8.0842105263157897</v>
      </c>
      <c r="GN153" s="56">
        <f t="shared" ca="1" si="98"/>
        <v>8.0842105263157897</v>
      </c>
      <c r="GO153" s="56">
        <f t="shared" ca="1" si="98"/>
        <v>8.0842105263157897</v>
      </c>
      <c r="GP153" s="56">
        <f t="shared" ca="1" si="98"/>
        <v>8.0842105263157897</v>
      </c>
    </row>
    <row r="154" spans="1:198" x14ac:dyDescent="0.35">
      <c r="A154" s="55" t="str">
        <f t="shared" si="26"/>
        <v>Available now &gt; Peabody</v>
      </c>
      <c r="B154" s="55" t="s">
        <v>297</v>
      </c>
      <c r="K154" s="56">
        <f t="shared" ref="K154:AP154" ca="1" si="99">$D126+($K126-$D126)*(1-COS(PI()*MIN(MAX((K$139-$B$88)/($B$85-1),0),1)))/2</f>
        <v>7.2947368421052632</v>
      </c>
      <c r="L154" s="56">
        <f t="shared" ca="1" si="99"/>
        <v>7.2947368421052632</v>
      </c>
      <c r="M154" s="56">
        <f t="shared" ca="1" si="99"/>
        <v>7.2947368421052632</v>
      </c>
      <c r="N154" s="56">
        <f t="shared" ca="1" si="99"/>
        <v>7.2947368421052632</v>
      </c>
      <c r="O154" s="56">
        <f t="shared" ca="1" si="99"/>
        <v>7.2947368421052632</v>
      </c>
      <c r="P154" s="56">
        <f t="shared" ca="1" si="99"/>
        <v>7.2947368421052632</v>
      </c>
      <c r="Q154" s="56">
        <f t="shared" ca="1" si="99"/>
        <v>7.2947368421052632</v>
      </c>
      <c r="R154" s="56">
        <f t="shared" ca="1" si="99"/>
        <v>7.2947368421052632</v>
      </c>
      <c r="S154" s="56">
        <f t="shared" ca="1" si="99"/>
        <v>7.2947368421052632</v>
      </c>
      <c r="T154" s="56">
        <f t="shared" ca="1" si="99"/>
        <v>7.2947368421052632</v>
      </c>
      <c r="U154" s="56">
        <f t="shared" ca="1" si="99"/>
        <v>7.2947368421052632</v>
      </c>
      <c r="V154" s="56">
        <f t="shared" ca="1" si="99"/>
        <v>7.2947368421052632</v>
      </c>
      <c r="W154" s="56">
        <f t="shared" ca="1" si="99"/>
        <v>7.2947368421052632</v>
      </c>
      <c r="X154" s="56">
        <f t="shared" ca="1" si="99"/>
        <v>7.2947368421052632</v>
      </c>
      <c r="Y154" s="56">
        <f t="shared" ca="1" si="99"/>
        <v>7.2947368421052632</v>
      </c>
      <c r="Z154" s="56">
        <f t="shared" ca="1" si="99"/>
        <v>7.2947368421052632</v>
      </c>
      <c r="AA154" s="56">
        <f t="shared" ca="1" si="99"/>
        <v>7.2947368421052632</v>
      </c>
      <c r="AB154" s="56">
        <f t="shared" ca="1" si="99"/>
        <v>7.2947368421052632</v>
      </c>
      <c r="AC154" s="56">
        <f t="shared" ca="1" si="99"/>
        <v>7.2947368421052632</v>
      </c>
      <c r="AD154" s="56">
        <f t="shared" ca="1" si="99"/>
        <v>7.2947368421052632</v>
      </c>
      <c r="AE154" s="56">
        <f t="shared" ca="1" si="99"/>
        <v>7.2947368421052632</v>
      </c>
      <c r="AF154" s="56">
        <f t="shared" ca="1" si="99"/>
        <v>7.2947368421052632</v>
      </c>
      <c r="AG154" s="56">
        <f t="shared" ca="1" si="99"/>
        <v>7.2947368421052632</v>
      </c>
      <c r="AH154" s="56">
        <f t="shared" ca="1" si="99"/>
        <v>7.2947368421052632</v>
      </c>
      <c r="AI154" s="56">
        <f t="shared" ca="1" si="99"/>
        <v>7.2947368421052632</v>
      </c>
      <c r="AJ154" s="56">
        <f t="shared" ca="1" si="99"/>
        <v>7.2947368421052632</v>
      </c>
      <c r="AK154" s="56">
        <f t="shared" ca="1" si="99"/>
        <v>7.2947368421052632</v>
      </c>
      <c r="AL154" s="56">
        <f t="shared" ca="1" si="99"/>
        <v>7.2947368421052632</v>
      </c>
      <c r="AM154" s="56">
        <f t="shared" ca="1" si="99"/>
        <v>7.2947368421052632</v>
      </c>
      <c r="AN154" s="56">
        <f t="shared" ca="1" si="99"/>
        <v>7.2947368421052632</v>
      </c>
      <c r="AO154" s="56">
        <f t="shared" ca="1" si="99"/>
        <v>7.2947368421052632</v>
      </c>
      <c r="AP154" s="56">
        <f t="shared" ca="1" si="99"/>
        <v>7.2947368421052632</v>
      </c>
      <c r="AQ154" s="56">
        <f t="shared" ref="AQ154:BV154" ca="1" si="100">$D126+($K126-$D126)*(1-COS(PI()*MIN(MAX((AQ$139-$B$88)/($B$85-1),0),1)))/2</f>
        <v>7.2947368421052632</v>
      </c>
      <c r="AR154" s="56">
        <f t="shared" ca="1" si="100"/>
        <v>7.2947368421052632</v>
      </c>
      <c r="AS154" s="56">
        <f t="shared" ca="1" si="100"/>
        <v>7.2947368421052632</v>
      </c>
      <c r="AT154" s="56">
        <f t="shared" ca="1" si="100"/>
        <v>7.2947368421052632</v>
      </c>
      <c r="AU154" s="56">
        <f t="shared" ca="1" si="100"/>
        <v>7.2947368421052632</v>
      </c>
      <c r="AV154" s="56">
        <f t="shared" ca="1" si="100"/>
        <v>7.2947368421052632</v>
      </c>
      <c r="AW154" s="56">
        <f t="shared" ca="1" si="100"/>
        <v>7.2947368421052632</v>
      </c>
      <c r="AX154" s="56">
        <f t="shared" ca="1" si="100"/>
        <v>7.2947368421052632</v>
      </c>
      <c r="AY154" s="56">
        <f t="shared" ca="1" si="100"/>
        <v>7.2947368421052632</v>
      </c>
      <c r="AZ154" s="56">
        <f t="shared" ca="1" si="100"/>
        <v>7.2947368421052632</v>
      </c>
      <c r="BA154" s="56">
        <f t="shared" ca="1" si="100"/>
        <v>7.2947368421052632</v>
      </c>
      <c r="BB154" s="56">
        <f t="shared" ca="1" si="100"/>
        <v>7.2947368421052632</v>
      </c>
      <c r="BC154" s="56">
        <f t="shared" ca="1" si="100"/>
        <v>7.2947368421052632</v>
      </c>
      <c r="BD154" s="56">
        <f t="shared" ca="1" si="100"/>
        <v>7.2947368421052632</v>
      </c>
      <c r="BE154" s="56">
        <f t="shared" ca="1" si="100"/>
        <v>7.2947368421052632</v>
      </c>
      <c r="BF154" s="56">
        <f t="shared" ca="1" si="100"/>
        <v>7.2947368421052632</v>
      </c>
      <c r="BG154" s="56">
        <f t="shared" ca="1" si="100"/>
        <v>7.2947368421052632</v>
      </c>
      <c r="BH154" s="56">
        <f t="shared" ca="1" si="100"/>
        <v>7.2947368421052632</v>
      </c>
      <c r="BI154" s="56">
        <f t="shared" ca="1" si="100"/>
        <v>7.2947368421052632</v>
      </c>
      <c r="BJ154" s="56">
        <f t="shared" ca="1" si="100"/>
        <v>7.2947368421052632</v>
      </c>
      <c r="BK154" s="56">
        <f t="shared" ca="1" si="100"/>
        <v>7.2947368421052632</v>
      </c>
      <c r="BL154" s="56">
        <f t="shared" ca="1" si="100"/>
        <v>7.2947368421052632</v>
      </c>
      <c r="BM154" s="56">
        <f t="shared" ca="1" si="100"/>
        <v>7.2947368421052632</v>
      </c>
      <c r="BN154" s="56">
        <f t="shared" ca="1" si="100"/>
        <v>7.2947368421052632</v>
      </c>
      <c r="BO154" s="56">
        <f t="shared" ca="1" si="100"/>
        <v>7.2947368421052632</v>
      </c>
      <c r="BP154" s="56">
        <f t="shared" ca="1" si="100"/>
        <v>7.2947368421052632</v>
      </c>
      <c r="BQ154" s="56">
        <f t="shared" ca="1" si="100"/>
        <v>7.2947368421052632</v>
      </c>
      <c r="BR154" s="56">
        <f t="shared" ca="1" si="100"/>
        <v>7.2947368421052632</v>
      </c>
      <c r="BS154" s="56">
        <f t="shared" ca="1" si="100"/>
        <v>7.2947368421052632</v>
      </c>
      <c r="BT154" s="56">
        <f t="shared" ca="1" si="100"/>
        <v>7.2947368421052632</v>
      </c>
      <c r="BU154" s="56">
        <f t="shared" ca="1" si="100"/>
        <v>7.2947368421052632</v>
      </c>
      <c r="BV154" s="56">
        <f t="shared" ca="1" si="100"/>
        <v>7.2947368421052632</v>
      </c>
      <c r="BW154" s="56">
        <f t="shared" ref="BW154:DB154" ca="1" si="101">$D126+($K126-$D126)*(1-COS(PI()*MIN(MAX((BW$139-$B$88)/($B$85-1),0),1)))/2</f>
        <v>7.2947368421052632</v>
      </c>
      <c r="BX154" s="56">
        <f t="shared" ca="1" si="101"/>
        <v>7.2947368421052632</v>
      </c>
      <c r="BY154" s="56">
        <f t="shared" ca="1" si="101"/>
        <v>7.2947368421052632</v>
      </c>
      <c r="BZ154" s="56">
        <f t="shared" ca="1" si="101"/>
        <v>7.2947368421052632</v>
      </c>
      <c r="CA154" s="56">
        <f t="shared" ca="1" si="101"/>
        <v>7.2947368421052632</v>
      </c>
      <c r="CB154" s="56">
        <f t="shared" ca="1" si="101"/>
        <v>7.2947368421052632</v>
      </c>
      <c r="CC154" s="56">
        <f t="shared" ca="1" si="101"/>
        <v>7.2947368421052632</v>
      </c>
      <c r="CD154" s="56">
        <f t="shared" ca="1" si="101"/>
        <v>7.2947368421052632</v>
      </c>
      <c r="CE154" s="56">
        <f t="shared" ca="1" si="101"/>
        <v>7.2947368421052632</v>
      </c>
      <c r="CF154" s="56">
        <f t="shared" ca="1" si="101"/>
        <v>7.2947368421052632</v>
      </c>
      <c r="CG154" s="56">
        <f t="shared" ca="1" si="101"/>
        <v>7.2947368421052632</v>
      </c>
      <c r="CH154" s="56">
        <f t="shared" ca="1" si="101"/>
        <v>7.2947368421052632</v>
      </c>
      <c r="CI154" s="56">
        <f t="shared" ca="1" si="101"/>
        <v>7.2947368421052632</v>
      </c>
      <c r="CJ154" s="56">
        <f t="shared" ca="1" si="101"/>
        <v>7.2947368421052632</v>
      </c>
      <c r="CK154" s="56">
        <f t="shared" ca="1" si="101"/>
        <v>7.2947368421052632</v>
      </c>
      <c r="CL154" s="56">
        <f t="shared" ca="1" si="101"/>
        <v>7.2947368421052632</v>
      </c>
      <c r="CM154" s="56">
        <f t="shared" ca="1" si="101"/>
        <v>7.2947368421052632</v>
      </c>
      <c r="CN154" s="56">
        <f t="shared" ca="1" si="101"/>
        <v>7.2947368421052632</v>
      </c>
      <c r="CO154" s="56">
        <f t="shared" ca="1" si="101"/>
        <v>7.2947368421052632</v>
      </c>
      <c r="CP154" s="56">
        <f t="shared" ca="1" si="101"/>
        <v>7.2947368421052632</v>
      </c>
      <c r="CQ154" s="56">
        <f t="shared" ca="1" si="101"/>
        <v>7.2947368421052632</v>
      </c>
      <c r="CR154" s="56">
        <f t="shared" ca="1" si="101"/>
        <v>7.2947368421052632</v>
      </c>
      <c r="CS154" s="56">
        <f t="shared" ca="1" si="101"/>
        <v>7.2947368421052632</v>
      </c>
      <c r="CT154" s="56">
        <f t="shared" ca="1" si="101"/>
        <v>7.2947368421052632</v>
      </c>
      <c r="CU154" s="56">
        <f t="shared" ca="1" si="101"/>
        <v>7.2947368421052632</v>
      </c>
      <c r="CV154" s="56">
        <f t="shared" ca="1" si="101"/>
        <v>7.2947368421052632</v>
      </c>
      <c r="CW154" s="56">
        <f t="shared" ca="1" si="101"/>
        <v>7.2947368421052632</v>
      </c>
      <c r="CX154" s="56">
        <f t="shared" ca="1" si="101"/>
        <v>7.2947368421052632</v>
      </c>
      <c r="CY154" s="56">
        <f t="shared" ca="1" si="101"/>
        <v>7.2947368421052632</v>
      </c>
      <c r="CZ154" s="56">
        <f t="shared" ca="1" si="101"/>
        <v>7.2947368421052632</v>
      </c>
      <c r="DA154" s="56">
        <f t="shared" ca="1" si="101"/>
        <v>7.2947368421052632</v>
      </c>
      <c r="DB154" s="56">
        <f t="shared" ca="1" si="101"/>
        <v>7.2947368421052632</v>
      </c>
      <c r="DC154" s="56">
        <f t="shared" ref="DC154:EH154" ca="1" si="102">$D126+($K126-$D126)*(1-COS(PI()*MIN(MAX((DC$139-$B$88)/($B$85-1),0),1)))/2</f>
        <v>7.2947368421052632</v>
      </c>
      <c r="DD154" s="56">
        <f t="shared" ca="1" si="102"/>
        <v>7.2947368421052632</v>
      </c>
      <c r="DE154" s="56">
        <f t="shared" ca="1" si="102"/>
        <v>7.2947368421052632</v>
      </c>
      <c r="DF154" s="56">
        <f t="shared" ca="1" si="102"/>
        <v>7.2947368421052632</v>
      </c>
      <c r="DG154" s="56">
        <f t="shared" ca="1" si="102"/>
        <v>7.2947368421052632</v>
      </c>
      <c r="DH154" s="56">
        <f t="shared" ca="1" si="102"/>
        <v>7.2947368421052632</v>
      </c>
      <c r="DI154" s="56">
        <f t="shared" ca="1" si="102"/>
        <v>7.2947368421052632</v>
      </c>
      <c r="DJ154" s="56">
        <f t="shared" ca="1" si="102"/>
        <v>7.2947368421052632</v>
      </c>
      <c r="DK154" s="56">
        <f t="shared" ca="1" si="102"/>
        <v>7.2947368421052632</v>
      </c>
      <c r="DL154" s="56">
        <f t="shared" ca="1" si="102"/>
        <v>7.2947368421052632</v>
      </c>
      <c r="DM154" s="56">
        <f t="shared" ca="1" si="102"/>
        <v>7.2947368421052632</v>
      </c>
      <c r="DN154" s="56">
        <f t="shared" ca="1" si="102"/>
        <v>7.2947368421052632</v>
      </c>
      <c r="DO154" s="56">
        <f t="shared" ca="1" si="102"/>
        <v>7.2947368421052632</v>
      </c>
      <c r="DP154" s="56">
        <f t="shared" ca="1" si="102"/>
        <v>7.2947368421052632</v>
      </c>
      <c r="DQ154" s="56">
        <f t="shared" ca="1" si="102"/>
        <v>7.2947368421052632</v>
      </c>
      <c r="DR154" s="56">
        <f t="shared" ca="1" si="102"/>
        <v>7.2958359506195514</v>
      </c>
      <c r="DS154" s="56">
        <f t="shared" ca="1" si="102"/>
        <v>7.2991308600833653</v>
      </c>
      <c r="DT154" s="56">
        <f t="shared" ca="1" si="102"/>
        <v>7.3046143275706124</v>
      </c>
      <c r="DU154" s="56">
        <f t="shared" ca="1" si="102"/>
        <v>7.3122742992296867</v>
      </c>
      <c r="DV154" s="56">
        <f t="shared" ca="1" si="102"/>
        <v>7.3220939367804503</v>
      </c>
      <c r="DW154" s="56">
        <f t="shared" ca="1" si="102"/>
        <v>7.3340516545284231</v>
      </c>
      <c r="DX154" s="56">
        <f t="shared" ca="1" si="102"/>
        <v>7.3481211668148294</v>
      </c>
      <c r="DY154" s="56">
        <f t="shared" ca="1" si="102"/>
        <v>7.3642715457981769</v>
      </c>
      <c r="DZ154" s="56">
        <f t="shared" ca="1" si="102"/>
        <v>7.3824672894403669</v>
      </c>
      <c r="EA154" s="56">
        <f t="shared" ca="1" si="102"/>
        <v>7.4026683995478768</v>
      </c>
      <c r="EB154" s="56">
        <f t="shared" ca="1" si="102"/>
        <v>7.4248304696964729</v>
      </c>
      <c r="EC154" s="56">
        <f t="shared" ca="1" si="102"/>
        <v>7.4489047828461654</v>
      </c>
      <c r="ED154" s="56">
        <f t="shared" ca="1" si="102"/>
        <v>7.4748384184318386</v>
      </c>
      <c r="EE154" s="56">
        <f t="shared" ca="1" si="102"/>
        <v>7.502574368694134</v>
      </c>
      <c r="EF154" s="56">
        <f t="shared" ca="1" si="102"/>
        <v>7.5320516639948814</v>
      </c>
      <c r="EG154" s="56">
        <f t="shared" ca="1" si="102"/>
        <v>7.5632055068415944</v>
      </c>
      <c r="EH154" s="56">
        <f t="shared" ca="1" si="102"/>
        <v>7.595967414326422</v>
      </c>
      <c r="EI154" s="56">
        <f t="shared" ref="EI154:FN154" ca="1" si="103">$D126+($K126-$D126)*(1-COS(PI()*MIN(MAX((EI$139-$B$88)/($B$85-1),0),1)))/2</f>
        <v>7.6302653686664419</v>
      </c>
      <c r="EJ154" s="56">
        <f t="shared" ca="1" si="103"/>
        <v>7.6660239755143786</v>
      </c>
      <c r="EK154" s="56">
        <f t="shared" ca="1" si="103"/>
        <v>7.7031646296917407</v>
      </c>
      <c r="EL154" s="56">
        <f t="shared" ca="1" si="103"/>
        <v>7.7416056879800639</v>
      </c>
      <c r="EM154" s="56">
        <f t="shared" ca="1" si="103"/>
        <v>7.7812626485904213</v>
      </c>
      <c r="EN154" s="56">
        <f t="shared" ca="1" si="103"/>
        <v>7.8220483369166978</v>
      </c>
      <c r="EO154" s="56">
        <f t="shared" ca="1" si="103"/>
        <v>7.8638730971642925</v>
      </c>
      <c r="EP154" s="56">
        <f t="shared" ca="1" si="103"/>
        <v>7.9066449894330137</v>
      </c>
      <c r="EQ154" s="56">
        <f t="shared" ca="1" si="103"/>
        <v>7.9502699918209307</v>
      </c>
      <c r="ER154" s="56">
        <f t="shared" ca="1" si="103"/>
        <v>7.9946522071049229</v>
      </c>
      <c r="ES154" s="56">
        <f t="shared" ca="1" si="103"/>
        <v>8.0396940735435862</v>
      </c>
      <c r="ET154" s="56">
        <f t="shared" ca="1" si="103"/>
        <v>8.0852965793391185</v>
      </c>
      <c r="EU154" s="56">
        <f t="shared" ca="1" si="103"/>
        <v>8.1313594802867328</v>
      </c>
      <c r="EV154" s="56">
        <f t="shared" ca="1" si="103"/>
        <v>8.1777815201331805</v>
      </c>
      <c r="EW154" s="56">
        <f t="shared" ca="1" si="103"/>
        <v>8.2244606531599711</v>
      </c>
      <c r="EX154" s="56">
        <f t="shared" ca="1" si="103"/>
        <v>8.2712942685020039</v>
      </c>
      <c r="EY154" s="56">
        <f t="shared" ca="1" si="103"/>
        <v>8.3181794157085243</v>
      </c>
      <c r="EZ154" s="56">
        <f t="shared" ca="1" si="103"/>
        <v>8.365013031050557</v>
      </c>
      <c r="FA154" s="56">
        <f t="shared" ca="1" si="103"/>
        <v>8.4116921640773459</v>
      </c>
      <c r="FB154" s="56">
        <f t="shared" ca="1" si="103"/>
        <v>8.4581142039237935</v>
      </c>
      <c r="FC154" s="56">
        <f t="shared" ca="1" si="103"/>
        <v>8.5041771048714079</v>
      </c>
      <c r="FD154" s="56">
        <f t="shared" ca="1" si="103"/>
        <v>8.5497796106669401</v>
      </c>
      <c r="FE154" s="56">
        <f t="shared" ca="1" si="103"/>
        <v>8.5948214771056044</v>
      </c>
      <c r="FF154" s="56">
        <f t="shared" ca="1" si="103"/>
        <v>8.6392036923895965</v>
      </c>
      <c r="FG154" s="56">
        <f t="shared" ca="1" si="103"/>
        <v>8.6828286947775144</v>
      </c>
      <c r="FH154" s="56">
        <f t="shared" ca="1" si="103"/>
        <v>8.7256005870462339</v>
      </c>
      <c r="FI154" s="56">
        <f t="shared" ca="1" si="103"/>
        <v>8.7674253472938286</v>
      </c>
      <c r="FJ154" s="56">
        <f t="shared" ca="1" si="103"/>
        <v>8.808211035620106</v>
      </c>
      <c r="FK154" s="56">
        <f t="shared" ca="1" si="103"/>
        <v>8.8478679962304625</v>
      </c>
      <c r="FL154" s="56">
        <f t="shared" ca="1" si="103"/>
        <v>8.8863090545187866</v>
      </c>
      <c r="FM154" s="56">
        <f t="shared" ca="1" si="103"/>
        <v>8.9234497086961486</v>
      </c>
      <c r="FN154" s="56">
        <f t="shared" ca="1" si="103"/>
        <v>8.9592083155440854</v>
      </c>
      <c r="FO154" s="56">
        <f t="shared" ref="FO154:GP154" ca="1" si="104">$D126+($K126-$D126)*(1-COS(PI()*MIN(MAX((FO$139-$B$88)/($B$85-1),0),1)))/2</f>
        <v>8.9935062698841062</v>
      </c>
      <c r="FP154" s="56">
        <f t="shared" ca="1" si="104"/>
        <v>9.0262681773689319</v>
      </c>
      <c r="FQ154" s="56">
        <f t="shared" ca="1" si="104"/>
        <v>9.0574220202156468</v>
      </c>
      <c r="FR154" s="56">
        <f t="shared" ca="1" si="104"/>
        <v>9.0868993155163942</v>
      </c>
      <c r="FS154" s="56">
        <f t="shared" ca="1" si="104"/>
        <v>9.1146352657786878</v>
      </c>
      <c r="FT154" s="56">
        <f t="shared" ca="1" si="104"/>
        <v>9.140568901364361</v>
      </c>
      <c r="FU154" s="56">
        <f t="shared" ca="1" si="104"/>
        <v>9.1646432145140544</v>
      </c>
      <c r="FV154" s="56">
        <f t="shared" ca="1" si="104"/>
        <v>9.1868052846626505</v>
      </c>
      <c r="FW154" s="56">
        <f t="shared" ca="1" si="104"/>
        <v>9.2070063947701613</v>
      </c>
      <c r="FX154" s="56">
        <f t="shared" ca="1" si="104"/>
        <v>9.2252021384123513</v>
      </c>
      <c r="FY154" s="56">
        <f t="shared" ca="1" si="104"/>
        <v>9.2413525173956987</v>
      </c>
      <c r="FZ154" s="56">
        <f t="shared" ca="1" si="104"/>
        <v>9.255422029682105</v>
      </c>
      <c r="GA154" s="56">
        <f t="shared" ca="1" si="104"/>
        <v>9.267379747430077</v>
      </c>
      <c r="GB154" s="56">
        <f t="shared" ca="1" si="104"/>
        <v>9.2771993849808396</v>
      </c>
      <c r="GC154" s="56">
        <f t="shared" ca="1" si="104"/>
        <v>9.2848593566399149</v>
      </c>
      <c r="GD154" s="56">
        <f t="shared" ca="1" si="104"/>
        <v>9.2903428241271619</v>
      </c>
      <c r="GE154" s="56">
        <f t="shared" ca="1" si="104"/>
        <v>9.293637733590975</v>
      </c>
      <c r="GF154" s="56">
        <f t="shared" ca="1" si="104"/>
        <v>9.2947368421052641</v>
      </c>
      <c r="GG154" s="56">
        <f t="shared" ca="1" si="104"/>
        <v>9.2947368421052641</v>
      </c>
      <c r="GH154" s="56">
        <f t="shared" ca="1" si="104"/>
        <v>9.2947368421052641</v>
      </c>
      <c r="GI154" s="56">
        <f t="shared" ca="1" si="104"/>
        <v>9.2947368421052641</v>
      </c>
      <c r="GJ154" s="56">
        <f t="shared" ca="1" si="104"/>
        <v>9.2947368421052641</v>
      </c>
      <c r="GK154" s="56">
        <f t="shared" ca="1" si="104"/>
        <v>9.2947368421052641</v>
      </c>
      <c r="GL154" s="56">
        <f t="shared" ca="1" si="104"/>
        <v>9.2947368421052641</v>
      </c>
      <c r="GM154" s="56">
        <f t="shared" ca="1" si="104"/>
        <v>9.2947368421052641</v>
      </c>
      <c r="GN154" s="56">
        <f t="shared" ca="1" si="104"/>
        <v>9.2947368421052641</v>
      </c>
      <c r="GO154" s="56">
        <f t="shared" ca="1" si="104"/>
        <v>9.2947368421052641</v>
      </c>
      <c r="GP154" s="56">
        <f t="shared" ca="1" si="104"/>
        <v>9.2947368421052641</v>
      </c>
    </row>
    <row r="155" spans="1:198" x14ac:dyDescent="0.35">
      <c r="A155" s="55" t="str">
        <f t="shared" si="26"/>
        <v>Available now &gt; Other clients</v>
      </c>
      <c r="B155" s="55" t="s">
        <v>297</v>
      </c>
      <c r="K155" s="56">
        <f t="shared" ref="K155:AP155" ca="1" si="105">$D127+($K127-$D127)*(1-COS(PI()*MIN(MAX((K$139-$B$88)/($B$85-1),0),1)))/2</f>
        <v>8.1052631578947363</v>
      </c>
      <c r="L155" s="56">
        <f t="shared" ca="1" si="105"/>
        <v>8.1052631578947363</v>
      </c>
      <c r="M155" s="56">
        <f t="shared" ca="1" si="105"/>
        <v>8.1052631578947363</v>
      </c>
      <c r="N155" s="56">
        <f t="shared" ca="1" si="105"/>
        <v>8.1052631578947363</v>
      </c>
      <c r="O155" s="56">
        <f t="shared" ca="1" si="105"/>
        <v>8.1052631578947363</v>
      </c>
      <c r="P155" s="56">
        <f t="shared" ca="1" si="105"/>
        <v>8.1052631578947363</v>
      </c>
      <c r="Q155" s="56">
        <f t="shared" ca="1" si="105"/>
        <v>8.1052631578947363</v>
      </c>
      <c r="R155" s="56">
        <f t="shared" ca="1" si="105"/>
        <v>8.1052631578947363</v>
      </c>
      <c r="S155" s="56">
        <f t="shared" ca="1" si="105"/>
        <v>8.1052631578947363</v>
      </c>
      <c r="T155" s="56">
        <f t="shared" ca="1" si="105"/>
        <v>8.1052631578947363</v>
      </c>
      <c r="U155" s="56">
        <f t="shared" ca="1" si="105"/>
        <v>8.1052631578947363</v>
      </c>
      <c r="V155" s="56">
        <f t="shared" ca="1" si="105"/>
        <v>8.1052631578947363</v>
      </c>
      <c r="W155" s="56">
        <f t="shared" ca="1" si="105"/>
        <v>8.1052631578947363</v>
      </c>
      <c r="X155" s="56">
        <f t="shared" ca="1" si="105"/>
        <v>8.1052631578947363</v>
      </c>
      <c r="Y155" s="56">
        <f t="shared" ca="1" si="105"/>
        <v>8.1052631578947363</v>
      </c>
      <c r="Z155" s="56">
        <f t="shared" ca="1" si="105"/>
        <v>8.1052631578947363</v>
      </c>
      <c r="AA155" s="56">
        <f t="shared" ca="1" si="105"/>
        <v>8.1052631578947363</v>
      </c>
      <c r="AB155" s="56">
        <f t="shared" ca="1" si="105"/>
        <v>8.1052631578947363</v>
      </c>
      <c r="AC155" s="56">
        <f t="shared" ca="1" si="105"/>
        <v>8.1052631578947363</v>
      </c>
      <c r="AD155" s="56">
        <f t="shared" ca="1" si="105"/>
        <v>8.1052631578947363</v>
      </c>
      <c r="AE155" s="56">
        <f t="shared" ca="1" si="105"/>
        <v>8.1052631578947363</v>
      </c>
      <c r="AF155" s="56">
        <f t="shared" ca="1" si="105"/>
        <v>8.1052631578947363</v>
      </c>
      <c r="AG155" s="56">
        <f t="shared" ca="1" si="105"/>
        <v>8.1052631578947363</v>
      </c>
      <c r="AH155" s="56">
        <f t="shared" ca="1" si="105"/>
        <v>8.1052631578947363</v>
      </c>
      <c r="AI155" s="56">
        <f t="shared" ca="1" si="105"/>
        <v>8.1052631578947363</v>
      </c>
      <c r="AJ155" s="56">
        <f t="shared" ca="1" si="105"/>
        <v>8.1052631578947363</v>
      </c>
      <c r="AK155" s="56">
        <f t="shared" ca="1" si="105"/>
        <v>8.1052631578947363</v>
      </c>
      <c r="AL155" s="56">
        <f t="shared" ca="1" si="105"/>
        <v>8.1052631578947363</v>
      </c>
      <c r="AM155" s="56">
        <f t="shared" ca="1" si="105"/>
        <v>8.1052631578947363</v>
      </c>
      <c r="AN155" s="56">
        <f t="shared" ca="1" si="105"/>
        <v>8.1052631578947363</v>
      </c>
      <c r="AO155" s="56">
        <f t="shared" ca="1" si="105"/>
        <v>8.1052631578947363</v>
      </c>
      <c r="AP155" s="56">
        <f t="shared" ca="1" si="105"/>
        <v>8.1052631578947363</v>
      </c>
      <c r="AQ155" s="56">
        <f t="shared" ref="AQ155:BV155" ca="1" si="106">$D127+($K127-$D127)*(1-COS(PI()*MIN(MAX((AQ$139-$B$88)/($B$85-1),0),1)))/2</f>
        <v>8.1052631578947363</v>
      </c>
      <c r="AR155" s="56">
        <f t="shared" ca="1" si="106"/>
        <v>8.1052631578947363</v>
      </c>
      <c r="AS155" s="56">
        <f t="shared" ca="1" si="106"/>
        <v>8.1052631578947363</v>
      </c>
      <c r="AT155" s="56">
        <f t="shared" ca="1" si="106"/>
        <v>8.1052631578947363</v>
      </c>
      <c r="AU155" s="56">
        <f t="shared" ca="1" si="106"/>
        <v>8.1052631578947363</v>
      </c>
      <c r="AV155" s="56">
        <f t="shared" ca="1" si="106"/>
        <v>8.1052631578947363</v>
      </c>
      <c r="AW155" s="56">
        <f t="shared" ca="1" si="106"/>
        <v>8.1052631578947363</v>
      </c>
      <c r="AX155" s="56">
        <f t="shared" ca="1" si="106"/>
        <v>8.1052631578947363</v>
      </c>
      <c r="AY155" s="56">
        <f t="shared" ca="1" si="106"/>
        <v>8.1052631578947363</v>
      </c>
      <c r="AZ155" s="56">
        <f t="shared" ca="1" si="106"/>
        <v>8.1052631578947363</v>
      </c>
      <c r="BA155" s="56">
        <f t="shared" ca="1" si="106"/>
        <v>8.1052631578947363</v>
      </c>
      <c r="BB155" s="56">
        <f t="shared" ca="1" si="106"/>
        <v>8.1052631578947363</v>
      </c>
      <c r="BC155" s="56">
        <f t="shared" ca="1" si="106"/>
        <v>8.1052631578947363</v>
      </c>
      <c r="BD155" s="56">
        <f t="shared" ca="1" si="106"/>
        <v>8.1052631578947363</v>
      </c>
      <c r="BE155" s="56">
        <f t="shared" ca="1" si="106"/>
        <v>8.1052631578947363</v>
      </c>
      <c r="BF155" s="56">
        <f t="shared" ca="1" si="106"/>
        <v>8.1052631578947363</v>
      </c>
      <c r="BG155" s="56">
        <f t="shared" ca="1" si="106"/>
        <v>8.1052631578947363</v>
      </c>
      <c r="BH155" s="56">
        <f t="shared" ca="1" si="106"/>
        <v>8.1052631578947363</v>
      </c>
      <c r="BI155" s="56">
        <f t="shared" ca="1" si="106"/>
        <v>8.1052631578947363</v>
      </c>
      <c r="BJ155" s="56">
        <f t="shared" ca="1" si="106"/>
        <v>8.1052631578947363</v>
      </c>
      <c r="BK155" s="56">
        <f t="shared" ca="1" si="106"/>
        <v>8.1052631578947363</v>
      </c>
      <c r="BL155" s="56">
        <f t="shared" ca="1" si="106"/>
        <v>8.1052631578947363</v>
      </c>
      <c r="BM155" s="56">
        <f t="shared" ca="1" si="106"/>
        <v>8.1052631578947363</v>
      </c>
      <c r="BN155" s="56">
        <f t="shared" ca="1" si="106"/>
        <v>8.1052631578947363</v>
      </c>
      <c r="BO155" s="56">
        <f t="shared" ca="1" si="106"/>
        <v>8.1052631578947363</v>
      </c>
      <c r="BP155" s="56">
        <f t="shared" ca="1" si="106"/>
        <v>8.1052631578947363</v>
      </c>
      <c r="BQ155" s="56">
        <f t="shared" ca="1" si="106"/>
        <v>8.1052631578947363</v>
      </c>
      <c r="BR155" s="56">
        <f t="shared" ca="1" si="106"/>
        <v>8.1052631578947363</v>
      </c>
      <c r="BS155" s="56">
        <f t="shared" ca="1" si="106"/>
        <v>8.1052631578947363</v>
      </c>
      <c r="BT155" s="56">
        <f t="shared" ca="1" si="106"/>
        <v>8.1052631578947363</v>
      </c>
      <c r="BU155" s="56">
        <f t="shared" ca="1" si="106"/>
        <v>8.1052631578947363</v>
      </c>
      <c r="BV155" s="56">
        <f t="shared" ca="1" si="106"/>
        <v>8.1052631578947363</v>
      </c>
      <c r="BW155" s="56">
        <f t="shared" ref="BW155:DB155" ca="1" si="107">$D127+($K127-$D127)*(1-COS(PI()*MIN(MAX((BW$139-$B$88)/($B$85-1),0),1)))/2</f>
        <v>8.1052631578947363</v>
      </c>
      <c r="BX155" s="56">
        <f t="shared" ca="1" si="107"/>
        <v>8.1052631578947363</v>
      </c>
      <c r="BY155" s="56">
        <f t="shared" ca="1" si="107"/>
        <v>8.1052631578947363</v>
      </c>
      <c r="BZ155" s="56">
        <f t="shared" ca="1" si="107"/>
        <v>8.1052631578947363</v>
      </c>
      <c r="CA155" s="56">
        <f t="shared" ca="1" si="107"/>
        <v>8.1052631578947363</v>
      </c>
      <c r="CB155" s="56">
        <f t="shared" ca="1" si="107"/>
        <v>8.1052631578947363</v>
      </c>
      <c r="CC155" s="56">
        <f t="shared" ca="1" si="107"/>
        <v>8.1052631578947363</v>
      </c>
      <c r="CD155" s="56">
        <f t="shared" ca="1" si="107"/>
        <v>8.1052631578947363</v>
      </c>
      <c r="CE155" s="56">
        <f t="shared" ca="1" si="107"/>
        <v>8.1052631578947363</v>
      </c>
      <c r="CF155" s="56">
        <f t="shared" ca="1" si="107"/>
        <v>8.1052631578947363</v>
      </c>
      <c r="CG155" s="56">
        <f t="shared" ca="1" si="107"/>
        <v>8.1052631578947363</v>
      </c>
      <c r="CH155" s="56">
        <f t="shared" ca="1" si="107"/>
        <v>8.1052631578947363</v>
      </c>
      <c r="CI155" s="56">
        <f t="shared" ca="1" si="107"/>
        <v>8.1052631578947363</v>
      </c>
      <c r="CJ155" s="56">
        <f t="shared" ca="1" si="107"/>
        <v>8.1052631578947363</v>
      </c>
      <c r="CK155" s="56">
        <f t="shared" ca="1" si="107"/>
        <v>8.1052631578947363</v>
      </c>
      <c r="CL155" s="56">
        <f t="shared" ca="1" si="107"/>
        <v>8.1052631578947363</v>
      </c>
      <c r="CM155" s="56">
        <f t="shared" ca="1" si="107"/>
        <v>8.1052631578947363</v>
      </c>
      <c r="CN155" s="56">
        <f t="shared" ca="1" si="107"/>
        <v>8.1052631578947363</v>
      </c>
      <c r="CO155" s="56">
        <f t="shared" ca="1" si="107"/>
        <v>8.1052631578947363</v>
      </c>
      <c r="CP155" s="56">
        <f t="shared" ca="1" si="107"/>
        <v>8.1052631578947363</v>
      </c>
      <c r="CQ155" s="56">
        <f t="shared" ca="1" si="107"/>
        <v>8.1052631578947363</v>
      </c>
      <c r="CR155" s="56">
        <f t="shared" ca="1" si="107"/>
        <v>8.1052631578947363</v>
      </c>
      <c r="CS155" s="56">
        <f t="shared" ca="1" si="107"/>
        <v>8.1052631578947363</v>
      </c>
      <c r="CT155" s="56">
        <f t="shared" ca="1" si="107"/>
        <v>8.1052631578947363</v>
      </c>
      <c r="CU155" s="56">
        <f t="shared" ca="1" si="107"/>
        <v>8.1052631578947363</v>
      </c>
      <c r="CV155" s="56">
        <f t="shared" ca="1" si="107"/>
        <v>8.1052631578947363</v>
      </c>
      <c r="CW155" s="56">
        <f t="shared" ca="1" si="107"/>
        <v>8.1052631578947363</v>
      </c>
      <c r="CX155" s="56">
        <f t="shared" ca="1" si="107"/>
        <v>8.1052631578947363</v>
      </c>
      <c r="CY155" s="56">
        <f t="shared" ca="1" si="107"/>
        <v>8.1052631578947363</v>
      </c>
      <c r="CZ155" s="56">
        <f t="shared" ca="1" si="107"/>
        <v>8.1052631578947363</v>
      </c>
      <c r="DA155" s="56">
        <f t="shared" ca="1" si="107"/>
        <v>8.1052631578947363</v>
      </c>
      <c r="DB155" s="56">
        <f t="shared" ca="1" si="107"/>
        <v>8.1052631578947363</v>
      </c>
      <c r="DC155" s="56">
        <f t="shared" ref="DC155:EH155" ca="1" si="108">$D127+($K127-$D127)*(1-COS(PI()*MIN(MAX((DC$139-$B$88)/($B$85-1),0),1)))/2</f>
        <v>8.1052631578947363</v>
      </c>
      <c r="DD155" s="56">
        <f t="shared" ca="1" si="108"/>
        <v>8.1052631578947363</v>
      </c>
      <c r="DE155" s="56">
        <f t="shared" ca="1" si="108"/>
        <v>8.1052631578947363</v>
      </c>
      <c r="DF155" s="56">
        <f t="shared" ca="1" si="108"/>
        <v>8.1052631578947363</v>
      </c>
      <c r="DG155" s="56">
        <f t="shared" ca="1" si="108"/>
        <v>8.1052631578947363</v>
      </c>
      <c r="DH155" s="56">
        <f t="shared" ca="1" si="108"/>
        <v>8.1052631578947363</v>
      </c>
      <c r="DI155" s="56">
        <f t="shared" ca="1" si="108"/>
        <v>8.1052631578947363</v>
      </c>
      <c r="DJ155" s="56">
        <f t="shared" ca="1" si="108"/>
        <v>8.1052631578947363</v>
      </c>
      <c r="DK155" s="56">
        <f t="shared" ca="1" si="108"/>
        <v>8.1052631578947363</v>
      </c>
      <c r="DL155" s="56">
        <f t="shared" ca="1" si="108"/>
        <v>8.1052631578947363</v>
      </c>
      <c r="DM155" s="56">
        <f t="shared" ca="1" si="108"/>
        <v>8.1052631578947363</v>
      </c>
      <c r="DN155" s="56">
        <f t="shared" ca="1" si="108"/>
        <v>8.1052631578947363</v>
      </c>
      <c r="DO155" s="56">
        <f t="shared" ca="1" si="108"/>
        <v>8.1052631578947363</v>
      </c>
      <c r="DP155" s="56">
        <f t="shared" ca="1" si="108"/>
        <v>8.1052631578947363</v>
      </c>
      <c r="DQ155" s="56">
        <f t="shared" ca="1" si="108"/>
        <v>8.1052631578947363</v>
      </c>
      <c r="DR155" s="56">
        <f t="shared" ca="1" si="108"/>
        <v>8.1065820881118817</v>
      </c>
      <c r="DS155" s="56">
        <f t="shared" ca="1" si="108"/>
        <v>8.1105359794684588</v>
      </c>
      <c r="DT155" s="56">
        <f t="shared" ca="1" si="108"/>
        <v>8.117116140453156</v>
      </c>
      <c r="DU155" s="56">
        <f t="shared" ca="1" si="108"/>
        <v>8.1263081064440446</v>
      </c>
      <c r="DV155" s="56">
        <f t="shared" ca="1" si="108"/>
        <v>8.1380916715049612</v>
      </c>
      <c r="DW155" s="56">
        <f t="shared" ca="1" si="108"/>
        <v>8.1524409328025289</v>
      </c>
      <c r="DX155" s="56">
        <f t="shared" ca="1" si="108"/>
        <v>8.1693243475462154</v>
      </c>
      <c r="DY155" s="56">
        <f t="shared" ca="1" si="108"/>
        <v>8.1887048023262317</v>
      </c>
      <c r="DZ155" s="56">
        <f t="shared" ca="1" si="108"/>
        <v>8.2105396946968607</v>
      </c>
      <c r="EA155" s="56">
        <f t="shared" ca="1" si="108"/>
        <v>8.234781026825873</v>
      </c>
      <c r="EB155" s="56">
        <f t="shared" ca="1" si="108"/>
        <v>8.2613755110041875</v>
      </c>
      <c r="EC155" s="56">
        <f t="shared" ca="1" si="108"/>
        <v>8.2902646867838197</v>
      </c>
      <c r="ED155" s="56">
        <f t="shared" ca="1" si="108"/>
        <v>8.3213850494866275</v>
      </c>
      <c r="EE155" s="56">
        <f t="shared" ca="1" si="108"/>
        <v>8.3546681898013819</v>
      </c>
      <c r="EF155" s="56">
        <f t="shared" ca="1" si="108"/>
        <v>8.3900409441622781</v>
      </c>
      <c r="EG155" s="56">
        <f t="shared" ca="1" si="108"/>
        <v>8.4274255555783331</v>
      </c>
      <c r="EH155" s="56">
        <f t="shared" ca="1" si="108"/>
        <v>8.4667398445601272</v>
      </c>
      <c r="EI155" s="56">
        <f t="shared" ref="EI155:FN155" ca="1" si="109">$D127+($K127-$D127)*(1-COS(PI()*MIN(MAX((EI$139-$B$88)/($B$85-1),0),1)))/2</f>
        <v>8.50789738976815</v>
      </c>
      <c r="EJ155" s="56">
        <f t="shared" ca="1" si="109"/>
        <v>8.5508077179856752</v>
      </c>
      <c r="EK155" s="56">
        <f t="shared" ca="1" si="109"/>
        <v>8.5953765029985103</v>
      </c>
      <c r="EL155" s="56">
        <f t="shared" ca="1" si="109"/>
        <v>8.6415057729444982</v>
      </c>
      <c r="EM155" s="56">
        <f t="shared" ca="1" si="109"/>
        <v>8.6890941256769274</v>
      </c>
      <c r="EN155" s="56">
        <f t="shared" ca="1" si="109"/>
        <v>8.7380369516684588</v>
      </c>
      <c r="EO155" s="56">
        <f t="shared" ca="1" si="109"/>
        <v>8.7882266639655722</v>
      </c>
      <c r="EP155" s="56">
        <f t="shared" ca="1" si="109"/>
        <v>8.8395529346880366</v>
      </c>
      <c r="EQ155" s="56">
        <f t="shared" ca="1" si="109"/>
        <v>8.891902937553537</v>
      </c>
      <c r="ER155" s="56">
        <f t="shared" ca="1" si="109"/>
        <v>8.9451615958943282</v>
      </c>
      <c r="ES155" s="56">
        <f t="shared" ca="1" si="109"/>
        <v>8.9992118356207254</v>
      </c>
      <c r="ET155" s="56">
        <f t="shared" ca="1" si="109"/>
        <v>9.0539348425753641</v>
      </c>
      <c r="EU155" s="56">
        <f t="shared" ca="1" si="109"/>
        <v>9.1092103237125013</v>
      </c>
      <c r="EV155" s="56">
        <f t="shared" ca="1" si="109"/>
        <v>9.1649167715282385</v>
      </c>
      <c r="EW155" s="56">
        <f t="shared" ca="1" si="109"/>
        <v>9.2209317311603858</v>
      </c>
      <c r="EX155" s="56">
        <f t="shared" ca="1" si="109"/>
        <v>9.2771320695708255</v>
      </c>
      <c r="EY155" s="56">
        <f t="shared" ca="1" si="109"/>
        <v>9.3333942462186492</v>
      </c>
      <c r="EZ155" s="56">
        <f t="shared" ca="1" si="109"/>
        <v>9.3895945846290889</v>
      </c>
      <c r="FA155" s="56">
        <f t="shared" ca="1" si="109"/>
        <v>9.4456095442612362</v>
      </c>
      <c r="FB155" s="56">
        <f t="shared" ca="1" si="109"/>
        <v>9.5013159920769734</v>
      </c>
      <c r="FC155" s="56">
        <f t="shared" ca="1" si="109"/>
        <v>9.5565914732141106</v>
      </c>
      <c r="FD155" s="56">
        <f t="shared" ca="1" si="109"/>
        <v>9.6113144801687493</v>
      </c>
      <c r="FE155" s="56">
        <f t="shared" ca="1" si="109"/>
        <v>9.6653647198951465</v>
      </c>
      <c r="FF155" s="56">
        <f t="shared" ca="1" si="109"/>
        <v>9.7186233782359377</v>
      </c>
      <c r="FG155" s="56">
        <f t="shared" ca="1" si="109"/>
        <v>9.7709733811014381</v>
      </c>
      <c r="FH155" s="56">
        <f t="shared" ca="1" si="109"/>
        <v>9.8222996518239025</v>
      </c>
      <c r="FI155" s="56">
        <f t="shared" ca="1" si="109"/>
        <v>9.8724893641210159</v>
      </c>
      <c r="FJ155" s="56">
        <f t="shared" ca="1" si="109"/>
        <v>9.9214321901125491</v>
      </c>
      <c r="FK155" s="56">
        <f t="shared" ca="1" si="109"/>
        <v>9.9690205428449765</v>
      </c>
      <c r="FL155" s="56">
        <f t="shared" ca="1" si="109"/>
        <v>10.015149812790964</v>
      </c>
      <c r="FM155" s="56">
        <f t="shared" ca="1" si="109"/>
        <v>10.0597185978038</v>
      </c>
      <c r="FN155" s="56">
        <f t="shared" ca="1" si="109"/>
        <v>10.102628926021325</v>
      </c>
      <c r="FO155" s="56">
        <f t="shared" ref="FO155:GP155" ca="1" si="110">$D127+($K127-$D127)*(1-COS(PI()*MIN(MAX((FO$139-$B$88)/($B$85-1),0),1)))/2</f>
        <v>10.143786471229348</v>
      </c>
      <c r="FP155" s="56">
        <f t="shared" ca="1" si="110"/>
        <v>10.18310076021114</v>
      </c>
      <c r="FQ155" s="56">
        <f t="shared" ca="1" si="110"/>
        <v>10.220485371627197</v>
      </c>
      <c r="FR155" s="56">
        <f t="shared" ca="1" si="110"/>
        <v>10.255858125988093</v>
      </c>
      <c r="FS155" s="56">
        <f t="shared" ca="1" si="110"/>
        <v>10.289141266302847</v>
      </c>
      <c r="FT155" s="56">
        <f t="shared" ca="1" si="110"/>
        <v>10.320261629005655</v>
      </c>
      <c r="FU155" s="56">
        <f t="shared" ca="1" si="110"/>
        <v>10.349150804785287</v>
      </c>
      <c r="FV155" s="56">
        <f t="shared" ca="1" si="110"/>
        <v>10.375745288963602</v>
      </c>
      <c r="FW155" s="56">
        <f t="shared" ca="1" si="110"/>
        <v>10.399986621092614</v>
      </c>
      <c r="FX155" s="56">
        <f t="shared" ca="1" si="110"/>
        <v>10.421821513463243</v>
      </c>
      <c r="FY155" s="56">
        <f t="shared" ca="1" si="110"/>
        <v>10.441201968243259</v>
      </c>
      <c r="FZ155" s="56">
        <f t="shared" ca="1" si="110"/>
        <v>10.458085382986948</v>
      </c>
      <c r="GA155" s="56">
        <f t="shared" ca="1" si="110"/>
        <v>10.472434644284514</v>
      </c>
      <c r="GB155" s="56">
        <f t="shared" ca="1" si="110"/>
        <v>10.48421820934543</v>
      </c>
      <c r="GC155" s="56">
        <f t="shared" ca="1" si="110"/>
        <v>10.493410175336319</v>
      </c>
      <c r="GD155" s="56">
        <f t="shared" ca="1" si="110"/>
        <v>10.499990336321016</v>
      </c>
      <c r="GE155" s="56">
        <f t="shared" ca="1" si="110"/>
        <v>10.503944227677593</v>
      </c>
      <c r="GF155" s="56">
        <f t="shared" ca="1" si="110"/>
        <v>10.505263157894738</v>
      </c>
      <c r="GG155" s="56">
        <f t="shared" ca="1" si="110"/>
        <v>10.505263157894738</v>
      </c>
      <c r="GH155" s="56">
        <f t="shared" ca="1" si="110"/>
        <v>10.505263157894738</v>
      </c>
      <c r="GI155" s="56">
        <f t="shared" ca="1" si="110"/>
        <v>10.505263157894738</v>
      </c>
      <c r="GJ155" s="56">
        <f t="shared" ca="1" si="110"/>
        <v>10.505263157894738</v>
      </c>
      <c r="GK155" s="56">
        <f t="shared" ca="1" si="110"/>
        <v>10.505263157894738</v>
      </c>
      <c r="GL155" s="56">
        <f t="shared" ca="1" si="110"/>
        <v>10.505263157894738</v>
      </c>
      <c r="GM155" s="56">
        <f t="shared" ca="1" si="110"/>
        <v>10.505263157894738</v>
      </c>
      <c r="GN155" s="56">
        <f t="shared" ca="1" si="110"/>
        <v>10.505263157894738</v>
      </c>
      <c r="GO155" s="56">
        <f t="shared" ca="1" si="110"/>
        <v>10.505263157894738</v>
      </c>
      <c r="GP155" s="56">
        <f t="shared" ca="1" si="110"/>
        <v>10.505263157894738</v>
      </c>
    </row>
    <row r="156" spans="1:198" x14ac:dyDescent="0.35">
      <c r="A156" s="55" t="str">
        <f t="shared" si="26"/>
        <v>Available now &gt; Current bench</v>
      </c>
      <c r="B156" s="55" t="s">
        <v>297</v>
      </c>
      <c r="K156" s="56">
        <f t="shared" ref="K156:AP156" ca="1" si="111">$D128+($K128-$D128)*(1-COS(PI()*MIN(MAX((K$139-$B$88)/($B$85-1),0),1)))/2</f>
        <v>8.1052631578947363</v>
      </c>
      <c r="L156" s="56">
        <f t="shared" ca="1" si="111"/>
        <v>8.1052631578947363</v>
      </c>
      <c r="M156" s="56">
        <f t="shared" ca="1" si="111"/>
        <v>8.1052631578947363</v>
      </c>
      <c r="N156" s="56">
        <f t="shared" ca="1" si="111"/>
        <v>8.1052631578947363</v>
      </c>
      <c r="O156" s="56">
        <f t="shared" ca="1" si="111"/>
        <v>8.1052631578947363</v>
      </c>
      <c r="P156" s="56">
        <f t="shared" ca="1" si="111"/>
        <v>8.1052631578947363</v>
      </c>
      <c r="Q156" s="56">
        <f t="shared" ca="1" si="111"/>
        <v>8.1052631578947363</v>
      </c>
      <c r="R156" s="56">
        <f t="shared" ca="1" si="111"/>
        <v>8.1052631578947363</v>
      </c>
      <c r="S156" s="56">
        <f t="shared" ca="1" si="111"/>
        <v>8.1052631578947363</v>
      </c>
      <c r="T156" s="56">
        <f t="shared" ca="1" si="111"/>
        <v>8.1052631578947363</v>
      </c>
      <c r="U156" s="56">
        <f t="shared" ca="1" si="111"/>
        <v>8.1052631578947363</v>
      </c>
      <c r="V156" s="56">
        <f t="shared" ca="1" si="111"/>
        <v>8.1052631578947363</v>
      </c>
      <c r="W156" s="56">
        <f t="shared" ca="1" si="111"/>
        <v>8.1052631578947363</v>
      </c>
      <c r="X156" s="56">
        <f t="shared" ca="1" si="111"/>
        <v>8.1052631578947363</v>
      </c>
      <c r="Y156" s="56">
        <f t="shared" ca="1" si="111"/>
        <v>8.1052631578947363</v>
      </c>
      <c r="Z156" s="56">
        <f t="shared" ca="1" si="111"/>
        <v>8.1052631578947363</v>
      </c>
      <c r="AA156" s="56">
        <f t="shared" ca="1" si="111"/>
        <v>8.1052631578947363</v>
      </c>
      <c r="AB156" s="56">
        <f t="shared" ca="1" si="111"/>
        <v>8.1052631578947363</v>
      </c>
      <c r="AC156" s="56">
        <f t="shared" ca="1" si="111"/>
        <v>8.1052631578947363</v>
      </c>
      <c r="AD156" s="56">
        <f t="shared" ca="1" si="111"/>
        <v>8.1052631578947363</v>
      </c>
      <c r="AE156" s="56">
        <f t="shared" ca="1" si="111"/>
        <v>8.1052631578947363</v>
      </c>
      <c r="AF156" s="56">
        <f t="shared" ca="1" si="111"/>
        <v>8.1052631578947363</v>
      </c>
      <c r="AG156" s="56">
        <f t="shared" ca="1" si="111"/>
        <v>8.1052631578947363</v>
      </c>
      <c r="AH156" s="56">
        <f t="shared" ca="1" si="111"/>
        <v>8.1052631578947363</v>
      </c>
      <c r="AI156" s="56">
        <f t="shared" ca="1" si="111"/>
        <v>8.1052631578947363</v>
      </c>
      <c r="AJ156" s="56">
        <f t="shared" ca="1" si="111"/>
        <v>8.1052631578947363</v>
      </c>
      <c r="AK156" s="56">
        <f t="shared" ca="1" si="111"/>
        <v>8.1052631578947363</v>
      </c>
      <c r="AL156" s="56">
        <f t="shared" ca="1" si="111"/>
        <v>8.1052631578947363</v>
      </c>
      <c r="AM156" s="56">
        <f t="shared" ca="1" si="111"/>
        <v>8.1052631578947363</v>
      </c>
      <c r="AN156" s="56">
        <f t="shared" ca="1" si="111"/>
        <v>8.1052631578947363</v>
      </c>
      <c r="AO156" s="56">
        <f t="shared" ca="1" si="111"/>
        <v>8.1052631578947363</v>
      </c>
      <c r="AP156" s="56">
        <f t="shared" ca="1" si="111"/>
        <v>8.1052631578947363</v>
      </c>
      <c r="AQ156" s="56">
        <f t="shared" ref="AQ156:BV156" ca="1" si="112">$D128+($K128-$D128)*(1-COS(PI()*MIN(MAX((AQ$139-$B$88)/($B$85-1),0),1)))/2</f>
        <v>8.1052631578947363</v>
      </c>
      <c r="AR156" s="56">
        <f t="shared" ca="1" si="112"/>
        <v>8.1052631578947363</v>
      </c>
      <c r="AS156" s="56">
        <f t="shared" ca="1" si="112"/>
        <v>8.1052631578947363</v>
      </c>
      <c r="AT156" s="56">
        <f t="shared" ca="1" si="112"/>
        <v>8.1052631578947363</v>
      </c>
      <c r="AU156" s="56">
        <f t="shared" ca="1" si="112"/>
        <v>8.1052631578947363</v>
      </c>
      <c r="AV156" s="56">
        <f t="shared" ca="1" si="112"/>
        <v>8.1052631578947363</v>
      </c>
      <c r="AW156" s="56">
        <f t="shared" ca="1" si="112"/>
        <v>8.1052631578947363</v>
      </c>
      <c r="AX156" s="56">
        <f t="shared" ca="1" si="112"/>
        <v>8.1052631578947363</v>
      </c>
      <c r="AY156" s="56">
        <f t="shared" ca="1" si="112"/>
        <v>8.1052631578947363</v>
      </c>
      <c r="AZ156" s="56">
        <f t="shared" ca="1" si="112"/>
        <v>8.1052631578947363</v>
      </c>
      <c r="BA156" s="56">
        <f t="shared" ca="1" si="112"/>
        <v>8.1052631578947363</v>
      </c>
      <c r="BB156" s="56">
        <f t="shared" ca="1" si="112"/>
        <v>8.1052631578947363</v>
      </c>
      <c r="BC156" s="56">
        <f t="shared" ca="1" si="112"/>
        <v>8.1052631578947363</v>
      </c>
      <c r="BD156" s="56">
        <f t="shared" ca="1" si="112"/>
        <v>8.1052631578947363</v>
      </c>
      <c r="BE156" s="56">
        <f t="shared" ca="1" si="112"/>
        <v>8.1052631578947363</v>
      </c>
      <c r="BF156" s="56">
        <f t="shared" ca="1" si="112"/>
        <v>8.1052631578947363</v>
      </c>
      <c r="BG156" s="56">
        <f t="shared" ca="1" si="112"/>
        <v>8.1052631578947363</v>
      </c>
      <c r="BH156" s="56">
        <f t="shared" ca="1" si="112"/>
        <v>8.1052631578947363</v>
      </c>
      <c r="BI156" s="56">
        <f t="shared" ca="1" si="112"/>
        <v>8.1052631578947363</v>
      </c>
      <c r="BJ156" s="56">
        <f t="shared" ca="1" si="112"/>
        <v>8.1052631578947363</v>
      </c>
      <c r="BK156" s="56">
        <f t="shared" ca="1" si="112"/>
        <v>8.1052631578947363</v>
      </c>
      <c r="BL156" s="56">
        <f t="shared" ca="1" si="112"/>
        <v>8.1052631578947363</v>
      </c>
      <c r="BM156" s="56">
        <f t="shared" ca="1" si="112"/>
        <v>8.1052631578947363</v>
      </c>
      <c r="BN156" s="56">
        <f t="shared" ca="1" si="112"/>
        <v>8.1052631578947363</v>
      </c>
      <c r="BO156" s="56">
        <f t="shared" ca="1" si="112"/>
        <v>8.1052631578947363</v>
      </c>
      <c r="BP156" s="56">
        <f t="shared" ca="1" si="112"/>
        <v>8.1052631578947363</v>
      </c>
      <c r="BQ156" s="56">
        <f t="shared" ca="1" si="112"/>
        <v>8.1052631578947363</v>
      </c>
      <c r="BR156" s="56">
        <f t="shared" ca="1" si="112"/>
        <v>8.1052631578947363</v>
      </c>
      <c r="BS156" s="56">
        <f t="shared" ca="1" si="112"/>
        <v>8.1052631578947363</v>
      </c>
      <c r="BT156" s="56">
        <f t="shared" ca="1" si="112"/>
        <v>8.1052631578947363</v>
      </c>
      <c r="BU156" s="56">
        <f t="shared" ca="1" si="112"/>
        <v>8.1052631578947363</v>
      </c>
      <c r="BV156" s="56">
        <f t="shared" ca="1" si="112"/>
        <v>8.1052631578947363</v>
      </c>
      <c r="BW156" s="56">
        <f t="shared" ref="BW156:DB156" ca="1" si="113">$D128+($K128-$D128)*(1-COS(PI()*MIN(MAX((BW$139-$B$88)/($B$85-1),0),1)))/2</f>
        <v>8.1052631578947363</v>
      </c>
      <c r="BX156" s="56">
        <f t="shared" ca="1" si="113"/>
        <v>8.1052631578947363</v>
      </c>
      <c r="BY156" s="56">
        <f t="shared" ca="1" si="113"/>
        <v>8.1052631578947363</v>
      </c>
      <c r="BZ156" s="56">
        <f t="shared" ca="1" si="113"/>
        <v>8.1052631578947363</v>
      </c>
      <c r="CA156" s="56">
        <f t="shared" ca="1" si="113"/>
        <v>8.1052631578947363</v>
      </c>
      <c r="CB156" s="56">
        <f t="shared" ca="1" si="113"/>
        <v>8.1052631578947363</v>
      </c>
      <c r="CC156" s="56">
        <f t="shared" ca="1" si="113"/>
        <v>8.1052631578947363</v>
      </c>
      <c r="CD156" s="56">
        <f t="shared" ca="1" si="113"/>
        <v>8.1052631578947363</v>
      </c>
      <c r="CE156" s="56">
        <f t="shared" ca="1" si="113"/>
        <v>8.1052631578947363</v>
      </c>
      <c r="CF156" s="56">
        <f t="shared" ca="1" si="113"/>
        <v>8.1052631578947363</v>
      </c>
      <c r="CG156" s="56">
        <f t="shared" ca="1" si="113"/>
        <v>8.1052631578947363</v>
      </c>
      <c r="CH156" s="56">
        <f t="shared" ca="1" si="113"/>
        <v>8.1052631578947363</v>
      </c>
      <c r="CI156" s="56">
        <f t="shared" ca="1" si="113"/>
        <v>8.1052631578947363</v>
      </c>
      <c r="CJ156" s="56">
        <f t="shared" ca="1" si="113"/>
        <v>8.1052631578947363</v>
      </c>
      <c r="CK156" s="56">
        <f t="shared" ca="1" si="113"/>
        <v>8.1052631578947363</v>
      </c>
      <c r="CL156" s="56">
        <f t="shared" ca="1" si="113"/>
        <v>8.1052631578947363</v>
      </c>
      <c r="CM156" s="56">
        <f t="shared" ca="1" si="113"/>
        <v>8.1052631578947363</v>
      </c>
      <c r="CN156" s="56">
        <f t="shared" ca="1" si="113"/>
        <v>8.1052631578947363</v>
      </c>
      <c r="CO156" s="56">
        <f t="shared" ca="1" si="113"/>
        <v>8.1052631578947363</v>
      </c>
      <c r="CP156" s="56">
        <f t="shared" ca="1" si="113"/>
        <v>8.1052631578947363</v>
      </c>
      <c r="CQ156" s="56">
        <f t="shared" ca="1" si="113"/>
        <v>8.1052631578947363</v>
      </c>
      <c r="CR156" s="56">
        <f t="shared" ca="1" si="113"/>
        <v>8.1052631578947363</v>
      </c>
      <c r="CS156" s="56">
        <f t="shared" ca="1" si="113"/>
        <v>8.1052631578947363</v>
      </c>
      <c r="CT156" s="56">
        <f t="shared" ca="1" si="113"/>
        <v>8.1052631578947363</v>
      </c>
      <c r="CU156" s="56">
        <f t="shared" ca="1" si="113"/>
        <v>8.1052631578947363</v>
      </c>
      <c r="CV156" s="56">
        <f t="shared" ca="1" si="113"/>
        <v>8.1052631578947363</v>
      </c>
      <c r="CW156" s="56">
        <f t="shared" ca="1" si="113"/>
        <v>8.1052631578947363</v>
      </c>
      <c r="CX156" s="56">
        <f t="shared" ca="1" si="113"/>
        <v>8.1052631578947363</v>
      </c>
      <c r="CY156" s="56">
        <f t="shared" ca="1" si="113"/>
        <v>8.1052631578947363</v>
      </c>
      <c r="CZ156" s="56">
        <f t="shared" ca="1" si="113"/>
        <v>8.1052631578947363</v>
      </c>
      <c r="DA156" s="56">
        <f t="shared" ca="1" si="113"/>
        <v>8.1052631578947363</v>
      </c>
      <c r="DB156" s="56">
        <f t="shared" ca="1" si="113"/>
        <v>8.1052631578947363</v>
      </c>
      <c r="DC156" s="56">
        <f t="shared" ref="DC156:EH156" ca="1" si="114">$D128+($K128-$D128)*(1-COS(PI()*MIN(MAX((DC$139-$B$88)/($B$85-1),0),1)))/2</f>
        <v>8.1052631578947363</v>
      </c>
      <c r="DD156" s="56">
        <f t="shared" ca="1" si="114"/>
        <v>8.1052631578947363</v>
      </c>
      <c r="DE156" s="56">
        <f t="shared" ca="1" si="114"/>
        <v>8.1052631578947363</v>
      </c>
      <c r="DF156" s="56">
        <f t="shared" ca="1" si="114"/>
        <v>8.1052631578947363</v>
      </c>
      <c r="DG156" s="56">
        <f t="shared" ca="1" si="114"/>
        <v>8.1052631578947363</v>
      </c>
      <c r="DH156" s="56">
        <f t="shared" ca="1" si="114"/>
        <v>8.1052631578947363</v>
      </c>
      <c r="DI156" s="56">
        <f t="shared" ca="1" si="114"/>
        <v>8.1052631578947363</v>
      </c>
      <c r="DJ156" s="56">
        <f t="shared" ca="1" si="114"/>
        <v>8.1052631578947363</v>
      </c>
      <c r="DK156" s="56">
        <f t="shared" ca="1" si="114"/>
        <v>8.1052631578947363</v>
      </c>
      <c r="DL156" s="56">
        <f t="shared" ca="1" si="114"/>
        <v>8.1052631578947363</v>
      </c>
      <c r="DM156" s="56">
        <f t="shared" ca="1" si="114"/>
        <v>8.1052631578947363</v>
      </c>
      <c r="DN156" s="56">
        <f t="shared" ca="1" si="114"/>
        <v>8.1052631578947363</v>
      </c>
      <c r="DO156" s="56">
        <f t="shared" ca="1" si="114"/>
        <v>8.1052631578947363</v>
      </c>
      <c r="DP156" s="56">
        <f t="shared" ca="1" si="114"/>
        <v>8.1052631578947363</v>
      </c>
      <c r="DQ156" s="56">
        <f t="shared" ca="1" si="114"/>
        <v>8.1052631578947363</v>
      </c>
      <c r="DR156" s="56">
        <f t="shared" ca="1" si="114"/>
        <v>8.1065820881118817</v>
      </c>
      <c r="DS156" s="56">
        <f t="shared" ca="1" si="114"/>
        <v>8.1105359794684588</v>
      </c>
      <c r="DT156" s="56">
        <f t="shared" ca="1" si="114"/>
        <v>8.117116140453156</v>
      </c>
      <c r="DU156" s="56">
        <f t="shared" ca="1" si="114"/>
        <v>8.1263081064440446</v>
      </c>
      <c r="DV156" s="56">
        <f t="shared" ca="1" si="114"/>
        <v>8.1380916715049612</v>
      </c>
      <c r="DW156" s="56">
        <f t="shared" ca="1" si="114"/>
        <v>8.1524409328025289</v>
      </c>
      <c r="DX156" s="56">
        <f t="shared" ca="1" si="114"/>
        <v>8.1693243475462154</v>
      </c>
      <c r="DY156" s="56">
        <f t="shared" ca="1" si="114"/>
        <v>8.1887048023262317</v>
      </c>
      <c r="DZ156" s="56">
        <f t="shared" ca="1" si="114"/>
        <v>8.2105396946968607</v>
      </c>
      <c r="EA156" s="56">
        <f t="shared" ca="1" si="114"/>
        <v>8.234781026825873</v>
      </c>
      <c r="EB156" s="56">
        <f t="shared" ca="1" si="114"/>
        <v>8.2613755110041875</v>
      </c>
      <c r="EC156" s="56">
        <f t="shared" ca="1" si="114"/>
        <v>8.2902646867838197</v>
      </c>
      <c r="ED156" s="56">
        <f t="shared" ca="1" si="114"/>
        <v>8.3213850494866275</v>
      </c>
      <c r="EE156" s="56">
        <f t="shared" ca="1" si="114"/>
        <v>8.3546681898013819</v>
      </c>
      <c r="EF156" s="56">
        <f t="shared" ca="1" si="114"/>
        <v>8.3900409441622781</v>
      </c>
      <c r="EG156" s="56">
        <f t="shared" ca="1" si="114"/>
        <v>8.4274255555783331</v>
      </c>
      <c r="EH156" s="56">
        <f t="shared" ca="1" si="114"/>
        <v>8.4667398445601272</v>
      </c>
      <c r="EI156" s="56">
        <f t="shared" ref="EI156:FN156" ca="1" si="115">$D128+($K128-$D128)*(1-COS(PI()*MIN(MAX((EI$139-$B$88)/($B$85-1),0),1)))/2</f>
        <v>8.50789738976815</v>
      </c>
      <c r="EJ156" s="56">
        <f t="shared" ca="1" si="115"/>
        <v>8.5508077179856752</v>
      </c>
      <c r="EK156" s="56">
        <f t="shared" ca="1" si="115"/>
        <v>8.5953765029985103</v>
      </c>
      <c r="EL156" s="56">
        <f t="shared" ca="1" si="115"/>
        <v>8.6415057729444982</v>
      </c>
      <c r="EM156" s="56">
        <f t="shared" ca="1" si="115"/>
        <v>8.6890941256769274</v>
      </c>
      <c r="EN156" s="56">
        <f t="shared" ca="1" si="115"/>
        <v>8.7380369516684588</v>
      </c>
      <c r="EO156" s="56">
        <f t="shared" ca="1" si="115"/>
        <v>8.7882266639655722</v>
      </c>
      <c r="EP156" s="56">
        <f t="shared" ca="1" si="115"/>
        <v>8.8395529346880366</v>
      </c>
      <c r="EQ156" s="56">
        <f t="shared" ca="1" si="115"/>
        <v>8.891902937553537</v>
      </c>
      <c r="ER156" s="56">
        <f t="shared" ca="1" si="115"/>
        <v>8.9451615958943282</v>
      </c>
      <c r="ES156" s="56">
        <f t="shared" ca="1" si="115"/>
        <v>8.9992118356207254</v>
      </c>
      <c r="ET156" s="56">
        <f t="shared" ca="1" si="115"/>
        <v>9.0539348425753641</v>
      </c>
      <c r="EU156" s="56">
        <f t="shared" ca="1" si="115"/>
        <v>9.1092103237125013</v>
      </c>
      <c r="EV156" s="56">
        <f t="shared" ca="1" si="115"/>
        <v>9.1649167715282385</v>
      </c>
      <c r="EW156" s="56">
        <f t="shared" ca="1" si="115"/>
        <v>9.2209317311603858</v>
      </c>
      <c r="EX156" s="56">
        <f t="shared" ca="1" si="115"/>
        <v>9.2771320695708255</v>
      </c>
      <c r="EY156" s="56">
        <f t="shared" ca="1" si="115"/>
        <v>9.3333942462186492</v>
      </c>
      <c r="EZ156" s="56">
        <f t="shared" ca="1" si="115"/>
        <v>9.3895945846290889</v>
      </c>
      <c r="FA156" s="56">
        <f t="shared" ca="1" si="115"/>
        <v>9.4456095442612362</v>
      </c>
      <c r="FB156" s="56">
        <f t="shared" ca="1" si="115"/>
        <v>9.5013159920769734</v>
      </c>
      <c r="FC156" s="56">
        <f t="shared" ca="1" si="115"/>
        <v>9.5565914732141106</v>
      </c>
      <c r="FD156" s="56">
        <f t="shared" ca="1" si="115"/>
        <v>9.6113144801687493</v>
      </c>
      <c r="FE156" s="56">
        <f t="shared" ca="1" si="115"/>
        <v>9.6653647198951465</v>
      </c>
      <c r="FF156" s="56">
        <f t="shared" ca="1" si="115"/>
        <v>9.7186233782359377</v>
      </c>
      <c r="FG156" s="56">
        <f t="shared" ca="1" si="115"/>
        <v>9.7709733811014381</v>
      </c>
      <c r="FH156" s="56">
        <f t="shared" ca="1" si="115"/>
        <v>9.8222996518239025</v>
      </c>
      <c r="FI156" s="56">
        <f t="shared" ca="1" si="115"/>
        <v>9.8724893641210159</v>
      </c>
      <c r="FJ156" s="56">
        <f t="shared" ca="1" si="115"/>
        <v>9.9214321901125491</v>
      </c>
      <c r="FK156" s="56">
        <f t="shared" ca="1" si="115"/>
        <v>9.9690205428449765</v>
      </c>
      <c r="FL156" s="56">
        <f t="shared" ca="1" si="115"/>
        <v>10.015149812790964</v>
      </c>
      <c r="FM156" s="56">
        <f t="shared" ca="1" si="115"/>
        <v>10.0597185978038</v>
      </c>
      <c r="FN156" s="56">
        <f t="shared" ca="1" si="115"/>
        <v>10.102628926021325</v>
      </c>
      <c r="FO156" s="56">
        <f t="shared" ref="FO156:GP156" ca="1" si="116">$D128+($K128-$D128)*(1-COS(PI()*MIN(MAX((FO$139-$B$88)/($B$85-1),0),1)))/2</f>
        <v>10.143786471229348</v>
      </c>
      <c r="FP156" s="56">
        <f t="shared" ca="1" si="116"/>
        <v>10.18310076021114</v>
      </c>
      <c r="FQ156" s="56">
        <f t="shared" ca="1" si="116"/>
        <v>10.220485371627197</v>
      </c>
      <c r="FR156" s="56">
        <f t="shared" ca="1" si="116"/>
        <v>10.255858125988093</v>
      </c>
      <c r="FS156" s="56">
        <f t="shared" ca="1" si="116"/>
        <v>10.289141266302847</v>
      </c>
      <c r="FT156" s="56">
        <f t="shared" ca="1" si="116"/>
        <v>10.320261629005655</v>
      </c>
      <c r="FU156" s="56">
        <f t="shared" ca="1" si="116"/>
        <v>10.349150804785287</v>
      </c>
      <c r="FV156" s="56">
        <f t="shared" ca="1" si="116"/>
        <v>10.375745288963602</v>
      </c>
      <c r="FW156" s="56">
        <f t="shared" ca="1" si="116"/>
        <v>10.399986621092614</v>
      </c>
      <c r="FX156" s="56">
        <f t="shared" ca="1" si="116"/>
        <v>10.421821513463243</v>
      </c>
      <c r="FY156" s="56">
        <f t="shared" ca="1" si="116"/>
        <v>10.441201968243259</v>
      </c>
      <c r="FZ156" s="56">
        <f t="shared" ca="1" si="116"/>
        <v>10.458085382986948</v>
      </c>
      <c r="GA156" s="56">
        <f t="shared" ca="1" si="116"/>
        <v>10.472434644284514</v>
      </c>
      <c r="GB156" s="56">
        <f t="shared" ca="1" si="116"/>
        <v>10.48421820934543</v>
      </c>
      <c r="GC156" s="56">
        <f t="shared" ca="1" si="116"/>
        <v>10.493410175336319</v>
      </c>
      <c r="GD156" s="56">
        <f t="shared" ca="1" si="116"/>
        <v>10.499990336321016</v>
      </c>
      <c r="GE156" s="56">
        <f t="shared" ca="1" si="116"/>
        <v>10.503944227677593</v>
      </c>
      <c r="GF156" s="56">
        <f t="shared" ca="1" si="116"/>
        <v>10.505263157894738</v>
      </c>
      <c r="GG156" s="56">
        <f t="shared" ca="1" si="116"/>
        <v>10.505263157894738</v>
      </c>
      <c r="GH156" s="56">
        <f t="shared" ca="1" si="116"/>
        <v>10.505263157894738</v>
      </c>
      <c r="GI156" s="56">
        <f t="shared" ca="1" si="116"/>
        <v>10.505263157894738</v>
      </c>
      <c r="GJ156" s="56">
        <f t="shared" ca="1" si="116"/>
        <v>10.505263157894738</v>
      </c>
      <c r="GK156" s="56">
        <f t="shared" ca="1" si="116"/>
        <v>10.505263157894738</v>
      </c>
      <c r="GL156" s="56">
        <f t="shared" ca="1" si="116"/>
        <v>10.505263157894738</v>
      </c>
      <c r="GM156" s="56">
        <f t="shared" ca="1" si="116"/>
        <v>10.505263157894738</v>
      </c>
      <c r="GN156" s="56">
        <f t="shared" ca="1" si="116"/>
        <v>10.505263157894738</v>
      </c>
      <c r="GO156" s="56">
        <f t="shared" ca="1" si="116"/>
        <v>10.505263157894738</v>
      </c>
      <c r="GP156" s="56">
        <f t="shared" ca="1" si="116"/>
        <v>10.505263157894738</v>
      </c>
    </row>
    <row r="157" spans="1:198" x14ac:dyDescent="0.35">
      <c r="A157" s="55" t="str">
        <f t="shared" si="26"/>
        <v>USA &gt; available in future</v>
      </c>
      <c r="B157" s="55" t="s">
        <v>298</v>
      </c>
      <c r="K157" s="56">
        <f t="shared" ref="K157:AP157" ca="1" si="117">$D129+($K129-$D129)*(1-COS(PI()*MIN(MAX((K$139-($B$82-1))/$B$83,0),1)))/2</f>
        <v>5.6736842105263152</v>
      </c>
      <c r="L157" s="56">
        <f t="shared" ca="1" si="117"/>
        <v>5.6736842105263152</v>
      </c>
      <c r="M157" s="56">
        <f t="shared" ca="1" si="117"/>
        <v>5.6736842105263152</v>
      </c>
      <c r="N157" s="56">
        <f t="shared" ca="1" si="117"/>
        <v>5.6736842105263152</v>
      </c>
      <c r="O157" s="56">
        <f t="shared" ca="1" si="117"/>
        <v>5.6736842105263152</v>
      </c>
      <c r="P157" s="56">
        <f t="shared" ca="1" si="117"/>
        <v>5.6736842105263152</v>
      </c>
      <c r="Q157" s="56">
        <f t="shared" ca="1" si="117"/>
        <v>5.6736842105263152</v>
      </c>
      <c r="R157" s="56">
        <f t="shared" ca="1" si="117"/>
        <v>5.6736842105263152</v>
      </c>
      <c r="S157" s="56">
        <f t="shared" ca="1" si="117"/>
        <v>5.6736842105263152</v>
      </c>
      <c r="T157" s="56">
        <f t="shared" ca="1" si="117"/>
        <v>5.6736842105263152</v>
      </c>
      <c r="U157" s="56">
        <f t="shared" ca="1" si="117"/>
        <v>5.6760597455715596</v>
      </c>
      <c r="V157" s="56">
        <f t="shared" ca="1" si="117"/>
        <v>5.6831812811957914</v>
      </c>
      <c r="W157" s="56">
        <f t="shared" ca="1" si="117"/>
        <v>5.6950336196830955</v>
      </c>
      <c r="X157" s="56">
        <f t="shared" ca="1" si="117"/>
        <v>5.7115914675458388</v>
      </c>
      <c r="Y157" s="56">
        <f t="shared" ca="1" si="117"/>
        <v>5.732819489502246</v>
      </c>
      <c r="Z157" s="56">
        <f t="shared" ca="1" si="117"/>
        <v>5.7586723838836704</v>
      </c>
      <c r="AA157" s="56">
        <f t="shared" ca="1" si="117"/>
        <v>5.7890949793106383</v>
      </c>
      <c r="AB157" s="56">
        <f t="shared" ca="1" si="117"/>
        <v>5.8240223524313546</v>
      </c>
      <c r="AC157" s="56">
        <f t="shared" ca="1" si="117"/>
        <v>5.8633799664714052</v>
      </c>
      <c r="AD157" s="56">
        <f t="shared" ca="1" si="117"/>
        <v>5.9070838302989923</v>
      </c>
      <c r="AE157" s="56">
        <f t="shared" ca="1" si="117"/>
        <v>5.9550406776662399</v>
      </c>
      <c r="AF157" s="56">
        <f t="shared" ca="1" si="117"/>
        <v>6.0071481662440691</v>
      </c>
      <c r="AG157" s="56">
        <f t="shared" ca="1" si="117"/>
        <v>6.0632950960258842</v>
      </c>
      <c r="AH157" s="56">
        <f t="shared" ca="1" si="117"/>
        <v>6.1233616466339926</v>
      </c>
      <c r="AI157" s="56">
        <f t="shared" ca="1" si="117"/>
        <v>6.1872196330223268</v>
      </c>
      <c r="AJ157" s="56">
        <f t="shared" ca="1" si="117"/>
        <v>6.2547327790297951</v>
      </c>
      <c r="AK157" s="56">
        <f t="shared" ca="1" si="117"/>
        <v>6.3257570082004753</v>
      </c>
      <c r="AL157" s="56">
        <f t="shared" ca="1" si="117"/>
        <v>6.4001407512500332</v>
      </c>
      <c r="AM157" s="56">
        <f t="shared" ca="1" si="117"/>
        <v>6.4777252695222121</v>
      </c>
      <c r="AN157" s="56">
        <f t="shared" ca="1" si="117"/>
        <v>6.5583449937451288</v>
      </c>
      <c r="AO157" s="56">
        <f t="shared" ca="1" si="117"/>
        <v>6.6418278773644399</v>
      </c>
      <c r="AP157" s="56">
        <f t="shared" ca="1" si="117"/>
        <v>6.7279957636993597</v>
      </c>
      <c r="AQ157" s="56">
        <f t="shared" ref="AQ157:BV157" ca="1" si="118">$D129+($K129-$D129)*(1-COS(PI()*MIN(MAX((AQ$139-($B$82-1))/$B$83,0),1)))/2</f>
        <v>6.8166647661379987</v>
      </c>
      <c r="AR157" s="56">
        <f t="shared" ca="1" si="118"/>
        <v>6.9076456605606538</v>
      </c>
      <c r="AS157" s="56">
        <f t="shared" ca="1" si="118"/>
        <v>7.0007442891536229</v>
      </c>
      <c r="AT157" s="56">
        <f t="shared" ca="1" si="118"/>
        <v>7.0957619747517588</v>
      </c>
      <c r="AU157" s="56">
        <f t="shared" ca="1" si="118"/>
        <v>7.1924959448255557</v>
      </c>
      <c r="AV157" s="56">
        <f t="shared" ca="1" si="118"/>
        <v>7.2907397642079417</v>
      </c>
      <c r="AW157" s="56">
        <f t="shared" ca="1" si="118"/>
        <v>7.3902837756373332</v>
      </c>
      <c r="AX157" s="56">
        <f t="shared" ca="1" si="118"/>
        <v>7.490915547176793</v>
      </c>
      <c r="AY157" s="56">
        <f t="shared" ca="1" si="118"/>
        <v>7.5924203255544933</v>
      </c>
      <c r="AZ157" s="56">
        <f t="shared" ca="1" si="118"/>
        <v>7.6945814944580171</v>
      </c>
      <c r="BA157" s="56">
        <f t="shared" ca="1" si="118"/>
        <v>7.7971810368044849</v>
      </c>
      <c r="BB157" s="56">
        <f t="shared" ca="1" si="118"/>
        <v>7.8999999999999995</v>
      </c>
      <c r="BC157" s="56">
        <f t="shared" ca="1" si="118"/>
        <v>8.002818963195514</v>
      </c>
      <c r="BD157" s="56">
        <f t="shared" ca="1" si="118"/>
        <v>8.1054185055419818</v>
      </c>
      <c r="BE157" s="56">
        <f t="shared" ca="1" si="118"/>
        <v>8.2075796744455047</v>
      </c>
      <c r="BF157" s="56">
        <f t="shared" ca="1" si="118"/>
        <v>8.3090844528232068</v>
      </c>
      <c r="BG157" s="56">
        <f t="shared" ca="1" si="118"/>
        <v>8.4097162243626666</v>
      </c>
      <c r="BH157" s="56">
        <f t="shared" ca="1" si="118"/>
        <v>8.509260235792059</v>
      </c>
      <c r="BI157" s="56">
        <f t="shared" ca="1" si="118"/>
        <v>8.6075040551744451</v>
      </c>
      <c r="BJ157" s="56">
        <f t="shared" ca="1" si="118"/>
        <v>8.704238025248241</v>
      </c>
      <c r="BK157" s="56">
        <f t="shared" ca="1" si="118"/>
        <v>8.799255710846376</v>
      </c>
      <c r="BL157" s="56">
        <f t="shared" ca="1" si="118"/>
        <v>8.8923543394393452</v>
      </c>
      <c r="BM157" s="56">
        <f t="shared" ca="1" si="118"/>
        <v>8.9833352338620003</v>
      </c>
      <c r="BN157" s="56">
        <f t="shared" ca="1" si="118"/>
        <v>9.0720042363006392</v>
      </c>
      <c r="BO157" s="56">
        <f t="shared" ca="1" si="118"/>
        <v>9.158172122635559</v>
      </c>
      <c r="BP157" s="56">
        <f t="shared" ca="1" si="118"/>
        <v>9.2416550062548701</v>
      </c>
      <c r="BQ157" s="56">
        <f t="shared" ca="1" si="118"/>
        <v>9.3222747304777869</v>
      </c>
      <c r="BR157" s="56">
        <f t="shared" ca="1" si="118"/>
        <v>9.3998592487499675</v>
      </c>
      <c r="BS157" s="56">
        <f t="shared" ca="1" si="118"/>
        <v>9.4742429917995246</v>
      </c>
      <c r="BT157" s="56">
        <f t="shared" ca="1" si="118"/>
        <v>9.5452672209702047</v>
      </c>
      <c r="BU157" s="56">
        <f t="shared" ca="1" si="118"/>
        <v>9.6127803669776739</v>
      </c>
      <c r="BV157" s="56">
        <f t="shared" ca="1" si="118"/>
        <v>9.6766383533660072</v>
      </c>
      <c r="BW157" s="56">
        <f t="shared" ref="BW157:DB157" ca="1" si="119">$D129+($K129-$D129)*(1-COS(PI()*MIN(MAX((BW$139-($B$82-1))/$B$83,0),1)))/2</f>
        <v>9.7367049039741147</v>
      </c>
      <c r="BX157" s="56">
        <f t="shared" ca="1" si="119"/>
        <v>9.7928518337559307</v>
      </c>
      <c r="BY157" s="56">
        <f t="shared" ca="1" si="119"/>
        <v>9.8449593223337608</v>
      </c>
      <c r="BZ157" s="56">
        <f t="shared" ca="1" si="119"/>
        <v>9.8929161697010066</v>
      </c>
      <c r="CA157" s="56">
        <f t="shared" ca="1" si="119"/>
        <v>9.9366200335285946</v>
      </c>
      <c r="CB157" s="56">
        <f t="shared" ca="1" si="119"/>
        <v>9.9759776475686444</v>
      </c>
      <c r="CC157" s="56">
        <f t="shared" ca="1" si="119"/>
        <v>10.010905020689361</v>
      </c>
      <c r="CD157" s="56">
        <f t="shared" ca="1" si="119"/>
        <v>10.04132761611633</v>
      </c>
      <c r="CE157" s="56">
        <f t="shared" ca="1" si="119"/>
        <v>10.067180510497753</v>
      </c>
      <c r="CF157" s="56">
        <f t="shared" ca="1" si="119"/>
        <v>10.08840853245416</v>
      </c>
      <c r="CG157" s="56">
        <f t="shared" ca="1" si="119"/>
        <v>10.104966380316904</v>
      </c>
      <c r="CH157" s="56">
        <f t="shared" ca="1" si="119"/>
        <v>10.116818718804208</v>
      </c>
      <c r="CI157" s="56">
        <f t="shared" ca="1" si="119"/>
        <v>10.12394025442844</v>
      </c>
      <c r="CJ157" s="56">
        <f t="shared" ca="1" si="119"/>
        <v>10.126315789473685</v>
      </c>
      <c r="CK157" s="56">
        <f t="shared" ca="1" si="119"/>
        <v>10.126315789473685</v>
      </c>
      <c r="CL157" s="56">
        <f t="shared" ca="1" si="119"/>
        <v>10.126315789473685</v>
      </c>
      <c r="CM157" s="56">
        <f t="shared" ca="1" si="119"/>
        <v>10.126315789473685</v>
      </c>
      <c r="CN157" s="56">
        <f t="shared" ca="1" si="119"/>
        <v>10.126315789473685</v>
      </c>
      <c r="CO157" s="56">
        <f t="shared" ca="1" si="119"/>
        <v>10.126315789473685</v>
      </c>
      <c r="CP157" s="56">
        <f t="shared" ca="1" si="119"/>
        <v>10.126315789473685</v>
      </c>
      <c r="CQ157" s="56">
        <f t="shared" ca="1" si="119"/>
        <v>10.126315789473685</v>
      </c>
      <c r="CR157" s="56">
        <f t="shared" ca="1" si="119"/>
        <v>10.126315789473685</v>
      </c>
      <c r="CS157" s="56">
        <f t="shared" ca="1" si="119"/>
        <v>10.126315789473685</v>
      </c>
      <c r="CT157" s="56">
        <f t="shared" ca="1" si="119"/>
        <v>10.126315789473685</v>
      </c>
      <c r="CU157" s="56">
        <f t="shared" ca="1" si="119"/>
        <v>10.126315789473685</v>
      </c>
      <c r="CV157" s="56">
        <f t="shared" ca="1" si="119"/>
        <v>10.126315789473685</v>
      </c>
      <c r="CW157" s="56">
        <f t="shared" ca="1" si="119"/>
        <v>10.126315789473685</v>
      </c>
      <c r="CX157" s="56">
        <f t="shared" ca="1" si="119"/>
        <v>10.126315789473685</v>
      </c>
      <c r="CY157" s="56">
        <f t="shared" ca="1" si="119"/>
        <v>10.126315789473685</v>
      </c>
      <c r="CZ157" s="56">
        <f t="shared" ca="1" si="119"/>
        <v>10.126315789473685</v>
      </c>
      <c r="DA157" s="56">
        <f t="shared" ca="1" si="119"/>
        <v>10.126315789473685</v>
      </c>
      <c r="DB157" s="56">
        <f t="shared" ca="1" si="119"/>
        <v>10.126315789473685</v>
      </c>
      <c r="DC157" s="56">
        <f t="shared" ref="DC157:EH157" ca="1" si="120">$D129+($K129-$D129)*(1-COS(PI()*MIN(MAX((DC$139-($B$82-1))/$B$83,0),1)))/2</f>
        <v>10.126315789473685</v>
      </c>
      <c r="DD157" s="56">
        <f t="shared" ca="1" si="120"/>
        <v>10.126315789473685</v>
      </c>
      <c r="DE157" s="56">
        <f t="shared" ca="1" si="120"/>
        <v>10.126315789473685</v>
      </c>
      <c r="DF157" s="56">
        <f t="shared" ca="1" si="120"/>
        <v>10.126315789473685</v>
      </c>
      <c r="DG157" s="56">
        <f t="shared" ca="1" si="120"/>
        <v>10.126315789473685</v>
      </c>
      <c r="DH157" s="56">
        <f t="shared" ca="1" si="120"/>
        <v>10.126315789473685</v>
      </c>
      <c r="DI157" s="56">
        <f t="shared" ca="1" si="120"/>
        <v>10.126315789473685</v>
      </c>
      <c r="DJ157" s="56">
        <f t="shared" ca="1" si="120"/>
        <v>10.126315789473685</v>
      </c>
      <c r="DK157" s="56">
        <f t="shared" ca="1" si="120"/>
        <v>10.126315789473685</v>
      </c>
      <c r="DL157" s="56">
        <f t="shared" ca="1" si="120"/>
        <v>10.126315789473685</v>
      </c>
      <c r="DM157" s="56">
        <f t="shared" ca="1" si="120"/>
        <v>10.126315789473685</v>
      </c>
      <c r="DN157" s="56">
        <f t="shared" ca="1" si="120"/>
        <v>10.126315789473685</v>
      </c>
      <c r="DO157" s="56">
        <f t="shared" ca="1" si="120"/>
        <v>10.126315789473685</v>
      </c>
      <c r="DP157" s="56">
        <f t="shared" ca="1" si="120"/>
        <v>10.126315789473685</v>
      </c>
      <c r="DQ157" s="56">
        <f t="shared" ca="1" si="120"/>
        <v>10.126315789473685</v>
      </c>
      <c r="DR157" s="56">
        <f t="shared" ca="1" si="120"/>
        <v>10.126315789473685</v>
      </c>
      <c r="DS157" s="56">
        <f t="shared" ca="1" si="120"/>
        <v>10.126315789473685</v>
      </c>
      <c r="DT157" s="56">
        <f t="shared" ca="1" si="120"/>
        <v>10.126315789473685</v>
      </c>
      <c r="DU157" s="56">
        <f t="shared" ca="1" si="120"/>
        <v>10.126315789473685</v>
      </c>
      <c r="DV157" s="56">
        <f t="shared" ca="1" si="120"/>
        <v>10.126315789473685</v>
      </c>
      <c r="DW157" s="56">
        <f t="shared" ca="1" si="120"/>
        <v>10.126315789473685</v>
      </c>
      <c r="DX157" s="56">
        <f t="shared" ca="1" si="120"/>
        <v>10.126315789473685</v>
      </c>
      <c r="DY157" s="56">
        <f t="shared" ca="1" si="120"/>
        <v>10.126315789473685</v>
      </c>
      <c r="DZ157" s="56">
        <f t="shared" ca="1" si="120"/>
        <v>10.126315789473685</v>
      </c>
      <c r="EA157" s="56">
        <f t="shared" ca="1" si="120"/>
        <v>10.126315789473685</v>
      </c>
      <c r="EB157" s="56">
        <f t="shared" ca="1" si="120"/>
        <v>10.126315789473685</v>
      </c>
      <c r="EC157" s="56">
        <f t="shared" ca="1" si="120"/>
        <v>10.126315789473685</v>
      </c>
      <c r="ED157" s="56">
        <f t="shared" ca="1" si="120"/>
        <v>10.126315789473685</v>
      </c>
      <c r="EE157" s="56">
        <f t="shared" ca="1" si="120"/>
        <v>10.126315789473685</v>
      </c>
      <c r="EF157" s="56">
        <f t="shared" ca="1" si="120"/>
        <v>10.126315789473685</v>
      </c>
      <c r="EG157" s="56">
        <f t="shared" ca="1" si="120"/>
        <v>10.126315789473685</v>
      </c>
      <c r="EH157" s="56">
        <f t="shared" ca="1" si="120"/>
        <v>10.126315789473685</v>
      </c>
      <c r="EI157" s="56">
        <f t="shared" ref="EI157:FN157" ca="1" si="121">$D129+($K129-$D129)*(1-COS(PI()*MIN(MAX((EI$139-($B$82-1))/$B$83,0),1)))/2</f>
        <v>10.126315789473685</v>
      </c>
      <c r="EJ157" s="56">
        <f t="shared" ca="1" si="121"/>
        <v>10.126315789473685</v>
      </c>
      <c r="EK157" s="56">
        <f t="shared" ca="1" si="121"/>
        <v>10.126315789473685</v>
      </c>
      <c r="EL157" s="56">
        <f t="shared" ca="1" si="121"/>
        <v>10.126315789473685</v>
      </c>
      <c r="EM157" s="56">
        <f t="shared" ca="1" si="121"/>
        <v>10.126315789473685</v>
      </c>
      <c r="EN157" s="56">
        <f t="shared" ca="1" si="121"/>
        <v>10.126315789473685</v>
      </c>
      <c r="EO157" s="56">
        <f t="shared" ca="1" si="121"/>
        <v>10.126315789473685</v>
      </c>
      <c r="EP157" s="56">
        <f t="shared" ca="1" si="121"/>
        <v>10.126315789473685</v>
      </c>
      <c r="EQ157" s="56">
        <f t="shared" ca="1" si="121"/>
        <v>10.126315789473685</v>
      </c>
      <c r="ER157" s="56">
        <f t="shared" ca="1" si="121"/>
        <v>10.126315789473685</v>
      </c>
      <c r="ES157" s="56">
        <f t="shared" ca="1" si="121"/>
        <v>10.126315789473685</v>
      </c>
      <c r="ET157" s="56">
        <f t="shared" ca="1" si="121"/>
        <v>10.126315789473685</v>
      </c>
      <c r="EU157" s="56">
        <f t="shared" ca="1" si="121"/>
        <v>10.126315789473685</v>
      </c>
      <c r="EV157" s="56">
        <f t="shared" ca="1" si="121"/>
        <v>10.126315789473685</v>
      </c>
      <c r="EW157" s="56">
        <f t="shared" ca="1" si="121"/>
        <v>10.126315789473685</v>
      </c>
      <c r="EX157" s="56">
        <f t="shared" ca="1" si="121"/>
        <v>10.126315789473685</v>
      </c>
      <c r="EY157" s="56">
        <f t="shared" ca="1" si="121"/>
        <v>10.126315789473685</v>
      </c>
      <c r="EZ157" s="56">
        <f t="shared" ca="1" si="121"/>
        <v>10.126315789473685</v>
      </c>
      <c r="FA157" s="56">
        <f t="shared" ca="1" si="121"/>
        <v>10.126315789473685</v>
      </c>
      <c r="FB157" s="56">
        <f t="shared" ca="1" si="121"/>
        <v>10.126315789473685</v>
      </c>
      <c r="FC157" s="56">
        <f t="shared" ca="1" si="121"/>
        <v>10.126315789473685</v>
      </c>
      <c r="FD157" s="56">
        <f t="shared" ca="1" si="121"/>
        <v>10.126315789473685</v>
      </c>
      <c r="FE157" s="56">
        <f t="shared" ca="1" si="121"/>
        <v>10.126315789473685</v>
      </c>
      <c r="FF157" s="56">
        <f t="shared" ca="1" si="121"/>
        <v>10.126315789473685</v>
      </c>
      <c r="FG157" s="56">
        <f t="shared" ca="1" si="121"/>
        <v>10.126315789473685</v>
      </c>
      <c r="FH157" s="56">
        <f t="shared" ca="1" si="121"/>
        <v>10.126315789473685</v>
      </c>
      <c r="FI157" s="56">
        <f t="shared" ca="1" si="121"/>
        <v>10.126315789473685</v>
      </c>
      <c r="FJ157" s="56">
        <f t="shared" ca="1" si="121"/>
        <v>10.126315789473685</v>
      </c>
      <c r="FK157" s="56">
        <f t="shared" ca="1" si="121"/>
        <v>10.126315789473685</v>
      </c>
      <c r="FL157" s="56">
        <f t="shared" ca="1" si="121"/>
        <v>10.126315789473685</v>
      </c>
      <c r="FM157" s="56">
        <f t="shared" ca="1" si="121"/>
        <v>10.126315789473685</v>
      </c>
      <c r="FN157" s="56">
        <f t="shared" ca="1" si="121"/>
        <v>10.126315789473685</v>
      </c>
      <c r="FO157" s="56">
        <f t="shared" ref="FO157:GP157" ca="1" si="122">$D129+($K129-$D129)*(1-COS(PI()*MIN(MAX((FO$139-($B$82-1))/$B$83,0),1)))/2</f>
        <v>10.126315789473685</v>
      </c>
      <c r="FP157" s="56">
        <f t="shared" ca="1" si="122"/>
        <v>10.126315789473685</v>
      </c>
      <c r="FQ157" s="56">
        <f t="shared" ca="1" si="122"/>
        <v>10.126315789473685</v>
      </c>
      <c r="FR157" s="56">
        <f t="shared" ca="1" si="122"/>
        <v>10.126315789473685</v>
      </c>
      <c r="FS157" s="56">
        <f t="shared" ca="1" si="122"/>
        <v>10.126315789473685</v>
      </c>
      <c r="FT157" s="56">
        <f t="shared" ca="1" si="122"/>
        <v>10.126315789473685</v>
      </c>
      <c r="FU157" s="56">
        <f t="shared" ca="1" si="122"/>
        <v>10.126315789473685</v>
      </c>
      <c r="FV157" s="56">
        <f t="shared" ca="1" si="122"/>
        <v>10.126315789473685</v>
      </c>
      <c r="FW157" s="56">
        <f t="shared" ca="1" si="122"/>
        <v>10.126315789473685</v>
      </c>
      <c r="FX157" s="56">
        <f t="shared" ca="1" si="122"/>
        <v>10.126315789473685</v>
      </c>
      <c r="FY157" s="56">
        <f t="shared" ca="1" si="122"/>
        <v>10.126315789473685</v>
      </c>
      <c r="FZ157" s="56">
        <f t="shared" ca="1" si="122"/>
        <v>10.126315789473685</v>
      </c>
      <c r="GA157" s="56">
        <f t="shared" ca="1" si="122"/>
        <v>10.126315789473685</v>
      </c>
      <c r="GB157" s="56">
        <f t="shared" ca="1" si="122"/>
        <v>10.126315789473685</v>
      </c>
      <c r="GC157" s="56">
        <f t="shared" ca="1" si="122"/>
        <v>10.126315789473685</v>
      </c>
      <c r="GD157" s="56">
        <f t="shared" ca="1" si="122"/>
        <v>10.126315789473685</v>
      </c>
      <c r="GE157" s="56">
        <f t="shared" ca="1" si="122"/>
        <v>10.126315789473685</v>
      </c>
      <c r="GF157" s="56">
        <f t="shared" ca="1" si="122"/>
        <v>10.126315789473685</v>
      </c>
      <c r="GG157" s="56">
        <f t="shared" ca="1" si="122"/>
        <v>10.126315789473685</v>
      </c>
      <c r="GH157" s="56">
        <f t="shared" ca="1" si="122"/>
        <v>10.126315789473685</v>
      </c>
      <c r="GI157" s="56">
        <f t="shared" ca="1" si="122"/>
        <v>10.126315789473685</v>
      </c>
      <c r="GJ157" s="56">
        <f t="shared" ca="1" si="122"/>
        <v>10.126315789473685</v>
      </c>
      <c r="GK157" s="56">
        <f t="shared" ca="1" si="122"/>
        <v>10.126315789473685</v>
      </c>
      <c r="GL157" s="56">
        <f t="shared" ca="1" si="122"/>
        <v>10.126315789473685</v>
      </c>
      <c r="GM157" s="56">
        <f t="shared" ca="1" si="122"/>
        <v>10.126315789473685</v>
      </c>
      <c r="GN157" s="56">
        <f t="shared" ca="1" si="122"/>
        <v>10.126315789473685</v>
      </c>
      <c r="GO157" s="56">
        <f t="shared" ca="1" si="122"/>
        <v>10.126315789473685</v>
      </c>
      <c r="GP157" s="56">
        <f t="shared" ca="1" si="122"/>
        <v>10.126315789473685</v>
      </c>
    </row>
    <row r="158" spans="1:198" x14ac:dyDescent="0.35">
      <c r="A158" s="55" t="str">
        <f t="shared" si="26"/>
        <v>India &gt; available in future</v>
      </c>
      <c r="B158" s="55" t="s">
        <v>298</v>
      </c>
      <c r="K158" s="56">
        <f t="shared" ref="K158:AP158" ca="1" si="123">$D130+($K130-$D130)*(1-COS(PI()*MIN(MAX((K$139-($B$82-1))/$B$83,0),1)))/2</f>
        <v>24.715789473684207</v>
      </c>
      <c r="L158" s="56">
        <f t="shared" ca="1" si="123"/>
        <v>24.715789473684207</v>
      </c>
      <c r="M158" s="56">
        <f t="shared" ca="1" si="123"/>
        <v>24.715789473684207</v>
      </c>
      <c r="N158" s="56">
        <f t="shared" ca="1" si="123"/>
        <v>24.715789473684207</v>
      </c>
      <c r="O158" s="56">
        <f t="shared" ca="1" si="123"/>
        <v>24.715789473684207</v>
      </c>
      <c r="P158" s="56">
        <f t="shared" ca="1" si="123"/>
        <v>24.715789473684207</v>
      </c>
      <c r="Q158" s="56">
        <f t="shared" ca="1" si="123"/>
        <v>24.715789473684207</v>
      </c>
      <c r="R158" s="56">
        <f t="shared" ca="1" si="123"/>
        <v>24.715789473684207</v>
      </c>
      <c r="S158" s="56">
        <f t="shared" ca="1" si="123"/>
        <v>24.715789473684207</v>
      </c>
      <c r="T158" s="56">
        <f t="shared" ca="1" si="123"/>
        <v>24.715789473684207</v>
      </c>
      <c r="U158" s="56">
        <f t="shared" ca="1" si="123"/>
        <v>24.717086751687638</v>
      </c>
      <c r="V158" s="56">
        <f t="shared" ca="1" si="123"/>
        <v>24.720975817241296</v>
      </c>
      <c r="W158" s="56">
        <f t="shared" ca="1" si="123"/>
        <v>24.727448370883302</v>
      </c>
      <c r="X158" s="56">
        <f t="shared" ca="1" si="123"/>
        <v>24.736490599857991</v>
      </c>
      <c r="Y158" s="56">
        <f t="shared" ca="1" si="123"/>
        <v>24.748083207593048</v>
      </c>
      <c r="Z158" s="56">
        <f t="shared" ca="1" si="123"/>
        <v>24.76220145487936</v>
      </c>
      <c r="AA158" s="56">
        <f t="shared" ca="1" si="123"/>
        <v>24.778815212665716</v>
      </c>
      <c r="AB158" s="56">
        <f t="shared" ca="1" si="123"/>
        <v>24.797889026355755</v>
      </c>
      <c r="AC158" s="56">
        <f t="shared" ca="1" si="123"/>
        <v>24.819382191469824</v>
      </c>
      <c r="AD158" s="56">
        <f t="shared" ca="1" si="123"/>
        <v>24.843248840510423</v>
      </c>
      <c r="AE158" s="56">
        <f t="shared" ca="1" si="123"/>
        <v>24.869438040845726</v>
      </c>
      <c r="AF158" s="56">
        <f t="shared" ca="1" si="123"/>
        <v>24.897893903402412</v>
      </c>
      <c r="AG158" s="56">
        <f t="shared" ca="1" si="123"/>
        <v>24.928555701935746</v>
      </c>
      <c r="AH158" s="56">
        <f t="shared" ca="1" si="123"/>
        <v>24.961358002622443</v>
      </c>
      <c r="AI158" s="56">
        <f t="shared" ca="1" si="123"/>
        <v>24.99623080369976</v>
      </c>
      <c r="AJ158" s="56">
        <f t="shared" ca="1" si="123"/>
        <v>25.033099684852775</v>
      </c>
      <c r="AK158" s="56">
        <f t="shared" ca="1" si="123"/>
        <v>25.07188596603109</v>
      </c>
      <c r="AL158" s="56">
        <f t="shared" ca="1" si="123"/>
        <v>25.112506875356026</v>
      </c>
      <c r="AM158" s="56">
        <f t="shared" ca="1" si="123"/>
        <v>25.154875725759982</v>
      </c>
      <c r="AN158" s="56">
        <f t="shared" ca="1" si="123"/>
        <v>25.198902099981009</v>
      </c>
      <c r="AO158" s="56">
        <f t="shared" ca="1" si="123"/>
        <v>25.244492043517795</v>
      </c>
      <c r="AP158" s="56">
        <f t="shared" ca="1" si="123"/>
        <v>25.291548265133319</v>
      </c>
      <c r="AQ158" s="56">
        <f t="shared" ref="AQ158:BV158" ca="1" si="124">$D130+($K130-$D130)*(1-COS(PI()*MIN(MAX((AQ$139-($B$82-1))/$B$83,0),1)))/2</f>
        <v>25.339970344479241</v>
      </c>
      <c r="AR158" s="56">
        <f t="shared" ca="1" si="124"/>
        <v>25.389654946397997</v>
      </c>
      <c r="AS158" s="56">
        <f t="shared" ca="1" si="124"/>
        <v>25.440496041445222</v>
      </c>
      <c r="AT158" s="56">
        <f t="shared" ca="1" si="124"/>
        <v>25.492385132161932</v>
      </c>
      <c r="AU158" s="56">
        <f t="shared" ca="1" si="124"/>
        <v>25.545211484613581</v>
      </c>
      <c r="AV158" s="56">
        <f t="shared" ca="1" si="124"/>
        <v>25.598862364701834</v>
      </c>
      <c r="AW158" s="56">
        <f t="shared" ca="1" si="124"/>
        <v>25.653223278744836</v>
      </c>
      <c r="AX158" s="56">
        <f t="shared" ca="1" si="124"/>
        <v>25.708178217812485</v>
      </c>
      <c r="AY158" s="56">
        <f t="shared" ca="1" si="124"/>
        <v>25.763609905295343</v>
      </c>
      <c r="AZ158" s="56">
        <f t="shared" ca="1" si="124"/>
        <v>25.819400047178828</v>
      </c>
      <c r="BA158" s="56">
        <f t="shared" ca="1" si="124"/>
        <v>25.8754295844886</v>
      </c>
      <c r="BB158" s="56">
        <f t="shared" ca="1" si="124"/>
        <v>25.931578947368418</v>
      </c>
      <c r="BC158" s="56">
        <f t="shared" ca="1" si="124"/>
        <v>25.98772831024824</v>
      </c>
      <c r="BD158" s="56">
        <f t="shared" ca="1" si="124"/>
        <v>26.043757847558012</v>
      </c>
      <c r="BE158" s="56">
        <f t="shared" ca="1" si="124"/>
        <v>26.099547989441497</v>
      </c>
      <c r="BF158" s="56">
        <f t="shared" ca="1" si="124"/>
        <v>26.154979676924356</v>
      </c>
      <c r="BG158" s="56">
        <f t="shared" ca="1" si="124"/>
        <v>26.209934615992005</v>
      </c>
      <c r="BH158" s="56">
        <f t="shared" ca="1" si="124"/>
        <v>26.264295530035007</v>
      </c>
      <c r="BI158" s="56">
        <f t="shared" ca="1" si="124"/>
        <v>26.317946410123259</v>
      </c>
      <c r="BJ158" s="56">
        <f t="shared" ca="1" si="124"/>
        <v>26.370772762574909</v>
      </c>
      <c r="BK158" s="56">
        <f t="shared" ca="1" si="124"/>
        <v>26.422661853291618</v>
      </c>
      <c r="BL158" s="56">
        <f t="shared" ca="1" si="124"/>
        <v>26.473502948338844</v>
      </c>
      <c r="BM158" s="56">
        <f t="shared" ca="1" si="124"/>
        <v>26.5231875502576</v>
      </c>
      <c r="BN158" s="56">
        <f t="shared" ca="1" si="124"/>
        <v>26.571609629603522</v>
      </c>
      <c r="BO158" s="56">
        <f t="shared" ca="1" si="124"/>
        <v>26.618665851219045</v>
      </c>
      <c r="BP158" s="56">
        <f t="shared" ca="1" si="124"/>
        <v>26.664255794755832</v>
      </c>
      <c r="BQ158" s="56">
        <f t="shared" ca="1" si="124"/>
        <v>26.708282168976858</v>
      </c>
      <c r="BR158" s="56">
        <f t="shared" ca="1" si="124"/>
        <v>26.750651019380815</v>
      </c>
      <c r="BS158" s="56">
        <f t="shared" ca="1" si="124"/>
        <v>26.791271928705751</v>
      </c>
      <c r="BT158" s="56">
        <f t="shared" ca="1" si="124"/>
        <v>26.830058209884065</v>
      </c>
      <c r="BU158" s="56">
        <f t="shared" ca="1" si="124"/>
        <v>26.866927091037081</v>
      </c>
      <c r="BV158" s="56">
        <f t="shared" ca="1" si="124"/>
        <v>26.901799892114397</v>
      </c>
      <c r="BW158" s="56">
        <f t="shared" ref="BW158:DB158" ca="1" si="125">$D130+($K130-$D130)*(1-COS(PI()*MIN(MAX((BW$139-($B$82-1))/$B$83,0),1)))/2</f>
        <v>26.934602192801094</v>
      </c>
      <c r="BX158" s="56">
        <f t="shared" ca="1" si="125"/>
        <v>26.965263991334425</v>
      </c>
      <c r="BY158" s="56">
        <f t="shared" ca="1" si="125"/>
        <v>26.993719853891115</v>
      </c>
      <c r="BZ158" s="56">
        <f t="shared" ca="1" si="125"/>
        <v>27.019909054226417</v>
      </c>
      <c r="CA158" s="56">
        <f t="shared" ca="1" si="125"/>
        <v>27.043775703267016</v>
      </c>
      <c r="CB158" s="56">
        <f t="shared" ca="1" si="125"/>
        <v>27.065268868381086</v>
      </c>
      <c r="CC158" s="56">
        <f t="shared" ca="1" si="125"/>
        <v>27.084342682071124</v>
      </c>
      <c r="CD158" s="56">
        <f t="shared" ca="1" si="125"/>
        <v>27.10095643985748</v>
      </c>
      <c r="CE158" s="56">
        <f t="shared" ca="1" si="125"/>
        <v>27.115074687143792</v>
      </c>
      <c r="CF158" s="56">
        <f t="shared" ca="1" si="125"/>
        <v>27.12666729487885</v>
      </c>
      <c r="CG158" s="56">
        <f t="shared" ca="1" si="125"/>
        <v>27.135709523853539</v>
      </c>
      <c r="CH158" s="56">
        <f t="shared" ca="1" si="125"/>
        <v>27.142182077495544</v>
      </c>
      <c r="CI158" s="56">
        <f t="shared" ca="1" si="125"/>
        <v>27.146071143049202</v>
      </c>
      <c r="CJ158" s="56">
        <f t="shared" ca="1" si="125"/>
        <v>27.147368421052633</v>
      </c>
      <c r="CK158" s="56">
        <f t="shared" ca="1" si="125"/>
        <v>27.147368421052633</v>
      </c>
      <c r="CL158" s="56">
        <f t="shared" ca="1" si="125"/>
        <v>27.147368421052633</v>
      </c>
      <c r="CM158" s="56">
        <f t="shared" ca="1" si="125"/>
        <v>27.147368421052633</v>
      </c>
      <c r="CN158" s="56">
        <f t="shared" ca="1" si="125"/>
        <v>27.147368421052633</v>
      </c>
      <c r="CO158" s="56">
        <f t="shared" ca="1" si="125"/>
        <v>27.147368421052633</v>
      </c>
      <c r="CP158" s="56">
        <f t="shared" ca="1" si="125"/>
        <v>27.147368421052633</v>
      </c>
      <c r="CQ158" s="56">
        <f t="shared" ca="1" si="125"/>
        <v>27.147368421052633</v>
      </c>
      <c r="CR158" s="56">
        <f t="shared" ca="1" si="125"/>
        <v>27.147368421052633</v>
      </c>
      <c r="CS158" s="56">
        <f t="shared" ca="1" si="125"/>
        <v>27.147368421052633</v>
      </c>
      <c r="CT158" s="56">
        <f t="shared" ca="1" si="125"/>
        <v>27.147368421052633</v>
      </c>
      <c r="CU158" s="56">
        <f t="shared" ca="1" si="125"/>
        <v>27.147368421052633</v>
      </c>
      <c r="CV158" s="56">
        <f t="shared" ca="1" si="125"/>
        <v>27.147368421052633</v>
      </c>
      <c r="CW158" s="56">
        <f t="shared" ca="1" si="125"/>
        <v>27.147368421052633</v>
      </c>
      <c r="CX158" s="56">
        <f t="shared" ca="1" si="125"/>
        <v>27.147368421052633</v>
      </c>
      <c r="CY158" s="56">
        <f t="shared" ca="1" si="125"/>
        <v>27.147368421052633</v>
      </c>
      <c r="CZ158" s="56">
        <f t="shared" ca="1" si="125"/>
        <v>27.147368421052633</v>
      </c>
      <c r="DA158" s="56">
        <f t="shared" ca="1" si="125"/>
        <v>27.147368421052633</v>
      </c>
      <c r="DB158" s="56">
        <f t="shared" ca="1" si="125"/>
        <v>27.147368421052633</v>
      </c>
      <c r="DC158" s="56">
        <f t="shared" ref="DC158:EH158" ca="1" si="126">$D130+($K130-$D130)*(1-COS(PI()*MIN(MAX((DC$139-($B$82-1))/$B$83,0),1)))/2</f>
        <v>27.147368421052633</v>
      </c>
      <c r="DD158" s="56">
        <f t="shared" ca="1" si="126"/>
        <v>27.147368421052633</v>
      </c>
      <c r="DE158" s="56">
        <f t="shared" ca="1" si="126"/>
        <v>27.147368421052633</v>
      </c>
      <c r="DF158" s="56">
        <f t="shared" ca="1" si="126"/>
        <v>27.147368421052633</v>
      </c>
      <c r="DG158" s="56">
        <f t="shared" ca="1" si="126"/>
        <v>27.147368421052633</v>
      </c>
      <c r="DH158" s="56">
        <f t="shared" ca="1" si="126"/>
        <v>27.147368421052633</v>
      </c>
      <c r="DI158" s="56">
        <f t="shared" ca="1" si="126"/>
        <v>27.147368421052633</v>
      </c>
      <c r="DJ158" s="56">
        <f t="shared" ca="1" si="126"/>
        <v>27.147368421052633</v>
      </c>
      <c r="DK158" s="56">
        <f t="shared" ca="1" si="126"/>
        <v>27.147368421052633</v>
      </c>
      <c r="DL158" s="56">
        <f t="shared" ca="1" si="126"/>
        <v>27.147368421052633</v>
      </c>
      <c r="DM158" s="56">
        <f t="shared" ca="1" si="126"/>
        <v>27.147368421052633</v>
      </c>
      <c r="DN158" s="56">
        <f t="shared" ca="1" si="126"/>
        <v>27.147368421052633</v>
      </c>
      <c r="DO158" s="56">
        <f t="shared" ca="1" si="126"/>
        <v>27.147368421052633</v>
      </c>
      <c r="DP158" s="56">
        <f t="shared" ca="1" si="126"/>
        <v>27.147368421052633</v>
      </c>
      <c r="DQ158" s="56">
        <f t="shared" ca="1" si="126"/>
        <v>27.147368421052633</v>
      </c>
      <c r="DR158" s="56">
        <f t="shared" ca="1" si="126"/>
        <v>27.147368421052633</v>
      </c>
      <c r="DS158" s="56">
        <f t="shared" ca="1" si="126"/>
        <v>27.147368421052633</v>
      </c>
      <c r="DT158" s="56">
        <f t="shared" ca="1" si="126"/>
        <v>27.147368421052633</v>
      </c>
      <c r="DU158" s="56">
        <f t="shared" ca="1" si="126"/>
        <v>27.147368421052633</v>
      </c>
      <c r="DV158" s="56">
        <f t="shared" ca="1" si="126"/>
        <v>27.147368421052633</v>
      </c>
      <c r="DW158" s="56">
        <f t="shared" ca="1" si="126"/>
        <v>27.147368421052633</v>
      </c>
      <c r="DX158" s="56">
        <f t="shared" ca="1" si="126"/>
        <v>27.147368421052633</v>
      </c>
      <c r="DY158" s="56">
        <f t="shared" ca="1" si="126"/>
        <v>27.147368421052633</v>
      </c>
      <c r="DZ158" s="56">
        <f t="shared" ca="1" si="126"/>
        <v>27.147368421052633</v>
      </c>
      <c r="EA158" s="56">
        <f t="shared" ca="1" si="126"/>
        <v>27.147368421052633</v>
      </c>
      <c r="EB158" s="56">
        <f t="shared" ca="1" si="126"/>
        <v>27.147368421052633</v>
      </c>
      <c r="EC158" s="56">
        <f t="shared" ca="1" si="126"/>
        <v>27.147368421052633</v>
      </c>
      <c r="ED158" s="56">
        <f t="shared" ca="1" si="126"/>
        <v>27.147368421052633</v>
      </c>
      <c r="EE158" s="56">
        <f t="shared" ca="1" si="126"/>
        <v>27.147368421052633</v>
      </c>
      <c r="EF158" s="56">
        <f t="shared" ca="1" si="126"/>
        <v>27.147368421052633</v>
      </c>
      <c r="EG158" s="56">
        <f t="shared" ca="1" si="126"/>
        <v>27.147368421052633</v>
      </c>
      <c r="EH158" s="56">
        <f t="shared" ca="1" si="126"/>
        <v>27.147368421052633</v>
      </c>
      <c r="EI158" s="56">
        <f t="shared" ref="EI158:FN158" ca="1" si="127">$D130+($K130-$D130)*(1-COS(PI()*MIN(MAX((EI$139-($B$82-1))/$B$83,0),1)))/2</f>
        <v>27.147368421052633</v>
      </c>
      <c r="EJ158" s="56">
        <f t="shared" ca="1" si="127"/>
        <v>27.147368421052633</v>
      </c>
      <c r="EK158" s="56">
        <f t="shared" ca="1" si="127"/>
        <v>27.147368421052633</v>
      </c>
      <c r="EL158" s="56">
        <f t="shared" ca="1" si="127"/>
        <v>27.147368421052633</v>
      </c>
      <c r="EM158" s="56">
        <f t="shared" ca="1" si="127"/>
        <v>27.147368421052633</v>
      </c>
      <c r="EN158" s="56">
        <f t="shared" ca="1" si="127"/>
        <v>27.147368421052633</v>
      </c>
      <c r="EO158" s="56">
        <f t="shared" ca="1" si="127"/>
        <v>27.147368421052633</v>
      </c>
      <c r="EP158" s="56">
        <f t="shared" ca="1" si="127"/>
        <v>27.147368421052633</v>
      </c>
      <c r="EQ158" s="56">
        <f t="shared" ca="1" si="127"/>
        <v>27.147368421052633</v>
      </c>
      <c r="ER158" s="56">
        <f t="shared" ca="1" si="127"/>
        <v>27.147368421052633</v>
      </c>
      <c r="ES158" s="56">
        <f t="shared" ca="1" si="127"/>
        <v>27.147368421052633</v>
      </c>
      <c r="ET158" s="56">
        <f t="shared" ca="1" si="127"/>
        <v>27.147368421052633</v>
      </c>
      <c r="EU158" s="56">
        <f t="shared" ca="1" si="127"/>
        <v>27.147368421052633</v>
      </c>
      <c r="EV158" s="56">
        <f t="shared" ca="1" si="127"/>
        <v>27.147368421052633</v>
      </c>
      <c r="EW158" s="56">
        <f t="shared" ca="1" si="127"/>
        <v>27.147368421052633</v>
      </c>
      <c r="EX158" s="56">
        <f t="shared" ca="1" si="127"/>
        <v>27.147368421052633</v>
      </c>
      <c r="EY158" s="56">
        <f t="shared" ca="1" si="127"/>
        <v>27.147368421052633</v>
      </c>
      <c r="EZ158" s="56">
        <f t="shared" ca="1" si="127"/>
        <v>27.147368421052633</v>
      </c>
      <c r="FA158" s="56">
        <f t="shared" ca="1" si="127"/>
        <v>27.147368421052633</v>
      </c>
      <c r="FB158" s="56">
        <f t="shared" ca="1" si="127"/>
        <v>27.147368421052633</v>
      </c>
      <c r="FC158" s="56">
        <f t="shared" ca="1" si="127"/>
        <v>27.147368421052633</v>
      </c>
      <c r="FD158" s="56">
        <f t="shared" ca="1" si="127"/>
        <v>27.147368421052633</v>
      </c>
      <c r="FE158" s="56">
        <f t="shared" ca="1" si="127"/>
        <v>27.147368421052633</v>
      </c>
      <c r="FF158" s="56">
        <f t="shared" ca="1" si="127"/>
        <v>27.147368421052633</v>
      </c>
      <c r="FG158" s="56">
        <f t="shared" ca="1" si="127"/>
        <v>27.147368421052633</v>
      </c>
      <c r="FH158" s="56">
        <f t="shared" ca="1" si="127"/>
        <v>27.147368421052633</v>
      </c>
      <c r="FI158" s="56">
        <f t="shared" ca="1" si="127"/>
        <v>27.147368421052633</v>
      </c>
      <c r="FJ158" s="56">
        <f t="shared" ca="1" si="127"/>
        <v>27.147368421052633</v>
      </c>
      <c r="FK158" s="56">
        <f t="shared" ca="1" si="127"/>
        <v>27.147368421052633</v>
      </c>
      <c r="FL158" s="56">
        <f t="shared" ca="1" si="127"/>
        <v>27.147368421052633</v>
      </c>
      <c r="FM158" s="56">
        <f t="shared" ca="1" si="127"/>
        <v>27.147368421052633</v>
      </c>
      <c r="FN158" s="56">
        <f t="shared" ca="1" si="127"/>
        <v>27.147368421052633</v>
      </c>
      <c r="FO158" s="56">
        <f t="shared" ref="FO158:GP158" ca="1" si="128">$D130+($K130-$D130)*(1-COS(PI()*MIN(MAX((FO$139-($B$82-1))/$B$83,0),1)))/2</f>
        <v>27.147368421052633</v>
      </c>
      <c r="FP158" s="56">
        <f t="shared" ca="1" si="128"/>
        <v>27.147368421052633</v>
      </c>
      <c r="FQ158" s="56">
        <f t="shared" ca="1" si="128"/>
        <v>27.147368421052633</v>
      </c>
      <c r="FR158" s="56">
        <f t="shared" ca="1" si="128"/>
        <v>27.147368421052633</v>
      </c>
      <c r="FS158" s="56">
        <f t="shared" ca="1" si="128"/>
        <v>27.147368421052633</v>
      </c>
      <c r="FT158" s="56">
        <f t="shared" ca="1" si="128"/>
        <v>27.147368421052633</v>
      </c>
      <c r="FU158" s="56">
        <f t="shared" ca="1" si="128"/>
        <v>27.147368421052633</v>
      </c>
      <c r="FV158" s="56">
        <f t="shared" ca="1" si="128"/>
        <v>27.147368421052633</v>
      </c>
      <c r="FW158" s="56">
        <f t="shared" ca="1" si="128"/>
        <v>27.147368421052633</v>
      </c>
      <c r="FX158" s="56">
        <f t="shared" ca="1" si="128"/>
        <v>27.147368421052633</v>
      </c>
      <c r="FY158" s="56">
        <f t="shared" ca="1" si="128"/>
        <v>27.147368421052633</v>
      </c>
      <c r="FZ158" s="56">
        <f t="shared" ca="1" si="128"/>
        <v>27.147368421052633</v>
      </c>
      <c r="GA158" s="56">
        <f t="shared" ca="1" si="128"/>
        <v>27.147368421052633</v>
      </c>
      <c r="GB158" s="56">
        <f t="shared" ca="1" si="128"/>
        <v>27.147368421052633</v>
      </c>
      <c r="GC158" s="56">
        <f t="shared" ca="1" si="128"/>
        <v>27.147368421052633</v>
      </c>
      <c r="GD158" s="56">
        <f t="shared" ca="1" si="128"/>
        <v>27.147368421052633</v>
      </c>
      <c r="GE158" s="56">
        <f t="shared" ca="1" si="128"/>
        <v>27.147368421052633</v>
      </c>
      <c r="GF158" s="56">
        <f t="shared" ca="1" si="128"/>
        <v>27.147368421052633</v>
      </c>
      <c r="GG158" s="56">
        <f t="shared" ca="1" si="128"/>
        <v>27.147368421052633</v>
      </c>
      <c r="GH158" s="56">
        <f t="shared" ca="1" si="128"/>
        <v>27.147368421052633</v>
      </c>
      <c r="GI158" s="56">
        <f t="shared" ca="1" si="128"/>
        <v>27.147368421052633</v>
      </c>
      <c r="GJ158" s="56">
        <f t="shared" ca="1" si="128"/>
        <v>27.147368421052633</v>
      </c>
      <c r="GK158" s="56">
        <f t="shared" ca="1" si="128"/>
        <v>27.147368421052633</v>
      </c>
      <c r="GL158" s="56">
        <f t="shared" ca="1" si="128"/>
        <v>27.147368421052633</v>
      </c>
      <c r="GM158" s="56">
        <f t="shared" ca="1" si="128"/>
        <v>27.147368421052633</v>
      </c>
      <c r="GN158" s="56">
        <f t="shared" ca="1" si="128"/>
        <v>27.147368421052633</v>
      </c>
      <c r="GO158" s="56">
        <f t="shared" ca="1" si="128"/>
        <v>27.147368421052633</v>
      </c>
      <c r="GP158" s="56">
        <f t="shared" ca="1" si="128"/>
        <v>27.147368421052633</v>
      </c>
    </row>
    <row r="159" spans="1:198" x14ac:dyDescent="0.35">
      <c r="A159" s="55" t="str">
        <f t="shared" si="26"/>
        <v>UK &gt; available in future</v>
      </c>
      <c r="B159" s="55" t="s">
        <v>298</v>
      </c>
      <c r="K159" s="56">
        <f t="shared" ref="K159:AP159" ca="1" si="129">$D131+($K131-$D131)*(1-COS(PI()*MIN(MAX((K$139-($B$82-1))/$B$83,0),1)))/2</f>
        <v>25.92631578947368</v>
      </c>
      <c r="L159" s="56">
        <f t="shared" ca="1" si="129"/>
        <v>25.92631578947368</v>
      </c>
      <c r="M159" s="56">
        <f t="shared" ca="1" si="129"/>
        <v>25.92631578947368</v>
      </c>
      <c r="N159" s="56">
        <f t="shared" ca="1" si="129"/>
        <v>25.92631578947368</v>
      </c>
      <c r="O159" s="56">
        <f t="shared" ca="1" si="129"/>
        <v>25.92631578947368</v>
      </c>
      <c r="P159" s="56">
        <f t="shared" ca="1" si="129"/>
        <v>25.92631578947368</v>
      </c>
      <c r="Q159" s="56">
        <f t="shared" ca="1" si="129"/>
        <v>25.92631578947368</v>
      </c>
      <c r="R159" s="56">
        <f t="shared" ca="1" si="129"/>
        <v>25.92631578947368</v>
      </c>
      <c r="S159" s="56">
        <f t="shared" ca="1" si="129"/>
        <v>25.92631578947368</v>
      </c>
      <c r="T159" s="56">
        <f t="shared" ca="1" si="129"/>
        <v>25.92631578947368</v>
      </c>
      <c r="U159" s="56">
        <f t="shared" ca="1" si="129"/>
        <v>25.926967236436443</v>
      </c>
      <c r="V159" s="56">
        <f t="shared" ca="1" si="129"/>
        <v>25.92892018710408</v>
      </c>
      <c r="W159" s="56">
        <f t="shared" ca="1" si="129"/>
        <v>25.932170473781451</v>
      </c>
      <c r="X159" s="56">
        <f t="shared" ca="1" si="129"/>
        <v>25.936711160192981</v>
      </c>
      <c r="Y159" s="56">
        <f t="shared" ca="1" si="129"/>
        <v>25.942532556285048</v>
      </c>
      <c r="Z159" s="56">
        <f t="shared" ca="1" si="129"/>
        <v>25.949622238905011</v>
      </c>
      <c r="AA159" s="56">
        <f t="shared" ca="1" si="129"/>
        <v>25.957965078312881</v>
      </c>
      <c r="AB159" s="56">
        <f t="shared" ca="1" si="129"/>
        <v>25.967543270468916</v>
      </c>
      <c r="AC159" s="56">
        <f t="shared" ca="1" si="129"/>
        <v>25.978336375028363</v>
      </c>
      <c r="AD159" s="56">
        <f t="shared" ca="1" si="129"/>
        <v>25.99032135896217</v>
      </c>
      <c r="AE159" s="56">
        <f t="shared" ca="1" si="129"/>
        <v>26.003472645710634</v>
      </c>
      <c r="AF159" s="56">
        <f t="shared" ca="1" si="129"/>
        <v>26.017762169765074</v>
      </c>
      <c r="AG159" s="56">
        <f t="shared" ca="1" si="129"/>
        <v>26.033159436561032</v>
      </c>
      <c r="AH159" s="56">
        <f t="shared" ca="1" si="129"/>
        <v>26.049631587555218</v>
      </c>
      <c r="AI159" s="56">
        <f t="shared" ca="1" si="129"/>
        <v>26.06714347034729</v>
      </c>
      <c r="AJ159" s="56">
        <f t="shared" ca="1" si="129"/>
        <v>26.085657713696857</v>
      </c>
      <c r="AK159" s="56">
        <f t="shared" ca="1" si="129"/>
        <v>26.105134807275579</v>
      </c>
      <c r="AL159" s="56">
        <f t="shared" ca="1" si="129"/>
        <v>26.125533185984203</v>
      </c>
      <c r="AM159" s="56">
        <f t="shared" ca="1" si="129"/>
        <v>26.14680931865459</v>
      </c>
      <c r="AN159" s="56">
        <f t="shared" ca="1" si="129"/>
        <v>26.168917800947398</v>
      </c>
      <c r="AO159" s="56">
        <f t="shared" ca="1" si="129"/>
        <v>26.191811452247258</v>
      </c>
      <c r="AP159" s="56">
        <f t="shared" ca="1" si="129"/>
        <v>26.215441416348558</v>
      </c>
      <c r="AQ159" s="56">
        <f t="shared" ref="AQ159:BV159" ca="1" si="130">$D131+($K131-$D131)*(1-COS(PI()*MIN(MAX((AQ$139-($B$82-1))/$B$83,0),1)))/2</f>
        <v>26.239757265717074</v>
      </c>
      <c r="AR159" s="56">
        <f t="shared" ca="1" si="130"/>
        <v>26.264707109104847</v>
      </c>
      <c r="AS159" s="56">
        <f t="shared" ca="1" si="130"/>
        <v>26.290237702288735</v>
      </c>
      <c r="AT159" s="56">
        <f t="shared" ca="1" si="130"/>
        <v>26.31629456169626</v>
      </c>
      <c r="AU159" s="56">
        <f t="shared" ca="1" si="130"/>
        <v>26.34282208067631</v>
      </c>
      <c r="AV159" s="56">
        <f t="shared" ca="1" si="130"/>
        <v>26.369763648166515</v>
      </c>
      <c r="AW159" s="56">
        <f t="shared" ca="1" si="130"/>
        <v>26.397061769504127</v>
      </c>
      <c r="AX159" s="56">
        <f t="shared" ca="1" si="130"/>
        <v>26.424658189122514</v>
      </c>
      <c r="AY159" s="56">
        <f t="shared" ca="1" si="130"/>
        <v>26.45249401487148</v>
      </c>
      <c r="AZ159" s="56">
        <f t="shared" ca="1" si="130"/>
        <v>26.480509843696087</v>
      </c>
      <c r="BA159" s="56">
        <f t="shared" ca="1" si="130"/>
        <v>26.508645888405756</v>
      </c>
      <c r="BB159" s="56">
        <f t="shared" ca="1" si="130"/>
        <v>26.536842105263155</v>
      </c>
      <c r="BC159" s="56">
        <f t="shared" ca="1" si="130"/>
        <v>26.565038322120554</v>
      </c>
      <c r="BD159" s="56">
        <f t="shared" ca="1" si="130"/>
        <v>26.593174366830226</v>
      </c>
      <c r="BE159" s="56">
        <f t="shared" ca="1" si="130"/>
        <v>26.621190195654833</v>
      </c>
      <c r="BF159" s="56">
        <f t="shared" ca="1" si="130"/>
        <v>26.649026021403799</v>
      </c>
      <c r="BG159" s="56">
        <f t="shared" ca="1" si="130"/>
        <v>26.676622441022186</v>
      </c>
      <c r="BH159" s="56">
        <f t="shared" ca="1" si="130"/>
        <v>26.703920562359798</v>
      </c>
      <c r="BI159" s="56">
        <f t="shared" ca="1" si="130"/>
        <v>26.730862129850003</v>
      </c>
      <c r="BJ159" s="56">
        <f t="shared" ca="1" si="130"/>
        <v>26.757389648830049</v>
      </c>
      <c r="BK159" s="56">
        <f t="shared" ca="1" si="130"/>
        <v>26.783446508237578</v>
      </c>
      <c r="BL159" s="56">
        <f t="shared" ca="1" si="130"/>
        <v>26.808977101421466</v>
      </c>
      <c r="BM159" s="56">
        <f t="shared" ca="1" si="130"/>
        <v>26.833926944809239</v>
      </c>
      <c r="BN159" s="56">
        <f t="shared" ca="1" si="130"/>
        <v>26.858242794177755</v>
      </c>
      <c r="BO159" s="56">
        <f t="shared" ca="1" si="130"/>
        <v>26.881872758279055</v>
      </c>
      <c r="BP159" s="56">
        <f t="shared" ca="1" si="130"/>
        <v>26.904766409578915</v>
      </c>
      <c r="BQ159" s="56">
        <f t="shared" ca="1" si="130"/>
        <v>26.926874891871723</v>
      </c>
      <c r="BR159" s="56">
        <f t="shared" ca="1" si="130"/>
        <v>26.94815102454211</v>
      </c>
      <c r="BS159" s="56">
        <f t="shared" ca="1" si="130"/>
        <v>26.968549403250734</v>
      </c>
      <c r="BT159" s="56">
        <f t="shared" ca="1" si="130"/>
        <v>26.988026496829455</v>
      </c>
      <c r="BU159" s="56">
        <f t="shared" ca="1" si="130"/>
        <v>27.006540740179023</v>
      </c>
      <c r="BV159" s="56">
        <f t="shared" ca="1" si="130"/>
        <v>27.024052622971094</v>
      </c>
      <c r="BW159" s="56">
        <f t="shared" ref="BW159:DB159" ca="1" si="131">$D131+($K131-$D131)*(1-COS(PI()*MIN(MAX((BW$139-($B$82-1))/$B$83,0),1)))/2</f>
        <v>27.040524773965281</v>
      </c>
      <c r="BX159" s="56">
        <f t="shared" ca="1" si="131"/>
        <v>27.055922040761239</v>
      </c>
      <c r="BY159" s="56">
        <f t="shared" ca="1" si="131"/>
        <v>27.070211564815679</v>
      </c>
      <c r="BZ159" s="56">
        <f t="shared" ca="1" si="131"/>
        <v>27.083362851564143</v>
      </c>
      <c r="CA159" s="56">
        <f t="shared" ca="1" si="131"/>
        <v>27.09534783549795</v>
      </c>
      <c r="CB159" s="56">
        <f t="shared" ca="1" si="131"/>
        <v>27.106140940057397</v>
      </c>
      <c r="CC159" s="56">
        <f t="shared" ca="1" si="131"/>
        <v>27.115719132213432</v>
      </c>
      <c r="CD159" s="56">
        <f t="shared" ca="1" si="131"/>
        <v>27.124061971621302</v>
      </c>
      <c r="CE159" s="56">
        <f t="shared" ca="1" si="131"/>
        <v>27.131151654241265</v>
      </c>
      <c r="CF159" s="56">
        <f t="shared" ca="1" si="131"/>
        <v>27.136973050333332</v>
      </c>
      <c r="CG159" s="56">
        <f t="shared" ca="1" si="131"/>
        <v>27.141513736744862</v>
      </c>
      <c r="CH159" s="56">
        <f t="shared" ca="1" si="131"/>
        <v>27.144764023422233</v>
      </c>
      <c r="CI159" s="56">
        <f t="shared" ca="1" si="131"/>
        <v>27.14671697408987</v>
      </c>
      <c r="CJ159" s="56">
        <f t="shared" ca="1" si="131"/>
        <v>27.147368421052633</v>
      </c>
      <c r="CK159" s="56">
        <f t="shared" ca="1" si="131"/>
        <v>27.147368421052633</v>
      </c>
      <c r="CL159" s="56">
        <f t="shared" ca="1" si="131"/>
        <v>27.147368421052633</v>
      </c>
      <c r="CM159" s="56">
        <f t="shared" ca="1" si="131"/>
        <v>27.147368421052633</v>
      </c>
      <c r="CN159" s="56">
        <f t="shared" ca="1" si="131"/>
        <v>27.147368421052633</v>
      </c>
      <c r="CO159" s="56">
        <f t="shared" ca="1" si="131"/>
        <v>27.147368421052633</v>
      </c>
      <c r="CP159" s="56">
        <f t="shared" ca="1" si="131"/>
        <v>27.147368421052633</v>
      </c>
      <c r="CQ159" s="56">
        <f t="shared" ca="1" si="131"/>
        <v>27.147368421052633</v>
      </c>
      <c r="CR159" s="56">
        <f t="shared" ca="1" si="131"/>
        <v>27.147368421052633</v>
      </c>
      <c r="CS159" s="56">
        <f t="shared" ca="1" si="131"/>
        <v>27.147368421052633</v>
      </c>
      <c r="CT159" s="56">
        <f t="shared" ca="1" si="131"/>
        <v>27.147368421052633</v>
      </c>
      <c r="CU159" s="56">
        <f t="shared" ca="1" si="131"/>
        <v>27.147368421052633</v>
      </c>
      <c r="CV159" s="56">
        <f t="shared" ca="1" si="131"/>
        <v>27.147368421052633</v>
      </c>
      <c r="CW159" s="56">
        <f t="shared" ca="1" si="131"/>
        <v>27.147368421052633</v>
      </c>
      <c r="CX159" s="56">
        <f t="shared" ca="1" si="131"/>
        <v>27.147368421052633</v>
      </c>
      <c r="CY159" s="56">
        <f t="shared" ca="1" si="131"/>
        <v>27.147368421052633</v>
      </c>
      <c r="CZ159" s="56">
        <f t="shared" ca="1" si="131"/>
        <v>27.147368421052633</v>
      </c>
      <c r="DA159" s="56">
        <f t="shared" ca="1" si="131"/>
        <v>27.147368421052633</v>
      </c>
      <c r="DB159" s="56">
        <f t="shared" ca="1" si="131"/>
        <v>27.147368421052633</v>
      </c>
      <c r="DC159" s="56">
        <f t="shared" ref="DC159:EH159" ca="1" si="132">$D131+($K131-$D131)*(1-COS(PI()*MIN(MAX((DC$139-($B$82-1))/$B$83,0),1)))/2</f>
        <v>27.147368421052633</v>
      </c>
      <c r="DD159" s="56">
        <f t="shared" ca="1" si="132"/>
        <v>27.147368421052633</v>
      </c>
      <c r="DE159" s="56">
        <f t="shared" ca="1" si="132"/>
        <v>27.147368421052633</v>
      </c>
      <c r="DF159" s="56">
        <f t="shared" ca="1" si="132"/>
        <v>27.147368421052633</v>
      </c>
      <c r="DG159" s="56">
        <f t="shared" ca="1" si="132"/>
        <v>27.147368421052633</v>
      </c>
      <c r="DH159" s="56">
        <f t="shared" ca="1" si="132"/>
        <v>27.147368421052633</v>
      </c>
      <c r="DI159" s="56">
        <f t="shared" ca="1" si="132"/>
        <v>27.147368421052633</v>
      </c>
      <c r="DJ159" s="56">
        <f t="shared" ca="1" si="132"/>
        <v>27.147368421052633</v>
      </c>
      <c r="DK159" s="56">
        <f t="shared" ca="1" si="132"/>
        <v>27.147368421052633</v>
      </c>
      <c r="DL159" s="56">
        <f t="shared" ca="1" si="132"/>
        <v>27.147368421052633</v>
      </c>
      <c r="DM159" s="56">
        <f t="shared" ca="1" si="132"/>
        <v>27.147368421052633</v>
      </c>
      <c r="DN159" s="56">
        <f t="shared" ca="1" si="132"/>
        <v>27.147368421052633</v>
      </c>
      <c r="DO159" s="56">
        <f t="shared" ca="1" si="132"/>
        <v>27.147368421052633</v>
      </c>
      <c r="DP159" s="56">
        <f t="shared" ca="1" si="132"/>
        <v>27.147368421052633</v>
      </c>
      <c r="DQ159" s="56">
        <f t="shared" ca="1" si="132"/>
        <v>27.147368421052633</v>
      </c>
      <c r="DR159" s="56">
        <f t="shared" ca="1" si="132"/>
        <v>27.147368421052633</v>
      </c>
      <c r="DS159" s="56">
        <f t="shared" ca="1" si="132"/>
        <v>27.147368421052633</v>
      </c>
      <c r="DT159" s="56">
        <f t="shared" ca="1" si="132"/>
        <v>27.147368421052633</v>
      </c>
      <c r="DU159" s="56">
        <f t="shared" ca="1" si="132"/>
        <v>27.147368421052633</v>
      </c>
      <c r="DV159" s="56">
        <f t="shared" ca="1" si="132"/>
        <v>27.147368421052633</v>
      </c>
      <c r="DW159" s="56">
        <f t="shared" ca="1" si="132"/>
        <v>27.147368421052633</v>
      </c>
      <c r="DX159" s="56">
        <f t="shared" ca="1" si="132"/>
        <v>27.147368421052633</v>
      </c>
      <c r="DY159" s="56">
        <f t="shared" ca="1" si="132"/>
        <v>27.147368421052633</v>
      </c>
      <c r="DZ159" s="56">
        <f t="shared" ca="1" si="132"/>
        <v>27.147368421052633</v>
      </c>
      <c r="EA159" s="56">
        <f t="shared" ca="1" si="132"/>
        <v>27.147368421052633</v>
      </c>
      <c r="EB159" s="56">
        <f t="shared" ca="1" si="132"/>
        <v>27.147368421052633</v>
      </c>
      <c r="EC159" s="56">
        <f t="shared" ca="1" si="132"/>
        <v>27.147368421052633</v>
      </c>
      <c r="ED159" s="56">
        <f t="shared" ca="1" si="132"/>
        <v>27.147368421052633</v>
      </c>
      <c r="EE159" s="56">
        <f t="shared" ca="1" si="132"/>
        <v>27.147368421052633</v>
      </c>
      <c r="EF159" s="56">
        <f t="shared" ca="1" si="132"/>
        <v>27.147368421052633</v>
      </c>
      <c r="EG159" s="56">
        <f t="shared" ca="1" si="132"/>
        <v>27.147368421052633</v>
      </c>
      <c r="EH159" s="56">
        <f t="shared" ca="1" si="132"/>
        <v>27.147368421052633</v>
      </c>
      <c r="EI159" s="56">
        <f t="shared" ref="EI159:FN159" ca="1" si="133">$D131+($K131-$D131)*(1-COS(PI()*MIN(MAX((EI$139-($B$82-1))/$B$83,0),1)))/2</f>
        <v>27.147368421052633</v>
      </c>
      <c r="EJ159" s="56">
        <f t="shared" ca="1" si="133"/>
        <v>27.147368421052633</v>
      </c>
      <c r="EK159" s="56">
        <f t="shared" ca="1" si="133"/>
        <v>27.147368421052633</v>
      </c>
      <c r="EL159" s="56">
        <f t="shared" ca="1" si="133"/>
        <v>27.147368421052633</v>
      </c>
      <c r="EM159" s="56">
        <f t="shared" ca="1" si="133"/>
        <v>27.147368421052633</v>
      </c>
      <c r="EN159" s="56">
        <f t="shared" ca="1" si="133"/>
        <v>27.147368421052633</v>
      </c>
      <c r="EO159" s="56">
        <f t="shared" ca="1" si="133"/>
        <v>27.147368421052633</v>
      </c>
      <c r="EP159" s="56">
        <f t="shared" ca="1" si="133"/>
        <v>27.147368421052633</v>
      </c>
      <c r="EQ159" s="56">
        <f t="shared" ca="1" si="133"/>
        <v>27.147368421052633</v>
      </c>
      <c r="ER159" s="56">
        <f t="shared" ca="1" si="133"/>
        <v>27.147368421052633</v>
      </c>
      <c r="ES159" s="56">
        <f t="shared" ca="1" si="133"/>
        <v>27.147368421052633</v>
      </c>
      <c r="ET159" s="56">
        <f t="shared" ca="1" si="133"/>
        <v>27.147368421052633</v>
      </c>
      <c r="EU159" s="56">
        <f t="shared" ca="1" si="133"/>
        <v>27.147368421052633</v>
      </c>
      <c r="EV159" s="56">
        <f t="shared" ca="1" si="133"/>
        <v>27.147368421052633</v>
      </c>
      <c r="EW159" s="56">
        <f t="shared" ca="1" si="133"/>
        <v>27.147368421052633</v>
      </c>
      <c r="EX159" s="56">
        <f t="shared" ca="1" si="133"/>
        <v>27.147368421052633</v>
      </c>
      <c r="EY159" s="56">
        <f t="shared" ca="1" si="133"/>
        <v>27.147368421052633</v>
      </c>
      <c r="EZ159" s="56">
        <f t="shared" ca="1" si="133"/>
        <v>27.147368421052633</v>
      </c>
      <c r="FA159" s="56">
        <f t="shared" ca="1" si="133"/>
        <v>27.147368421052633</v>
      </c>
      <c r="FB159" s="56">
        <f t="shared" ca="1" si="133"/>
        <v>27.147368421052633</v>
      </c>
      <c r="FC159" s="56">
        <f t="shared" ca="1" si="133"/>
        <v>27.147368421052633</v>
      </c>
      <c r="FD159" s="56">
        <f t="shared" ca="1" si="133"/>
        <v>27.147368421052633</v>
      </c>
      <c r="FE159" s="56">
        <f t="shared" ca="1" si="133"/>
        <v>27.147368421052633</v>
      </c>
      <c r="FF159" s="56">
        <f t="shared" ca="1" si="133"/>
        <v>27.147368421052633</v>
      </c>
      <c r="FG159" s="56">
        <f t="shared" ca="1" si="133"/>
        <v>27.147368421052633</v>
      </c>
      <c r="FH159" s="56">
        <f t="shared" ca="1" si="133"/>
        <v>27.147368421052633</v>
      </c>
      <c r="FI159" s="56">
        <f t="shared" ca="1" si="133"/>
        <v>27.147368421052633</v>
      </c>
      <c r="FJ159" s="56">
        <f t="shared" ca="1" si="133"/>
        <v>27.147368421052633</v>
      </c>
      <c r="FK159" s="56">
        <f t="shared" ca="1" si="133"/>
        <v>27.147368421052633</v>
      </c>
      <c r="FL159" s="56">
        <f t="shared" ca="1" si="133"/>
        <v>27.147368421052633</v>
      </c>
      <c r="FM159" s="56">
        <f t="shared" ca="1" si="133"/>
        <v>27.147368421052633</v>
      </c>
      <c r="FN159" s="56">
        <f t="shared" ca="1" si="133"/>
        <v>27.147368421052633</v>
      </c>
      <c r="FO159" s="56">
        <f t="shared" ref="FO159:GP159" ca="1" si="134">$D131+($K131-$D131)*(1-COS(PI()*MIN(MAX((FO$139-($B$82-1))/$B$83,0),1)))/2</f>
        <v>27.147368421052633</v>
      </c>
      <c r="FP159" s="56">
        <f t="shared" ca="1" si="134"/>
        <v>27.147368421052633</v>
      </c>
      <c r="FQ159" s="56">
        <f t="shared" ca="1" si="134"/>
        <v>27.147368421052633</v>
      </c>
      <c r="FR159" s="56">
        <f t="shared" ca="1" si="134"/>
        <v>27.147368421052633</v>
      </c>
      <c r="FS159" s="56">
        <f t="shared" ca="1" si="134"/>
        <v>27.147368421052633</v>
      </c>
      <c r="FT159" s="56">
        <f t="shared" ca="1" si="134"/>
        <v>27.147368421052633</v>
      </c>
      <c r="FU159" s="56">
        <f t="shared" ca="1" si="134"/>
        <v>27.147368421052633</v>
      </c>
      <c r="FV159" s="56">
        <f t="shared" ca="1" si="134"/>
        <v>27.147368421052633</v>
      </c>
      <c r="FW159" s="56">
        <f t="shared" ca="1" si="134"/>
        <v>27.147368421052633</v>
      </c>
      <c r="FX159" s="56">
        <f t="shared" ca="1" si="134"/>
        <v>27.147368421052633</v>
      </c>
      <c r="FY159" s="56">
        <f t="shared" ca="1" si="134"/>
        <v>27.147368421052633</v>
      </c>
      <c r="FZ159" s="56">
        <f t="shared" ca="1" si="134"/>
        <v>27.147368421052633</v>
      </c>
      <c r="GA159" s="56">
        <f t="shared" ca="1" si="134"/>
        <v>27.147368421052633</v>
      </c>
      <c r="GB159" s="56">
        <f t="shared" ca="1" si="134"/>
        <v>27.147368421052633</v>
      </c>
      <c r="GC159" s="56">
        <f t="shared" ca="1" si="134"/>
        <v>27.147368421052633</v>
      </c>
      <c r="GD159" s="56">
        <f t="shared" ca="1" si="134"/>
        <v>27.147368421052633</v>
      </c>
      <c r="GE159" s="56">
        <f t="shared" ca="1" si="134"/>
        <v>27.147368421052633</v>
      </c>
      <c r="GF159" s="56">
        <f t="shared" ca="1" si="134"/>
        <v>27.147368421052633</v>
      </c>
      <c r="GG159" s="56">
        <f t="shared" ca="1" si="134"/>
        <v>27.147368421052633</v>
      </c>
      <c r="GH159" s="56">
        <f t="shared" ca="1" si="134"/>
        <v>27.147368421052633</v>
      </c>
      <c r="GI159" s="56">
        <f t="shared" ca="1" si="134"/>
        <v>27.147368421052633</v>
      </c>
      <c r="GJ159" s="56">
        <f t="shared" ca="1" si="134"/>
        <v>27.147368421052633</v>
      </c>
      <c r="GK159" s="56">
        <f t="shared" ca="1" si="134"/>
        <v>27.147368421052633</v>
      </c>
      <c r="GL159" s="56">
        <f t="shared" ca="1" si="134"/>
        <v>27.147368421052633</v>
      </c>
      <c r="GM159" s="56">
        <f t="shared" ca="1" si="134"/>
        <v>27.147368421052633</v>
      </c>
      <c r="GN159" s="56">
        <f t="shared" ca="1" si="134"/>
        <v>27.147368421052633</v>
      </c>
      <c r="GO159" s="56">
        <f t="shared" ca="1" si="134"/>
        <v>27.147368421052633</v>
      </c>
      <c r="GP159" s="56">
        <f t="shared" ca="1" si="134"/>
        <v>27.147368421052633</v>
      </c>
    </row>
    <row r="160" spans="1:198" x14ac:dyDescent="0.35">
      <c r="A160" s="55" t="str">
        <f t="shared" si="26"/>
        <v>LATAM &gt; available in future</v>
      </c>
      <c r="B160" s="55" t="s">
        <v>298</v>
      </c>
      <c r="K160" s="56">
        <f t="shared" ref="K160:AP160" ca="1" si="135">$D132+($K132-$D132)*(1-COS(PI()*MIN(MAX((K$139-($B$82-1))/$B$83,0),1)))/2</f>
        <v>29.568421052631574</v>
      </c>
      <c r="L160" s="56">
        <f t="shared" ca="1" si="135"/>
        <v>29.568421052631574</v>
      </c>
      <c r="M160" s="56">
        <f t="shared" ca="1" si="135"/>
        <v>29.568421052631574</v>
      </c>
      <c r="N160" s="56">
        <f t="shared" ca="1" si="135"/>
        <v>29.568421052631574</v>
      </c>
      <c r="O160" s="56">
        <f t="shared" ca="1" si="135"/>
        <v>29.568421052631574</v>
      </c>
      <c r="P160" s="56">
        <f t="shared" ca="1" si="135"/>
        <v>29.568421052631574</v>
      </c>
      <c r="Q160" s="56">
        <f t="shared" ca="1" si="135"/>
        <v>29.568421052631574</v>
      </c>
      <c r="R160" s="56">
        <f t="shared" ca="1" si="135"/>
        <v>29.568421052631574</v>
      </c>
      <c r="S160" s="56">
        <f t="shared" ca="1" si="135"/>
        <v>29.568421052631574</v>
      </c>
      <c r="T160" s="56">
        <f t="shared" ca="1" si="135"/>
        <v>29.568421052631574</v>
      </c>
      <c r="U160" s="56">
        <f t="shared" ca="1" si="135"/>
        <v>29.567994242552523</v>
      </c>
      <c r="V160" s="56">
        <f t="shared" ca="1" si="135"/>
        <v>29.566714723149587</v>
      </c>
      <c r="W160" s="56">
        <f t="shared" ca="1" si="135"/>
        <v>29.564585224981656</v>
      </c>
      <c r="X160" s="56">
        <f t="shared" ca="1" si="135"/>
        <v>29.561610292505136</v>
      </c>
      <c r="Y160" s="56">
        <f t="shared" ca="1" si="135"/>
        <v>29.557796274375853</v>
      </c>
      <c r="Z160" s="56">
        <f t="shared" ca="1" si="135"/>
        <v>29.553151309900702</v>
      </c>
      <c r="AA160" s="56">
        <f t="shared" ca="1" si="135"/>
        <v>29.547685311667962</v>
      </c>
      <c r="AB160" s="56">
        <f t="shared" ca="1" si="135"/>
        <v>29.541409944393315</v>
      </c>
      <c r="AC160" s="56">
        <f t="shared" ca="1" si="135"/>
        <v>29.534338600026782</v>
      </c>
      <c r="AD160" s="56">
        <f t="shared" ca="1" si="135"/>
        <v>29.5264863691736</v>
      </c>
      <c r="AE160" s="56">
        <f t="shared" ca="1" si="135"/>
        <v>29.517870008890124</v>
      </c>
      <c r="AF160" s="56">
        <f t="shared" ca="1" si="135"/>
        <v>29.50850790692342</v>
      </c>
      <c r="AG160" s="56">
        <f t="shared" ca="1" si="135"/>
        <v>29.498420042470897</v>
      </c>
      <c r="AH160" s="56">
        <f t="shared" ca="1" si="135"/>
        <v>29.487627943543671</v>
      </c>
      <c r="AI160" s="56">
        <f t="shared" ca="1" si="135"/>
        <v>29.476154641024728</v>
      </c>
      <c r="AJ160" s="56">
        <f t="shared" ca="1" si="135"/>
        <v>29.46402461951984</v>
      </c>
      <c r="AK160" s="56">
        <f t="shared" ca="1" si="135"/>
        <v>29.451263765106194</v>
      </c>
      <c r="AL160" s="56">
        <f t="shared" ca="1" si="135"/>
        <v>29.437899310090199</v>
      </c>
      <c r="AM160" s="56">
        <f t="shared" ca="1" si="135"/>
        <v>29.42395977489236</v>
      </c>
      <c r="AN160" s="56">
        <f t="shared" ca="1" si="135"/>
        <v>29.409474907183277</v>
      </c>
      <c r="AO160" s="56">
        <f t="shared" ca="1" si="135"/>
        <v>29.394475618400612</v>
      </c>
      <c r="AP160" s="56">
        <f t="shared" ca="1" si="135"/>
        <v>29.37899391778252</v>
      </c>
      <c r="AQ160" s="56">
        <f t="shared" ref="AQ160:BV160" ca="1" si="136">$D132+($K132-$D132)*(1-COS(PI()*MIN(MAX((AQ$139-($B$82-1))/$B$83,0),1)))/2</f>
        <v>29.363062844058319</v>
      </c>
      <c r="AR160" s="56">
        <f t="shared" ca="1" si="136"/>
        <v>29.346716394942192</v>
      </c>
      <c r="AS160" s="56">
        <f t="shared" ca="1" si="136"/>
        <v>29.329989454580335</v>
      </c>
      <c r="AT160" s="56">
        <f t="shared" ca="1" si="136"/>
        <v>29.312917719106437</v>
      </c>
      <c r="AU160" s="56">
        <f t="shared" ca="1" si="136"/>
        <v>29.295537620464337</v>
      </c>
      <c r="AV160" s="56">
        <f t="shared" ca="1" si="136"/>
        <v>29.277886248660408</v>
      </c>
      <c r="AW160" s="56">
        <f t="shared" ca="1" si="136"/>
        <v>29.260001272611632</v>
      </c>
      <c r="AX160" s="56">
        <f t="shared" ca="1" si="136"/>
        <v>29.241920859758206</v>
      </c>
      <c r="AY160" s="56">
        <f t="shared" ca="1" si="136"/>
        <v>29.223683594612329</v>
      </c>
      <c r="AZ160" s="56">
        <f t="shared" ca="1" si="136"/>
        <v>29.205328396416899</v>
      </c>
      <c r="BA160" s="56">
        <f t="shared" ca="1" si="136"/>
        <v>29.186894436089872</v>
      </c>
      <c r="BB160" s="56">
        <f t="shared" ca="1" si="136"/>
        <v>29.168421052631579</v>
      </c>
      <c r="BC160" s="56">
        <f t="shared" ca="1" si="136"/>
        <v>29.149947669173283</v>
      </c>
      <c r="BD160" s="56">
        <f t="shared" ca="1" si="136"/>
        <v>29.131513708846256</v>
      </c>
      <c r="BE160" s="56">
        <f t="shared" ca="1" si="136"/>
        <v>29.113158510650827</v>
      </c>
      <c r="BF160" s="56">
        <f t="shared" ca="1" si="136"/>
        <v>29.094921245504949</v>
      </c>
      <c r="BG160" s="56">
        <f t="shared" ca="1" si="136"/>
        <v>29.076840832651524</v>
      </c>
      <c r="BH160" s="56">
        <f t="shared" ca="1" si="136"/>
        <v>29.058955856602747</v>
      </c>
      <c r="BI160" s="56">
        <f t="shared" ca="1" si="136"/>
        <v>29.041304484798818</v>
      </c>
      <c r="BJ160" s="56">
        <f t="shared" ca="1" si="136"/>
        <v>29.023924386156718</v>
      </c>
      <c r="BK160" s="56">
        <f t="shared" ca="1" si="136"/>
        <v>29.00685265068282</v>
      </c>
      <c r="BL160" s="56">
        <f t="shared" ca="1" si="136"/>
        <v>28.990125710320964</v>
      </c>
      <c r="BM160" s="56">
        <f t="shared" ca="1" si="136"/>
        <v>28.973779261204836</v>
      </c>
      <c r="BN160" s="56">
        <f t="shared" ca="1" si="136"/>
        <v>28.957848187480636</v>
      </c>
      <c r="BO160" s="56">
        <f t="shared" ca="1" si="136"/>
        <v>28.942366486862543</v>
      </c>
      <c r="BP160" s="56">
        <f t="shared" ca="1" si="136"/>
        <v>28.927367198079878</v>
      </c>
      <c r="BQ160" s="56">
        <f t="shared" ca="1" si="136"/>
        <v>28.912882330370795</v>
      </c>
      <c r="BR160" s="56">
        <f t="shared" ca="1" si="136"/>
        <v>28.898942795172957</v>
      </c>
      <c r="BS160" s="56">
        <f t="shared" ca="1" si="136"/>
        <v>28.885578340156961</v>
      </c>
      <c r="BT160" s="56">
        <f t="shared" ca="1" si="136"/>
        <v>28.872817485743315</v>
      </c>
      <c r="BU160" s="56">
        <f t="shared" ca="1" si="136"/>
        <v>28.860687464238428</v>
      </c>
      <c r="BV160" s="56">
        <f t="shared" ca="1" si="136"/>
        <v>28.849214161719484</v>
      </c>
      <c r="BW160" s="56">
        <f t="shared" ref="BW160:DB160" ca="1" si="137">$D132+($K132-$D132)*(1-COS(PI()*MIN(MAX((BW$139-($B$82-1))/$B$83,0),1)))/2</f>
        <v>28.838422062792258</v>
      </c>
      <c r="BX160" s="56">
        <f t="shared" ca="1" si="137"/>
        <v>28.828334198339736</v>
      </c>
      <c r="BY160" s="56">
        <f t="shared" ca="1" si="137"/>
        <v>28.818972096373031</v>
      </c>
      <c r="BZ160" s="56">
        <f t="shared" ca="1" si="137"/>
        <v>28.810355736089555</v>
      </c>
      <c r="CA160" s="56">
        <f t="shared" ca="1" si="137"/>
        <v>28.802503505236373</v>
      </c>
      <c r="CB160" s="56">
        <f t="shared" ca="1" si="137"/>
        <v>28.79543216086984</v>
      </c>
      <c r="CC160" s="56">
        <f t="shared" ca="1" si="137"/>
        <v>28.789156793595193</v>
      </c>
      <c r="CD160" s="56">
        <f t="shared" ca="1" si="137"/>
        <v>28.783690795362453</v>
      </c>
      <c r="CE160" s="56">
        <f t="shared" ca="1" si="137"/>
        <v>28.779045830887302</v>
      </c>
      <c r="CF160" s="56">
        <f t="shared" ca="1" si="137"/>
        <v>28.775231812758019</v>
      </c>
      <c r="CG160" s="56">
        <f t="shared" ca="1" si="137"/>
        <v>28.7722568802815</v>
      </c>
      <c r="CH160" s="56">
        <f t="shared" ca="1" si="137"/>
        <v>28.770127382113568</v>
      </c>
      <c r="CI160" s="56">
        <f t="shared" ca="1" si="137"/>
        <v>28.768847862710633</v>
      </c>
      <c r="CJ160" s="56">
        <f t="shared" ca="1" si="137"/>
        <v>28.768421052631581</v>
      </c>
      <c r="CK160" s="56">
        <f t="shared" ca="1" si="137"/>
        <v>28.768421052631581</v>
      </c>
      <c r="CL160" s="56">
        <f t="shared" ca="1" si="137"/>
        <v>28.768421052631581</v>
      </c>
      <c r="CM160" s="56">
        <f t="shared" ca="1" si="137"/>
        <v>28.768421052631581</v>
      </c>
      <c r="CN160" s="56">
        <f t="shared" ca="1" si="137"/>
        <v>28.768421052631581</v>
      </c>
      <c r="CO160" s="56">
        <f t="shared" ca="1" si="137"/>
        <v>28.768421052631581</v>
      </c>
      <c r="CP160" s="56">
        <f t="shared" ca="1" si="137"/>
        <v>28.768421052631581</v>
      </c>
      <c r="CQ160" s="56">
        <f t="shared" ca="1" si="137"/>
        <v>28.768421052631581</v>
      </c>
      <c r="CR160" s="56">
        <f t="shared" ca="1" si="137"/>
        <v>28.768421052631581</v>
      </c>
      <c r="CS160" s="56">
        <f t="shared" ca="1" si="137"/>
        <v>28.768421052631581</v>
      </c>
      <c r="CT160" s="56">
        <f t="shared" ca="1" si="137"/>
        <v>28.768421052631581</v>
      </c>
      <c r="CU160" s="56">
        <f t="shared" ca="1" si="137"/>
        <v>28.768421052631581</v>
      </c>
      <c r="CV160" s="56">
        <f t="shared" ca="1" si="137"/>
        <v>28.768421052631581</v>
      </c>
      <c r="CW160" s="56">
        <f t="shared" ca="1" si="137"/>
        <v>28.768421052631581</v>
      </c>
      <c r="CX160" s="56">
        <f t="shared" ca="1" si="137"/>
        <v>28.768421052631581</v>
      </c>
      <c r="CY160" s="56">
        <f t="shared" ca="1" si="137"/>
        <v>28.768421052631581</v>
      </c>
      <c r="CZ160" s="56">
        <f t="shared" ca="1" si="137"/>
        <v>28.768421052631581</v>
      </c>
      <c r="DA160" s="56">
        <f t="shared" ca="1" si="137"/>
        <v>28.768421052631581</v>
      </c>
      <c r="DB160" s="56">
        <f t="shared" ca="1" si="137"/>
        <v>28.768421052631581</v>
      </c>
      <c r="DC160" s="56">
        <f t="shared" ref="DC160:EH160" ca="1" si="138">$D132+($K132-$D132)*(1-COS(PI()*MIN(MAX((DC$139-($B$82-1))/$B$83,0),1)))/2</f>
        <v>28.768421052631581</v>
      </c>
      <c r="DD160" s="56">
        <f t="shared" ca="1" si="138"/>
        <v>28.768421052631581</v>
      </c>
      <c r="DE160" s="56">
        <f t="shared" ca="1" si="138"/>
        <v>28.768421052631581</v>
      </c>
      <c r="DF160" s="56">
        <f t="shared" ca="1" si="138"/>
        <v>28.768421052631581</v>
      </c>
      <c r="DG160" s="56">
        <f t="shared" ca="1" si="138"/>
        <v>28.768421052631581</v>
      </c>
      <c r="DH160" s="56">
        <f t="shared" ca="1" si="138"/>
        <v>28.768421052631581</v>
      </c>
      <c r="DI160" s="56">
        <f t="shared" ca="1" si="138"/>
        <v>28.768421052631581</v>
      </c>
      <c r="DJ160" s="56">
        <f t="shared" ca="1" si="138"/>
        <v>28.768421052631581</v>
      </c>
      <c r="DK160" s="56">
        <f t="shared" ca="1" si="138"/>
        <v>28.768421052631581</v>
      </c>
      <c r="DL160" s="56">
        <f t="shared" ca="1" si="138"/>
        <v>28.768421052631581</v>
      </c>
      <c r="DM160" s="56">
        <f t="shared" ca="1" si="138"/>
        <v>28.768421052631581</v>
      </c>
      <c r="DN160" s="56">
        <f t="shared" ca="1" si="138"/>
        <v>28.768421052631581</v>
      </c>
      <c r="DO160" s="56">
        <f t="shared" ca="1" si="138"/>
        <v>28.768421052631581</v>
      </c>
      <c r="DP160" s="56">
        <f t="shared" ca="1" si="138"/>
        <v>28.768421052631581</v>
      </c>
      <c r="DQ160" s="56">
        <f t="shared" ca="1" si="138"/>
        <v>28.768421052631581</v>
      </c>
      <c r="DR160" s="56">
        <f t="shared" ca="1" si="138"/>
        <v>28.768421052631581</v>
      </c>
      <c r="DS160" s="56">
        <f t="shared" ca="1" si="138"/>
        <v>28.768421052631581</v>
      </c>
      <c r="DT160" s="56">
        <f t="shared" ca="1" si="138"/>
        <v>28.768421052631581</v>
      </c>
      <c r="DU160" s="56">
        <f t="shared" ca="1" si="138"/>
        <v>28.768421052631581</v>
      </c>
      <c r="DV160" s="56">
        <f t="shared" ca="1" si="138"/>
        <v>28.768421052631581</v>
      </c>
      <c r="DW160" s="56">
        <f t="shared" ca="1" si="138"/>
        <v>28.768421052631581</v>
      </c>
      <c r="DX160" s="56">
        <f t="shared" ca="1" si="138"/>
        <v>28.768421052631581</v>
      </c>
      <c r="DY160" s="56">
        <f t="shared" ca="1" si="138"/>
        <v>28.768421052631581</v>
      </c>
      <c r="DZ160" s="56">
        <f t="shared" ca="1" si="138"/>
        <v>28.768421052631581</v>
      </c>
      <c r="EA160" s="56">
        <f t="shared" ca="1" si="138"/>
        <v>28.768421052631581</v>
      </c>
      <c r="EB160" s="56">
        <f t="shared" ca="1" si="138"/>
        <v>28.768421052631581</v>
      </c>
      <c r="EC160" s="56">
        <f t="shared" ca="1" si="138"/>
        <v>28.768421052631581</v>
      </c>
      <c r="ED160" s="56">
        <f t="shared" ca="1" si="138"/>
        <v>28.768421052631581</v>
      </c>
      <c r="EE160" s="56">
        <f t="shared" ca="1" si="138"/>
        <v>28.768421052631581</v>
      </c>
      <c r="EF160" s="56">
        <f t="shared" ca="1" si="138"/>
        <v>28.768421052631581</v>
      </c>
      <c r="EG160" s="56">
        <f t="shared" ca="1" si="138"/>
        <v>28.768421052631581</v>
      </c>
      <c r="EH160" s="56">
        <f t="shared" ca="1" si="138"/>
        <v>28.768421052631581</v>
      </c>
      <c r="EI160" s="56">
        <f t="shared" ref="EI160:FN160" ca="1" si="139">$D132+($K132-$D132)*(1-COS(PI()*MIN(MAX((EI$139-($B$82-1))/$B$83,0),1)))/2</f>
        <v>28.768421052631581</v>
      </c>
      <c r="EJ160" s="56">
        <f t="shared" ca="1" si="139"/>
        <v>28.768421052631581</v>
      </c>
      <c r="EK160" s="56">
        <f t="shared" ca="1" si="139"/>
        <v>28.768421052631581</v>
      </c>
      <c r="EL160" s="56">
        <f t="shared" ca="1" si="139"/>
        <v>28.768421052631581</v>
      </c>
      <c r="EM160" s="56">
        <f t="shared" ca="1" si="139"/>
        <v>28.768421052631581</v>
      </c>
      <c r="EN160" s="56">
        <f t="shared" ca="1" si="139"/>
        <v>28.768421052631581</v>
      </c>
      <c r="EO160" s="56">
        <f t="shared" ca="1" si="139"/>
        <v>28.768421052631581</v>
      </c>
      <c r="EP160" s="56">
        <f t="shared" ca="1" si="139"/>
        <v>28.768421052631581</v>
      </c>
      <c r="EQ160" s="56">
        <f t="shared" ca="1" si="139"/>
        <v>28.768421052631581</v>
      </c>
      <c r="ER160" s="56">
        <f t="shared" ca="1" si="139"/>
        <v>28.768421052631581</v>
      </c>
      <c r="ES160" s="56">
        <f t="shared" ca="1" si="139"/>
        <v>28.768421052631581</v>
      </c>
      <c r="ET160" s="56">
        <f t="shared" ca="1" si="139"/>
        <v>28.768421052631581</v>
      </c>
      <c r="EU160" s="56">
        <f t="shared" ca="1" si="139"/>
        <v>28.768421052631581</v>
      </c>
      <c r="EV160" s="56">
        <f t="shared" ca="1" si="139"/>
        <v>28.768421052631581</v>
      </c>
      <c r="EW160" s="56">
        <f t="shared" ca="1" si="139"/>
        <v>28.768421052631581</v>
      </c>
      <c r="EX160" s="56">
        <f t="shared" ca="1" si="139"/>
        <v>28.768421052631581</v>
      </c>
      <c r="EY160" s="56">
        <f t="shared" ca="1" si="139"/>
        <v>28.768421052631581</v>
      </c>
      <c r="EZ160" s="56">
        <f t="shared" ca="1" si="139"/>
        <v>28.768421052631581</v>
      </c>
      <c r="FA160" s="56">
        <f t="shared" ca="1" si="139"/>
        <v>28.768421052631581</v>
      </c>
      <c r="FB160" s="56">
        <f t="shared" ca="1" si="139"/>
        <v>28.768421052631581</v>
      </c>
      <c r="FC160" s="56">
        <f t="shared" ca="1" si="139"/>
        <v>28.768421052631581</v>
      </c>
      <c r="FD160" s="56">
        <f t="shared" ca="1" si="139"/>
        <v>28.768421052631581</v>
      </c>
      <c r="FE160" s="56">
        <f t="shared" ca="1" si="139"/>
        <v>28.768421052631581</v>
      </c>
      <c r="FF160" s="56">
        <f t="shared" ca="1" si="139"/>
        <v>28.768421052631581</v>
      </c>
      <c r="FG160" s="56">
        <f t="shared" ca="1" si="139"/>
        <v>28.768421052631581</v>
      </c>
      <c r="FH160" s="56">
        <f t="shared" ca="1" si="139"/>
        <v>28.768421052631581</v>
      </c>
      <c r="FI160" s="56">
        <f t="shared" ca="1" si="139"/>
        <v>28.768421052631581</v>
      </c>
      <c r="FJ160" s="56">
        <f t="shared" ca="1" si="139"/>
        <v>28.768421052631581</v>
      </c>
      <c r="FK160" s="56">
        <f t="shared" ca="1" si="139"/>
        <v>28.768421052631581</v>
      </c>
      <c r="FL160" s="56">
        <f t="shared" ca="1" si="139"/>
        <v>28.768421052631581</v>
      </c>
      <c r="FM160" s="56">
        <f t="shared" ca="1" si="139"/>
        <v>28.768421052631581</v>
      </c>
      <c r="FN160" s="56">
        <f t="shared" ca="1" si="139"/>
        <v>28.768421052631581</v>
      </c>
      <c r="FO160" s="56">
        <f t="shared" ref="FO160:GP160" ca="1" si="140">$D132+($K132-$D132)*(1-COS(PI()*MIN(MAX((FO$139-($B$82-1))/$B$83,0),1)))/2</f>
        <v>28.768421052631581</v>
      </c>
      <c r="FP160" s="56">
        <f t="shared" ca="1" si="140"/>
        <v>28.768421052631581</v>
      </c>
      <c r="FQ160" s="56">
        <f t="shared" ca="1" si="140"/>
        <v>28.768421052631581</v>
      </c>
      <c r="FR160" s="56">
        <f t="shared" ca="1" si="140"/>
        <v>28.768421052631581</v>
      </c>
      <c r="FS160" s="56">
        <f t="shared" ca="1" si="140"/>
        <v>28.768421052631581</v>
      </c>
      <c r="FT160" s="56">
        <f t="shared" ca="1" si="140"/>
        <v>28.768421052631581</v>
      </c>
      <c r="FU160" s="56">
        <f t="shared" ca="1" si="140"/>
        <v>28.768421052631581</v>
      </c>
      <c r="FV160" s="56">
        <f t="shared" ca="1" si="140"/>
        <v>28.768421052631581</v>
      </c>
      <c r="FW160" s="56">
        <f t="shared" ca="1" si="140"/>
        <v>28.768421052631581</v>
      </c>
      <c r="FX160" s="56">
        <f t="shared" ca="1" si="140"/>
        <v>28.768421052631581</v>
      </c>
      <c r="FY160" s="56">
        <f t="shared" ca="1" si="140"/>
        <v>28.768421052631581</v>
      </c>
      <c r="FZ160" s="56">
        <f t="shared" ca="1" si="140"/>
        <v>28.768421052631581</v>
      </c>
      <c r="GA160" s="56">
        <f t="shared" ca="1" si="140"/>
        <v>28.768421052631581</v>
      </c>
      <c r="GB160" s="56">
        <f t="shared" ca="1" si="140"/>
        <v>28.768421052631581</v>
      </c>
      <c r="GC160" s="56">
        <f t="shared" ca="1" si="140"/>
        <v>28.768421052631581</v>
      </c>
      <c r="GD160" s="56">
        <f t="shared" ca="1" si="140"/>
        <v>28.768421052631581</v>
      </c>
      <c r="GE160" s="56">
        <f t="shared" ca="1" si="140"/>
        <v>28.768421052631581</v>
      </c>
      <c r="GF160" s="56">
        <f t="shared" ca="1" si="140"/>
        <v>28.768421052631581</v>
      </c>
      <c r="GG160" s="56">
        <f t="shared" ca="1" si="140"/>
        <v>28.768421052631581</v>
      </c>
      <c r="GH160" s="56">
        <f t="shared" ca="1" si="140"/>
        <v>28.768421052631581</v>
      </c>
      <c r="GI160" s="56">
        <f t="shared" ca="1" si="140"/>
        <v>28.768421052631581</v>
      </c>
      <c r="GJ160" s="56">
        <f t="shared" ca="1" si="140"/>
        <v>28.768421052631581</v>
      </c>
      <c r="GK160" s="56">
        <f t="shared" ca="1" si="140"/>
        <v>28.768421052631581</v>
      </c>
      <c r="GL160" s="56">
        <f t="shared" ca="1" si="140"/>
        <v>28.768421052631581</v>
      </c>
      <c r="GM160" s="56">
        <f t="shared" ca="1" si="140"/>
        <v>28.768421052631581</v>
      </c>
      <c r="GN160" s="56">
        <f t="shared" ca="1" si="140"/>
        <v>28.768421052631581</v>
      </c>
      <c r="GO160" s="56">
        <f t="shared" ca="1" si="140"/>
        <v>28.768421052631581</v>
      </c>
      <c r="GP160" s="56">
        <f t="shared" ca="1" si="140"/>
        <v>28.768421052631581</v>
      </c>
    </row>
    <row r="161" spans="1:198" x14ac:dyDescent="0.35">
      <c r="A161" s="55" t="str">
        <f t="shared" si="26"/>
        <v>Canada &gt; available in future</v>
      </c>
      <c r="B161" s="55" t="s">
        <v>298</v>
      </c>
      <c r="K161" s="56">
        <f t="shared" ref="K161:AP161" ca="1" si="141">$D133+($K133-$D133)*(1-COS(PI()*MIN(MAX((K$139-($B$82-1))/$B$83,0),1)))/2</f>
        <v>30.778947368421047</v>
      </c>
      <c r="L161" s="56">
        <f t="shared" ca="1" si="141"/>
        <v>30.778947368421047</v>
      </c>
      <c r="M161" s="56">
        <f t="shared" ca="1" si="141"/>
        <v>30.778947368421047</v>
      </c>
      <c r="N161" s="56">
        <f t="shared" ca="1" si="141"/>
        <v>30.778947368421047</v>
      </c>
      <c r="O161" s="56">
        <f t="shared" ca="1" si="141"/>
        <v>30.778947368421047</v>
      </c>
      <c r="P161" s="56">
        <f t="shared" ca="1" si="141"/>
        <v>30.778947368421047</v>
      </c>
      <c r="Q161" s="56">
        <f t="shared" ca="1" si="141"/>
        <v>30.778947368421047</v>
      </c>
      <c r="R161" s="56">
        <f t="shared" ca="1" si="141"/>
        <v>30.778947368421047</v>
      </c>
      <c r="S161" s="56">
        <f t="shared" ca="1" si="141"/>
        <v>30.778947368421047</v>
      </c>
      <c r="T161" s="56">
        <f t="shared" ca="1" si="141"/>
        <v>30.778947368421047</v>
      </c>
      <c r="U161" s="56">
        <f t="shared" ca="1" si="141"/>
        <v>30.778307153302471</v>
      </c>
      <c r="V161" s="56">
        <f t="shared" ca="1" si="141"/>
        <v>30.776387874198068</v>
      </c>
      <c r="W161" s="56">
        <f t="shared" ca="1" si="141"/>
        <v>30.773193626946171</v>
      </c>
      <c r="X161" s="56">
        <f t="shared" ca="1" si="141"/>
        <v>30.768731228231388</v>
      </c>
      <c r="Y161" s="56">
        <f t="shared" ca="1" si="141"/>
        <v>30.763010201037464</v>
      </c>
      <c r="Z161" s="56">
        <f t="shared" ca="1" si="141"/>
        <v>30.756042754324739</v>
      </c>
      <c r="AA161" s="56">
        <f t="shared" ca="1" si="141"/>
        <v>30.747843756975627</v>
      </c>
      <c r="AB161" s="56">
        <f t="shared" ca="1" si="141"/>
        <v>30.73843070606366</v>
      </c>
      <c r="AC161" s="56">
        <f t="shared" ca="1" si="141"/>
        <v>30.727823689513858</v>
      </c>
      <c r="AD161" s="56">
        <f t="shared" ca="1" si="141"/>
        <v>30.716045343234086</v>
      </c>
      <c r="AE161" s="56">
        <f t="shared" ca="1" si="141"/>
        <v>30.703120802808868</v>
      </c>
      <c r="AF161" s="56">
        <f t="shared" ca="1" si="141"/>
        <v>30.689077649858817</v>
      </c>
      <c r="AG161" s="56">
        <f t="shared" ca="1" si="141"/>
        <v>30.67394585318003</v>
      </c>
      <c r="AH161" s="56">
        <f t="shared" ca="1" si="141"/>
        <v>30.657757704789191</v>
      </c>
      <c r="AI161" s="56">
        <f t="shared" ca="1" si="141"/>
        <v>30.640547751010775</v>
      </c>
      <c r="AJ161" s="56">
        <f t="shared" ca="1" si="141"/>
        <v>30.622352718753444</v>
      </c>
      <c r="AK161" s="56">
        <f t="shared" ca="1" si="141"/>
        <v>30.603211437132977</v>
      </c>
      <c r="AL161" s="56">
        <f t="shared" ca="1" si="141"/>
        <v>30.583164754608983</v>
      </c>
      <c r="AM161" s="56">
        <f t="shared" ca="1" si="141"/>
        <v>30.562255451812224</v>
      </c>
      <c r="AN161" s="56">
        <f t="shared" ca="1" si="141"/>
        <v>30.540528150248601</v>
      </c>
      <c r="AO161" s="56">
        <f t="shared" ca="1" si="141"/>
        <v>30.518029217074602</v>
      </c>
      <c r="AP161" s="56">
        <f t="shared" ca="1" si="141"/>
        <v>30.494806666147461</v>
      </c>
      <c r="AQ161" s="56">
        <f t="shared" ref="AQ161:BV161" ca="1" si="142">$D133+($K133-$D133)*(1-COS(PI()*MIN(MAX((AQ$139-($B$82-1))/$B$83,0),1)))/2</f>
        <v>30.470910055561163</v>
      </c>
      <c r="AR161" s="56">
        <f t="shared" ca="1" si="142"/>
        <v>30.446390381886971</v>
      </c>
      <c r="AS161" s="56">
        <f t="shared" ca="1" si="142"/>
        <v>30.421299971344187</v>
      </c>
      <c r="AT161" s="56">
        <f t="shared" ca="1" si="142"/>
        <v>30.395692368133343</v>
      </c>
      <c r="AU161" s="56">
        <f t="shared" ca="1" si="142"/>
        <v>30.369622220170189</v>
      </c>
      <c r="AV161" s="56">
        <f t="shared" ca="1" si="142"/>
        <v>30.3431451624643</v>
      </c>
      <c r="AW161" s="56">
        <f t="shared" ca="1" si="142"/>
        <v>30.316317698391131</v>
      </c>
      <c r="AX161" s="56">
        <f t="shared" ca="1" si="142"/>
        <v>30.289197079110991</v>
      </c>
      <c r="AY161" s="56">
        <f t="shared" ca="1" si="142"/>
        <v>30.261841181392178</v>
      </c>
      <c r="AZ161" s="56">
        <f t="shared" ca="1" si="142"/>
        <v>30.23430838409903</v>
      </c>
      <c r="BA161" s="56">
        <f t="shared" ca="1" si="142"/>
        <v>30.206657443608496</v>
      </c>
      <c r="BB161" s="56">
        <f t="shared" ca="1" si="142"/>
        <v>30.178947368421053</v>
      </c>
      <c r="BC161" s="56">
        <f t="shared" ca="1" si="142"/>
        <v>30.151237293233606</v>
      </c>
      <c r="BD161" s="56">
        <f t="shared" ca="1" si="142"/>
        <v>30.123586352743072</v>
      </c>
      <c r="BE161" s="56">
        <f t="shared" ca="1" si="142"/>
        <v>30.096053555449924</v>
      </c>
      <c r="BF161" s="56">
        <f t="shared" ca="1" si="142"/>
        <v>30.068697657731111</v>
      </c>
      <c r="BG161" s="56">
        <f t="shared" ca="1" si="142"/>
        <v>30.041577038450971</v>
      </c>
      <c r="BH161" s="56">
        <f t="shared" ca="1" si="142"/>
        <v>30.014749574377802</v>
      </c>
      <c r="BI161" s="56">
        <f t="shared" ca="1" si="142"/>
        <v>29.988272516671913</v>
      </c>
      <c r="BJ161" s="56">
        <f t="shared" ca="1" si="142"/>
        <v>29.962202368708759</v>
      </c>
      <c r="BK161" s="56">
        <f t="shared" ca="1" si="142"/>
        <v>29.936594765497915</v>
      </c>
      <c r="BL161" s="56">
        <f t="shared" ca="1" si="142"/>
        <v>29.911504354955131</v>
      </c>
      <c r="BM161" s="56">
        <f t="shared" ca="1" si="142"/>
        <v>29.886984681280939</v>
      </c>
      <c r="BN161" s="56">
        <f t="shared" ca="1" si="142"/>
        <v>29.863088070694641</v>
      </c>
      <c r="BO161" s="56">
        <f t="shared" ca="1" si="142"/>
        <v>29.8398655197675</v>
      </c>
      <c r="BP161" s="56">
        <f t="shared" ca="1" si="142"/>
        <v>29.817366586593501</v>
      </c>
      <c r="BQ161" s="56">
        <f t="shared" ca="1" si="142"/>
        <v>29.795639285029878</v>
      </c>
      <c r="BR161" s="56">
        <f t="shared" ca="1" si="142"/>
        <v>29.774729982233119</v>
      </c>
      <c r="BS161" s="56">
        <f t="shared" ca="1" si="142"/>
        <v>29.754683299709125</v>
      </c>
      <c r="BT161" s="56">
        <f t="shared" ca="1" si="142"/>
        <v>29.735542018088658</v>
      </c>
      <c r="BU161" s="56">
        <f t="shared" ca="1" si="142"/>
        <v>29.717346985831327</v>
      </c>
      <c r="BV161" s="56">
        <f t="shared" ca="1" si="142"/>
        <v>29.700137032052911</v>
      </c>
      <c r="BW161" s="56">
        <f t="shared" ref="BW161:DB161" ca="1" si="143">$D133+($K133-$D133)*(1-COS(PI()*MIN(MAX((BW$139-($B$82-1))/$B$83,0),1)))/2</f>
        <v>29.683948883662072</v>
      </c>
      <c r="BX161" s="56">
        <f t="shared" ca="1" si="143"/>
        <v>29.668817086983285</v>
      </c>
      <c r="BY161" s="56">
        <f t="shared" ca="1" si="143"/>
        <v>29.654773934033233</v>
      </c>
      <c r="BZ161" s="56">
        <f t="shared" ca="1" si="143"/>
        <v>29.641849393608016</v>
      </c>
      <c r="CA161" s="56">
        <f t="shared" ca="1" si="143"/>
        <v>29.630071047328244</v>
      </c>
      <c r="CB161" s="56">
        <f t="shared" ca="1" si="143"/>
        <v>29.619464030778442</v>
      </c>
      <c r="CC161" s="56">
        <f t="shared" ca="1" si="143"/>
        <v>29.610050979866475</v>
      </c>
      <c r="CD161" s="56">
        <f t="shared" ca="1" si="143"/>
        <v>29.601851982517363</v>
      </c>
      <c r="CE161" s="56">
        <f t="shared" ca="1" si="143"/>
        <v>29.594884535804638</v>
      </c>
      <c r="CF161" s="56">
        <f t="shared" ca="1" si="143"/>
        <v>29.589163508610714</v>
      </c>
      <c r="CG161" s="56">
        <f t="shared" ca="1" si="143"/>
        <v>29.584701109895931</v>
      </c>
      <c r="CH161" s="56">
        <f t="shared" ca="1" si="143"/>
        <v>29.581506862644034</v>
      </c>
      <c r="CI161" s="56">
        <f t="shared" ca="1" si="143"/>
        <v>29.579587583539631</v>
      </c>
      <c r="CJ161" s="56">
        <f t="shared" ca="1" si="143"/>
        <v>29.578947368421055</v>
      </c>
      <c r="CK161" s="56">
        <f t="shared" ca="1" si="143"/>
        <v>29.578947368421055</v>
      </c>
      <c r="CL161" s="56">
        <f t="shared" ca="1" si="143"/>
        <v>29.578947368421055</v>
      </c>
      <c r="CM161" s="56">
        <f t="shared" ca="1" si="143"/>
        <v>29.578947368421055</v>
      </c>
      <c r="CN161" s="56">
        <f t="shared" ca="1" si="143"/>
        <v>29.578947368421055</v>
      </c>
      <c r="CO161" s="56">
        <f t="shared" ca="1" si="143"/>
        <v>29.578947368421055</v>
      </c>
      <c r="CP161" s="56">
        <f t="shared" ca="1" si="143"/>
        <v>29.578947368421055</v>
      </c>
      <c r="CQ161" s="56">
        <f t="shared" ca="1" si="143"/>
        <v>29.578947368421055</v>
      </c>
      <c r="CR161" s="56">
        <f t="shared" ca="1" si="143"/>
        <v>29.578947368421055</v>
      </c>
      <c r="CS161" s="56">
        <f t="shared" ca="1" si="143"/>
        <v>29.578947368421055</v>
      </c>
      <c r="CT161" s="56">
        <f t="shared" ca="1" si="143"/>
        <v>29.578947368421055</v>
      </c>
      <c r="CU161" s="56">
        <f t="shared" ca="1" si="143"/>
        <v>29.578947368421055</v>
      </c>
      <c r="CV161" s="56">
        <f t="shared" ca="1" si="143"/>
        <v>29.578947368421055</v>
      </c>
      <c r="CW161" s="56">
        <f t="shared" ca="1" si="143"/>
        <v>29.578947368421055</v>
      </c>
      <c r="CX161" s="56">
        <f t="shared" ca="1" si="143"/>
        <v>29.578947368421055</v>
      </c>
      <c r="CY161" s="56">
        <f t="shared" ca="1" si="143"/>
        <v>29.578947368421055</v>
      </c>
      <c r="CZ161" s="56">
        <f t="shared" ca="1" si="143"/>
        <v>29.578947368421055</v>
      </c>
      <c r="DA161" s="56">
        <f t="shared" ca="1" si="143"/>
        <v>29.578947368421055</v>
      </c>
      <c r="DB161" s="56">
        <f t="shared" ca="1" si="143"/>
        <v>29.578947368421055</v>
      </c>
      <c r="DC161" s="56">
        <f t="shared" ref="DC161:EH161" ca="1" si="144">$D133+($K133-$D133)*(1-COS(PI()*MIN(MAX((DC$139-($B$82-1))/$B$83,0),1)))/2</f>
        <v>29.578947368421055</v>
      </c>
      <c r="DD161" s="56">
        <f t="shared" ca="1" si="144"/>
        <v>29.578947368421055</v>
      </c>
      <c r="DE161" s="56">
        <f t="shared" ca="1" si="144"/>
        <v>29.578947368421055</v>
      </c>
      <c r="DF161" s="56">
        <f t="shared" ca="1" si="144"/>
        <v>29.578947368421055</v>
      </c>
      <c r="DG161" s="56">
        <f t="shared" ca="1" si="144"/>
        <v>29.578947368421055</v>
      </c>
      <c r="DH161" s="56">
        <f t="shared" ca="1" si="144"/>
        <v>29.578947368421055</v>
      </c>
      <c r="DI161" s="56">
        <f t="shared" ca="1" si="144"/>
        <v>29.578947368421055</v>
      </c>
      <c r="DJ161" s="56">
        <f t="shared" ca="1" si="144"/>
        <v>29.578947368421055</v>
      </c>
      <c r="DK161" s="56">
        <f t="shared" ca="1" si="144"/>
        <v>29.578947368421055</v>
      </c>
      <c r="DL161" s="56">
        <f t="shared" ca="1" si="144"/>
        <v>29.578947368421055</v>
      </c>
      <c r="DM161" s="56">
        <f t="shared" ca="1" si="144"/>
        <v>29.578947368421055</v>
      </c>
      <c r="DN161" s="56">
        <f t="shared" ca="1" si="144"/>
        <v>29.578947368421055</v>
      </c>
      <c r="DO161" s="56">
        <f t="shared" ca="1" si="144"/>
        <v>29.578947368421055</v>
      </c>
      <c r="DP161" s="56">
        <f t="shared" ca="1" si="144"/>
        <v>29.578947368421055</v>
      </c>
      <c r="DQ161" s="56">
        <f t="shared" ca="1" si="144"/>
        <v>29.578947368421055</v>
      </c>
      <c r="DR161" s="56">
        <f t="shared" ca="1" si="144"/>
        <v>29.578947368421055</v>
      </c>
      <c r="DS161" s="56">
        <f t="shared" ca="1" si="144"/>
        <v>29.578947368421055</v>
      </c>
      <c r="DT161" s="56">
        <f t="shared" ca="1" si="144"/>
        <v>29.578947368421055</v>
      </c>
      <c r="DU161" s="56">
        <f t="shared" ca="1" si="144"/>
        <v>29.578947368421055</v>
      </c>
      <c r="DV161" s="56">
        <f t="shared" ca="1" si="144"/>
        <v>29.578947368421055</v>
      </c>
      <c r="DW161" s="56">
        <f t="shared" ca="1" si="144"/>
        <v>29.578947368421055</v>
      </c>
      <c r="DX161" s="56">
        <f t="shared" ca="1" si="144"/>
        <v>29.578947368421055</v>
      </c>
      <c r="DY161" s="56">
        <f t="shared" ca="1" si="144"/>
        <v>29.578947368421055</v>
      </c>
      <c r="DZ161" s="56">
        <f t="shared" ca="1" si="144"/>
        <v>29.578947368421055</v>
      </c>
      <c r="EA161" s="56">
        <f t="shared" ca="1" si="144"/>
        <v>29.578947368421055</v>
      </c>
      <c r="EB161" s="56">
        <f t="shared" ca="1" si="144"/>
        <v>29.578947368421055</v>
      </c>
      <c r="EC161" s="56">
        <f t="shared" ca="1" si="144"/>
        <v>29.578947368421055</v>
      </c>
      <c r="ED161" s="56">
        <f t="shared" ca="1" si="144"/>
        <v>29.578947368421055</v>
      </c>
      <c r="EE161" s="56">
        <f t="shared" ca="1" si="144"/>
        <v>29.578947368421055</v>
      </c>
      <c r="EF161" s="56">
        <f t="shared" ca="1" si="144"/>
        <v>29.578947368421055</v>
      </c>
      <c r="EG161" s="56">
        <f t="shared" ca="1" si="144"/>
        <v>29.578947368421055</v>
      </c>
      <c r="EH161" s="56">
        <f t="shared" ca="1" si="144"/>
        <v>29.578947368421055</v>
      </c>
      <c r="EI161" s="56">
        <f t="shared" ref="EI161:FN161" ca="1" si="145">$D133+($K133-$D133)*(1-COS(PI()*MIN(MAX((EI$139-($B$82-1))/$B$83,0),1)))/2</f>
        <v>29.578947368421055</v>
      </c>
      <c r="EJ161" s="56">
        <f t="shared" ca="1" si="145"/>
        <v>29.578947368421055</v>
      </c>
      <c r="EK161" s="56">
        <f t="shared" ca="1" si="145"/>
        <v>29.578947368421055</v>
      </c>
      <c r="EL161" s="56">
        <f t="shared" ca="1" si="145"/>
        <v>29.578947368421055</v>
      </c>
      <c r="EM161" s="56">
        <f t="shared" ca="1" si="145"/>
        <v>29.578947368421055</v>
      </c>
      <c r="EN161" s="56">
        <f t="shared" ca="1" si="145"/>
        <v>29.578947368421055</v>
      </c>
      <c r="EO161" s="56">
        <f t="shared" ca="1" si="145"/>
        <v>29.578947368421055</v>
      </c>
      <c r="EP161" s="56">
        <f t="shared" ca="1" si="145"/>
        <v>29.578947368421055</v>
      </c>
      <c r="EQ161" s="56">
        <f t="shared" ca="1" si="145"/>
        <v>29.578947368421055</v>
      </c>
      <c r="ER161" s="56">
        <f t="shared" ca="1" si="145"/>
        <v>29.578947368421055</v>
      </c>
      <c r="ES161" s="56">
        <f t="shared" ca="1" si="145"/>
        <v>29.578947368421055</v>
      </c>
      <c r="ET161" s="56">
        <f t="shared" ca="1" si="145"/>
        <v>29.578947368421055</v>
      </c>
      <c r="EU161" s="56">
        <f t="shared" ca="1" si="145"/>
        <v>29.578947368421055</v>
      </c>
      <c r="EV161" s="56">
        <f t="shared" ca="1" si="145"/>
        <v>29.578947368421055</v>
      </c>
      <c r="EW161" s="56">
        <f t="shared" ca="1" si="145"/>
        <v>29.578947368421055</v>
      </c>
      <c r="EX161" s="56">
        <f t="shared" ca="1" si="145"/>
        <v>29.578947368421055</v>
      </c>
      <c r="EY161" s="56">
        <f t="shared" ca="1" si="145"/>
        <v>29.578947368421055</v>
      </c>
      <c r="EZ161" s="56">
        <f t="shared" ca="1" si="145"/>
        <v>29.578947368421055</v>
      </c>
      <c r="FA161" s="56">
        <f t="shared" ca="1" si="145"/>
        <v>29.578947368421055</v>
      </c>
      <c r="FB161" s="56">
        <f t="shared" ca="1" si="145"/>
        <v>29.578947368421055</v>
      </c>
      <c r="FC161" s="56">
        <f t="shared" ca="1" si="145"/>
        <v>29.578947368421055</v>
      </c>
      <c r="FD161" s="56">
        <f t="shared" ca="1" si="145"/>
        <v>29.578947368421055</v>
      </c>
      <c r="FE161" s="56">
        <f t="shared" ca="1" si="145"/>
        <v>29.578947368421055</v>
      </c>
      <c r="FF161" s="56">
        <f t="shared" ca="1" si="145"/>
        <v>29.578947368421055</v>
      </c>
      <c r="FG161" s="56">
        <f t="shared" ca="1" si="145"/>
        <v>29.578947368421055</v>
      </c>
      <c r="FH161" s="56">
        <f t="shared" ca="1" si="145"/>
        <v>29.578947368421055</v>
      </c>
      <c r="FI161" s="56">
        <f t="shared" ca="1" si="145"/>
        <v>29.578947368421055</v>
      </c>
      <c r="FJ161" s="56">
        <f t="shared" ca="1" si="145"/>
        <v>29.578947368421055</v>
      </c>
      <c r="FK161" s="56">
        <f t="shared" ca="1" si="145"/>
        <v>29.578947368421055</v>
      </c>
      <c r="FL161" s="56">
        <f t="shared" ca="1" si="145"/>
        <v>29.578947368421055</v>
      </c>
      <c r="FM161" s="56">
        <f t="shared" ca="1" si="145"/>
        <v>29.578947368421055</v>
      </c>
      <c r="FN161" s="56">
        <f t="shared" ca="1" si="145"/>
        <v>29.578947368421055</v>
      </c>
      <c r="FO161" s="56">
        <f t="shared" ref="FO161:GP161" ca="1" si="146">$D133+($K133-$D133)*(1-COS(PI()*MIN(MAX((FO$139-($B$82-1))/$B$83,0),1)))/2</f>
        <v>29.578947368421055</v>
      </c>
      <c r="FP161" s="56">
        <f t="shared" ca="1" si="146"/>
        <v>29.578947368421055</v>
      </c>
      <c r="FQ161" s="56">
        <f t="shared" ca="1" si="146"/>
        <v>29.578947368421055</v>
      </c>
      <c r="FR161" s="56">
        <f t="shared" ca="1" si="146"/>
        <v>29.578947368421055</v>
      </c>
      <c r="FS161" s="56">
        <f t="shared" ca="1" si="146"/>
        <v>29.578947368421055</v>
      </c>
      <c r="FT161" s="56">
        <f t="shared" ca="1" si="146"/>
        <v>29.578947368421055</v>
      </c>
      <c r="FU161" s="56">
        <f t="shared" ca="1" si="146"/>
        <v>29.578947368421055</v>
      </c>
      <c r="FV161" s="56">
        <f t="shared" ca="1" si="146"/>
        <v>29.578947368421055</v>
      </c>
      <c r="FW161" s="56">
        <f t="shared" ca="1" si="146"/>
        <v>29.578947368421055</v>
      </c>
      <c r="FX161" s="56">
        <f t="shared" ca="1" si="146"/>
        <v>29.578947368421055</v>
      </c>
      <c r="FY161" s="56">
        <f t="shared" ca="1" si="146"/>
        <v>29.578947368421055</v>
      </c>
      <c r="FZ161" s="56">
        <f t="shared" ca="1" si="146"/>
        <v>29.578947368421055</v>
      </c>
      <c r="GA161" s="56">
        <f t="shared" ca="1" si="146"/>
        <v>29.578947368421055</v>
      </c>
      <c r="GB161" s="56">
        <f t="shared" ca="1" si="146"/>
        <v>29.578947368421055</v>
      </c>
      <c r="GC161" s="56">
        <f t="shared" ca="1" si="146"/>
        <v>29.578947368421055</v>
      </c>
      <c r="GD161" s="56">
        <f t="shared" ca="1" si="146"/>
        <v>29.578947368421055</v>
      </c>
      <c r="GE161" s="56">
        <f t="shared" ca="1" si="146"/>
        <v>29.578947368421055</v>
      </c>
      <c r="GF161" s="56">
        <f t="shared" ca="1" si="146"/>
        <v>29.578947368421055</v>
      </c>
      <c r="GG161" s="56">
        <f t="shared" ca="1" si="146"/>
        <v>29.578947368421055</v>
      </c>
      <c r="GH161" s="56">
        <f t="shared" ca="1" si="146"/>
        <v>29.578947368421055</v>
      </c>
      <c r="GI161" s="56">
        <f t="shared" ca="1" si="146"/>
        <v>29.578947368421055</v>
      </c>
      <c r="GJ161" s="56">
        <f t="shared" ca="1" si="146"/>
        <v>29.578947368421055</v>
      </c>
      <c r="GK161" s="56">
        <f t="shared" ca="1" si="146"/>
        <v>29.578947368421055</v>
      </c>
      <c r="GL161" s="56">
        <f t="shared" ca="1" si="146"/>
        <v>29.578947368421055</v>
      </c>
      <c r="GM161" s="56">
        <f t="shared" ca="1" si="146"/>
        <v>29.578947368421055</v>
      </c>
      <c r="GN161" s="56">
        <f t="shared" ca="1" si="146"/>
        <v>29.578947368421055</v>
      </c>
      <c r="GO161" s="56">
        <f t="shared" ca="1" si="146"/>
        <v>29.578947368421055</v>
      </c>
      <c r="GP161" s="56">
        <f t="shared" ca="1" si="146"/>
        <v>29.578947368421055</v>
      </c>
    </row>
    <row r="162" spans="1:198" x14ac:dyDescent="0.35">
      <c r="A162" s="55" t="str">
        <f t="shared" si="26"/>
        <v>Other &gt; available in future</v>
      </c>
      <c r="B162" s="55" t="s">
        <v>298</v>
      </c>
      <c r="K162" s="56">
        <f t="shared" ref="K162:AP162" ca="1" si="147">$D134+($K134-$D134)*(1-COS(PI()*MIN(MAX((K$139-($B$82-1))/$B$83,0),1)))/2</f>
        <v>32.79999999999999</v>
      </c>
      <c r="L162" s="56">
        <f t="shared" ca="1" si="147"/>
        <v>32.79999999999999</v>
      </c>
      <c r="M162" s="56">
        <f t="shared" ca="1" si="147"/>
        <v>32.79999999999999</v>
      </c>
      <c r="N162" s="56">
        <f t="shared" ca="1" si="147"/>
        <v>32.79999999999999</v>
      </c>
      <c r="O162" s="56">
        <f t="shared" ca="1" si="147"/>
        <v>32.79999999999999</v>
      </c>
      <c r="P162" s="56">
        <f t="shared" ca="1" si="147"/>
        <v>32.79999999999999</v>
      </c>
      <c r="Q162" s="56">
        <f t="shared" ca="1" si="147"/>
        <v>32.79999999999999</v>
      </c>
      <c r="R162" s="56">
        <f t="shared" ca="1" si="147"/>
        <v>32.79999999999999</v>
      </c>
      <c r="S162" s="56">
        <f t="shared" ca="1" si="147"/>
        <v>32.79999999999999</v>
      </c>
      <c r="T162" s="56">
        <f t="shared" ca="1" si="147"/>
        <v>32.79999999999999</v>
      </c>
      <c r="U162" s="56">
        <f t="shared" ca="1" si="147"/>
        <v>32.799146379841886</v>
      </c>
      <c r="V162" s="56">
        <f t="shared" ca="1" si="147"/>
        <v>32.796587341036016</v>
      </c>
      <c r="W162" s="56">
        <f t="shared" ca="1" si="147"/>
        <v>32.792328344700152</v>
      </c>
      <c r="X162" s="56">
        <f t="shared" ca="1" si="147"/>
        <v>32.786378479747114</v>
      </c>
      <c r="Y162" s="56">
        <f t="shared" ca="1" si="147"/>
        <v>32.778750443488548</v>
      </c>
      <c r="Z162" s="56">
        <f t="shared" ca="1" si="147"/>
        <v>32.769460514538245</v>
      </c>
      <c r="AA162" s="56">
        <f t="shared" ca="1" si="147"/>
        <v>32.758528518072765</v>
      </c>
      <c r="AB162" s="56">
        <f t="shared" ca="1" si="147"/>
        <v>32.745977783523472</v>
      </c>
      <c r="AC162" s="56">
        <f t="shared" ca="1" si="147"/>
        <v>32.731835094790405</v>
      </c>
      <c r="AD162" s="56">
        <f t="shared" ca="1" si="147"/>
        <v>32.716130633084042</v>
      </c>
      <c r="AE162" s="56">
        <f t="shared" ca="1" si="147"/>
        <v>32.69889791251709</v>
      </c>
      <c r="AF162" s="56">
        <f t="shared" ca="1" si="147"/>
        <v>32.680173708583681</v>
      </c>
      <c r="AG162" s="56">
        <f t="shared" ca="1" si="147"/>
        <v>32.659997979678636</v>
      </c>
      <c r="AH162" s="56">
        <f t="shared" ca="1" si="147"/>
        <v>32.638413781824184</v>
      </c>
      <c r="AI162" s="56">
        <f t="shared" ca="1" si="147"/>
        <v>32.615467176786296</v>
      </c>
      <c r="AJ162" s="56">
        <f t="shared" ca="1" si="147"/>
        <v>32.591207133776521</v>
      </c>
      <c r="AK162" s="56">
        <f t="shared" ca="1" si="147"/>
        <v>32.56568542494923</v>
      </c>
      <c r="AL162" s="56">
        <f t="shared" ca="1" si="147"/>
        <v>32.538956514917238</v>
      </c>
      <c r="AM162" s="56">
        <f t="shared" ca="1" si="147"/>
        <v>32.511077444521561</v>
      </c>
      <c r="AN162" s="56">
        <f t="shared" ca="1" si="147"/>
        <v>32.482107709103396</v>
      </c>
      <c r="AO162" s="56">
        <f t="shared" ca="1" si="147"/>
        <v>32.452109131538066</v>
      </c>
      <c r="AP162" s="56">
        <f t="shared" ca="1" si="147"/>
        <v>32.42114573030188</v>
      </c>
      <c r="AQ162" s="56">
        <f t="shared" ref="AQ162:BV162" ca="1" si="148">$D134+($K134-$D134)*(1-COS(PI()*MIN(MAX((AQ$139-($B$82-1))/$B$83,0),1)))/2</f>
        <v>32.38928358285348</v>
      </c>
      <c r="AR162" s="56">
        <f t="shared" ca="1" si="148"/>
        <v>32.356590684621224</v>
      </c>
      <c r="AS162" s="56">
        <f t="shared" ca="1" si="148"/>
        <v>32.323136803897512</v>
      </c>
      <c r="AT162" s="56">
        <f t="shared" ca="1" si="148"/>
        <v>32.288993332949715</v>
      </c>
      <c r="AU162" s="56">
        <f t="shared" ca="1" si="148"/>
        <v>32.254233135665515</v>
      </c>
      <c r="AV162" s="56">
        <f t="shared" ca="1" si="148"/>
        <v>32.218930392057658</v>
      </c>
      <c r="AW162" s="56">
        <f t="shared" ca="1" si="148"/>
        <v>32.183160439960105</v>
      </c>
      <c r="AX162" s="56">
        <f t="shared" ca="1" si="148"/>
        <v>32.146999614253254</v>
      </c>
      <c r="AY162" s="56">
        <f t="shared" ca="1" si="148"/>
        <v>32.110525083961498</v>
      </c>
      <c r="AZ162" s="56">
        <f t="shared" ca="1" si="148"/>
        <v>32.073814687570639</v>
      </c>
      <c r="BA162" s="56">
        <f t="shared" ca="1" si="148"/>
        <v>32.036946766916586</v>
      </c>
      <c r="BB162" s="56">
        <f t="shared" ca="1" si="148"/>
        <v>31.999999999999996</v>
      </c>
      <c r="BC162" s="56">
        <f t="shared" ca="1" si="148"/>
        <v>31.963053233083404</v>
      </c>
      <c r="BD162" s="56">
        <f t="shared" ca="1" si="148"/>
        <v>31.926185312429357</v>
      </c>
      <c r="BE162" s="56">
        <f t="shared" ca="1" si="148"/>
        <v>31.889474916038491</v>
      </c>
      <c r="BF162" s="56">
        <f t="shared" ca="1" si="148"/>
        <v>31.853000385746743</v>
      </c>
      <c r="BG162" s="56">
        <f t="shared" ca="1" si="148"/>
        <v>31.816839560039892</v>
      </c>
      <c r="BH162" s="56">
        <f t="shared" ca="1" si="148"/>
        <v>31.781069607942332</v>
      </c>
      <c r="BI162" s="56">
        <f t="shared" ca="1" si="148"/>
        <v>31.745766864334477</v>
      </c>
      <c r="BJ162" s="56">
        <f t="shared" ca="1" si="148"/>
        <v>31.711006667050277</v>
      </c>
      <c r="BK162" s="56">
        <f t="shared" ca="1" si="148"/>
        <v>31.676863196102484</v>
      </c>
      <c r="BL162" s="56">
        <f t="shared" ca="1" si="148"/>
        <v>31.643409315378769</v>
      </c>
      <c r="BM162" s="56">
        <f t="shared" ca="1" si="148"/>
        <v>31.610716417146513</v>
      </c>
      <c r="BN162" s="56">
        <f t="shared" ca="1" si="148"/>
        <v>31.578854269698116</v>
      </c>
      <c r="BO162" s="56">
        <f t="shared" ca="1" si="148"/>
        <v>31.547890868461927</v>
      </c>
      <c r="BP162" s="56">
        <f t="shared" ca="1" si="148"/>
        <v>31.517892290896594</v>
      </c>
      <c r="BQ162" s="56">
        <f t="shared" ca="1" si="148"/>
        <v>31.488922555478432</v>
      </c>
      <c r="BR162" s="56">
        <f t="shared" ca="1" si="148"/>
        <v>31.461043485082755</v>
      </c>
      <c r="BS162" s="56">
        <f t="shared" ca="1" si="148"/>
        <v>31.434314575050763</v>
      </c>
      <c r="BT162" s="56">
        <f t="shared" ca="1" si="148"/>
        <v>31.408792866223475</v>
      </c>
      <c r="BU162" s="56">
        <f t="shared" ca="1" si="148"/>
        <v>31.384532823213696</v>
      </c>
      <c r="BV162" s="56">
        <f t="shared" ca="1" si="148"/>
        <v>31.361586218175809</v>
      </c>
      <c r="BW162" s="56">
        <f t="shared" ref="BW162:DB162" ca="1" si="149">$D134+($K134-$D134)*(1-COS(PI()*MIN(MAX((BW$139-($B$82-1))/$B$83,0),1)))/2</f>
        <v>31.340002020321361</v>
      </c>
      <c r="BX162" s="56">
        <f t="shared" ca="1" si="149"/>
        <v>31.319826291416312</v>
      </c>
      <c r="BY162" s="56">
        <f t="shared" ca="1" si="149"/>
        <v>31.301102087482906</v>
      </c>
      <c r="BZ162" s="56">
        <f t="shared" ca="1" si="149"/>
        <v>31.283869366915951</v>
      </c>
      <c r="CA162" s="56">
        <f t="shared" ca="1" si="149"/>
        <v>31.268164905209584</v>
      </c>
      <c r="CB162" s="56">
        <f t="shared" ca="1" si="149"/>
        <v>31.254022216476518</v>
      </c>
      <c r="CC162" s="56">
        <f t="shared" ca="1" si="149"/>
        <v>31.241471481927231</v>
      </c>
      <c r="CD162" s="56">
        <f t="shared" ca="1" si="149"/>
        <v>31.230539485461748</v>
      </c>
      <c r="CE162" s="56">
        <f t="shared" ca="1" si="149"/>
        <v>31.221249556511449</v>
      </c>
      <c r="CF162" s="56">
        <f t="shared" ca="1" si="149"/>
        <v>31.213621520252882</v>
      </c>
      <c r="CG162" s="56">
        <f t="shared" ca="1" si="149"/>
        <v>31.207671655299841</v>
      </c>
      <c r="CH162" s="56">
        <f t="shared" ca="1" si="149"/>
        <v>31.203412658963977</v>
      </c>
      <c r="CI162" s="56">
        <f t="shared" ca="1" si="149"/>
        <v>31.200853620158107</v>
      </c>
      <c r="CJ162" s="56">
        <f t="shared" ca="1" si="149"/>
        <v>31.200000000000003</v>
      </c>
      <c r="CK162" s="56">
        <f t="shared" ca="1" si="149"/>
        <v>31.200000000000003</v>
      </c>
      <c r="CL162" s="56">
        <f t="shared" ca="1" si="149"/>
        <v>31.200000000000003</v>
      </c>
      <c r="CM162" s="56">
        <f t="shared" ca="1" si="149"/>
        <v>31.200000000000003</v>
      </c>
      <c r="CN162" s="56">
        <f t="shared" ca="1" si="149"/>
        <v>31.200000000000003</v>
      </c>
      <c r="CO162" s="56">
        <f t="shared" ca="1" si="149"/>
        <v>31.200000000000003</v>
      </c>
      <c r="CP162" s="56">
        <f t="shared" ca="1" si="149"/>
        <v>31.200000000000003</v>
      </c>
      <c r="CQ162" s="56">
        <f t="shared" ca="1" si="149"/>
        <v>31.200000000000003</v>
      </c>
      <c r="CR162" s="56">
        <f t="shared" ca="1" si="149"/>
        <v>31.200000000000003</v>
      </c>
      <c r="CS162" s="56">
        <f t="shared" ca="1" si="149"/>
        <v>31.200000000000003</v>
      </c>
      <c r="CT162" s="56">
        <f t="shared" ca="1" si="149"/>
        <v>31.200000000000003</v>
      </c>
      <c r="CU162" s="56">
        <f t="shared" ca="1" si="149"/>
        <v>31.200000000000003</v>
      </c>
      <c r="CV162" s="56">
        <f t="shared" ca="1" si="149"/>
        <v>31.200000000000003</v>
      </c>
      <c r="CW162" s="56">
        <f t="shared" ca="1" si="149"/>
        <v>31.200000000000003</v>
      </c>
      <c r="CX162" s="56">
        <f t="shared" ca="1" si="149"/>
        <v>31.200000000000003</v>
      </c>
      <c r="CY162" s="56">
        <f t="shared" ca="1" si="149"/>
        <v>31.200000000000003</v>
      </c>
      <c r="CZ162" s="56">
        <f t="shared" ca="1" si="149"/>
        <v>31.200000000000003</v>
      </c>
      <c r="DA162" s="56">
        <f t="shared" ca="1" si="149"/>
        <v>31.200000000000003</v>
      </c>
      <c r="DB162" s="56">
        <f t="shared" ca="1" si="149"/>
        <v>31.200000000000003</v>
      </c>
      <c r="DC162" s="56">
        <f t="shared" ref="DC162:EH162" ca="1" si="150">$D134+($K134-$D134)*(1-COS(PI()*MIN(MAX((DC$139-($B$82-1))/$B$83,0),1)))/2</f>
        <v>31.200000000000003</v>
      </c>
      <c r="DD162" s="56">
        <f t="shared" ca="1" si="150"/>
        <v>31.200000000000003</v>
      </c>
      <c r="DE162" s="56">
        <f t="shared" ca="1" si="150"/>
        <v>31.200000000000003</v>
      </c>
      <c r="DF162" s="56">
        <f t="shared" ca="1" si="150"/>
        <v>31.200000000000003</v>
      </c>
      <c r="DG162" s="56">
        <f t="shared" ca="1" si="150"/>
        <v>31.200000000000003</v>
      </c>
      <c r="DH162" s="56">
        <f t="shared" ca="1" si="150"/>
        <v>31.200000000000003</v>
      </c>
      <c r="DI162" s="56">
        <f t="shared" ca="1" si="150"/>
        <v>31.200000000000003</v>
      </c>
      <c r="DJ162" s="56">
        <f t="shared" ca="1" si="150"/>
        <v>31.200000000000003</v>
      </c>
      <c r="DK162" s="56">
        <f t="shared" ca="1" si="150"/>
        <v>31.200000000000003</v>
      </c>
      <c r="DL162" s="56">
        <f t="shared" ca="1" si="150"/>
        <v>31.200000000000003</v>
      </c>
      <c r="DM162" s="56">
        <f t="shared" ca="1" si="150"/>
        <v>31.200000000000003</v>
      </c>
      <c r="DN162" s="56">
        <f t="shared" ca="1" si="150"/>
        <v>31.200000000000003</v>
      </c>
      <c r="DO162" s="56">
        <f t="shared" ca="1" si="150"/>
        <v>31.200000000000003</v>
      </c>
      <c r="DP162" s="56">
        <f t="shared" ca="1" si="150"/>
        <v>31.200000000000003</v>
      </c>
      <c r="DQ162" s="56">
        <f t="shared" ca="1" si="150"/>
        <v>31.200000000000003</v>
      </c>
      <c r="DR162" s="56">
        <f t="shared" ca="1" si="150"/>
        <v>31.200000000000003</v>
      </c>
      <c r="DS162" s="56">
        <f t="shared" ca="1" si="150"/>
        <v>31.200000000000003</v>
      </c>
      <c r="DT162" s="56">
        <f t="shared" ca="1" si="150"/>
        <v>31.200000000000003</v>
      </c>
      <c r="DU162" s="56">
        <f t="shared" ca="1" si="150"/>
        <v>31.200000000000003</v>
      </c>
      <c r="DV162" s="56">
        <f t="shared" ca="1" si="150"/>
        <v>31.200000000000003</v>
      </c>
      <c r="DW162" s="56">
        <f t="shared" ca="1" si="150"/>
        <v>31.200000000000003</v>
      </c>
      <c r="DX162" s="56">
        <f t="shared" ca="1" si="150"/>
        <v>31.200000000000003</v>
      </c>
      <c r="DY162" s="56">
        <f t="shared" ca="1" si="150"/>
        <v>31.200000000000003</v>
      </c>
      <c r="DZ162" s="56">
        <f t="shared" ca="1" si="150"/>
        <v>31.200000000000003</v>
      </c>
      <c r="EA162" s="56">
        <f t="shared" ca="1" si="150"/>
        <v>31.200000000000003</v>
      </c>
      <c r="EB162" s="56">
        <f t="shared" ca="1" si="150"/>
        <v>31.200000000000003</v>
      </c>
      <c r="EC162" s="56">
        <f t="shared" ca="1" si="150"/>
        <v>31.200000000000003</v>
      </c>
      <c r="ED162" s="56">
        <f t="shared" ca="1" si="150"/>
        <v>31.200000000000003</v>
      </c>
      <c r="EE162" s="56">
        <f t="shared" ca="1" si="150"/>
        <v>31.200000000000003</v>
      </c>
      <c r="EF162" s="56">
        <f t="shared" ca="1" si="150"/>
        <v>31.200000000000003</v>
      </c>
      <c r="EG162" s="56">
        <f t="shared" ca="1" si="150"/>
        <v>31.200000000000003</v>
      </c>
      <c r="EH162" s="56">
        <f t="shared" ca="1" si="150"/>
        <v>31.200000000000003</v>
      </c>
      <c r="EI162" s="56">
        <f t="shared" ref="EI162:FN162" ca="1" si="151">$D134+($K134-$D134)*(1-COS(PI()*MIN(MAX((EI$139-($B$82-1))/$B$83,0),1)))/2</f>
        <v>31.200000000000003</v>
      </c>
      <c r="EJ162" s="56">
        <f t="shared" ca="1" si="151"/>
        <v>31.200000000000003</v>
      </c>
      <c r="EK162" s="56">
        <f t="shared" ca="1" si="151"/>
        <v>31.200000000000003</v>
      </c>
      <c r="EL162" s="56">
        <f t="shared" ca="1" si="151"/>
        <v>31.200000000000003</v>
      </c>
      <c r="EM162" s="56">
        <f t="shared" ca="1" si="151"/>
        <v>31.200000000000003</v>
      </c>
      <c r="EN162" s="56">
        <f t="shared" ca="1" si="151"/>
        <v>31.200000000000003</v>
      </c>
      <c r="EO162" s="56">
        <f t="shared" ca="1" si="151"/>
        <v>31.200000000000003</v>
      </c>
      <c r="EP162" s="56">
        <f t="shared" ca="1" si="151"/>
        <v>31.200000000000003</v>
      </c>
      <c r="EQ162" s="56">
        <f t="shared" ca="1" si="151"/>
        <v>31.200000000000003</v>
      </c>
      <c r="ER162" s="56">
        <f t="shared" ca="1" si="151"/>
        <v>31.200000000000003</v>
      </c>
      <c r="ES162" s="56">
        <f t="shared" ca="1" si="151"/>
        <v>31.200000000000003</v>
      </c>
      <c r="ET162" s="56">
        <f t="shared" ca="1" si="151"/>
        <v>31.200000000000003</v>
      </c>
      <c r="EU162" s="56">
        <f t="shared" ca="1" si="151"/>
        <v>31.200000000000003</v>
      </c>
      <c r="EV162" s="56">
        <f t="shared" ca="1" si="151"/>
        <v>31.200000000000003</v>
      </c>
      <c r="EW162" s="56">
        <f t="shared" ca="1" si="151"/>
        <v>31.200000000000003</v>
      </c>
      <c r="EX162" s="56">
        <f t="shared" ca="1" si="151"/>
        <v>31.200000000000003</v>
      </c>
      <c r="EY162" s="56">
        <f t="shared" ca="1" si="151"/>
        <v>31.200000000000003</v>
      </c>
      <c r="EZ162" s="56">
        <f t="shared" ca="1" si="151"/>
        <v>31.200000000000003</v>
      </c>
      <c r="FA162" s="56">
        <f t="shared" ca="1" si="151"/>
        <v>31.200000000000003</v>
      </c>
      <c r="FB162" s="56">
        <f t="shared" ca="1" si="151"/>
        <v>31.200000000000003</v>
      </c>
      <c r="FC162" s="56">
        <f t="shared" ca="1" si="151"/>
        <v>31.200000000000003</v>
      </c>
      <c r="FD162" s="56">
        <f t="shared" ca="1" si="151"/>
        <v>31.200000000000003</v>
      </c>
      <c r="FE162" s="56">
        <f t="shared" ca="1" si="151"/>
        <v>31.200000000000003</v>
      </c>
      <c r="FF162" s="56">
        <f t="shared" ca="1" si="151"/>
        <v>31.200000000000003</v>
      </c>
      <c r="FG162" s="56">
        <f t="shared" ca="1" si="151"/>
        <v>31.200000000000003</v>
      </c>
      <c r="FH162" s="56">
        <f t="shared" ca="1" si="151"/>
        <v>31.200000000000003</v>
      </c>
      <c r="FI162" s="56">
        <f t="shared" ca="1" si="151"/>
        <v>31.200000000000003</v>
      </c>
      <c r="FJ162" s="56">
        <f t="shared" ca="1" si="151"/>
        <v>31.200000000000003</v>
      </c>
      <c r="FK162" s="56">
        <f t="shared" ca="1" si="151"/>
        <v>31.200000000000003</v>
      </c>
      <c r="FL162" s="56">
        <f t="shared" ca="1" si="151"/>
        <v>31.200000000000003</v>
      </c>
      <c r="FM162" s="56">
        <f t="shared" ca="1" si="151"/>
        <v>31.200000000000003</v>
      </c>
      <c r="FN162" s="56">
        <f t="shared" ca="1" si="151"/>
        <v>31.200000000000003</v>
      </c>
      <c r="FO162" s="56">
        <f t="shared" ref="FO162:GP162" ca="1" si="152">$D134+($K134-$D134)*(1-COS(PI()*MIN(MAX((FO$139-($B$82-1))/$B$83,0),1)))/2</f>
        <v>31.200000000000003</v>
      </c>
      <c r="FP162" s="56">
        <f t="shared" ca="1" si="152"/>
        <v>31.200000000000003</v>
      </c>
      <c r="FQ162" s="56">
        <f t="shared" ca="1" si="152"/>
        <v>31.200000000000003</v>
      </c>
      <c r="FR162" s="56">
        <f t="shared" ca="1" si="152"/>
        <v>31.200000000000003</v>
      </c>
      <c r="FS162" s="56">
        <f t="shared" ca="1" si="152"/>
        <v>31.200000000000003</v>
      </c>
      <c r="FT162" s="56">
        <f t="shared" ca="1" si="152"/>
        <v>31.200000000000003</v>
      </c>
      <c r="FU162" s="56">
        <f t="shared" ca="1" si="152"/>
        <v>31.200000000000003</v>
      </c>
      <c r="FV162" s="56">
        <f t="shared" ca="1" si="152"/>
        <v>31.200000000000003</v>
      </c>
      <c r="FW162" s="56">
        <f t="shared" ca="1" si="152"/>
        <v>31.200000000000003</v>
      </c>
      <c r="FX162" s="56">
        <f t="shared" ca="1" si="152"/>
        <v>31.200000000000003</v>
      </c>
      <c r="FY162" s="56">
        <f t="shared" ca="1" si="152"/>
        <v>31.200000000000003</v>
      </c>
      <c r="FZ162" s="56">
        <f t="shared" ca="1" si="152"/>
        <v>31.200000000000003</v>
      </c>
      <c r="GA162" s="56">
        <f t="shared" ca="1" si="152"/>
        <v>31.200000000000003</v>
      </c>
      <c r="GB162" s="56">
        <f t="shared" ca="1" si="152"/>
        <v>31.200000000000003</v>
      </c>
      <c r="GC162" s="56">
        <f t="shared" ca="1" si="152"/>
        <v>31.200000000000003</v>
      </c>
      <c r="GD162" s="56">
        <f t="shared" ca="1" si="152"/>
        <v>31.200000000000003</v>
      </c>
      <c r="GE162" s="56">
        <f t="shared" ca="1" si="152"/>
        <v>31.200000000000003</v>
      </c>
      <c r="GF162" s="56">
        <f t="shared" ca="1" si="152"/>
        <v>31.200000000000003</v>
      </c>
      <c r="GG162" s="56">
        <f t="shared" ca="1" si="152"/>
        <v>31.200000000000003</v>
      </c>
      <c r="GH162" s="56">
        <f t="shared" ca="1" si="152"/>
        <v>31.200000000000003</v>
      </c>
      <c r="GI162" s="56">
        <f t="shared" ca="1" si="152"/>
        <v>31.200000000000003</v>
      </c>
      <c r="GJ162" s="56">
        <f t="shared" ca="1" si="152"/>
        <v>31.200000000000003</v>
      </c>
      <c r="GK162" s="56">
        <f t="shared" ca="1" si="152"/>
        <v>31.200000000000003</v>
      </c>
      <c r="GL162" s="56">
        <f t="shared" ca="1" si="152"/>
        <v>31.200000000000003</v>
      </c>
      <c r="GM162" s="56">
        <f t="shared" ca="1" si="152"/>
        <v>31.200000000000003</v>
      </c>
      <c r="GN162" s="56">
        <f t="shared" ca="1" si="152"/>
        <v>31.200000000000003</v>
      </c>
      <c r="GO162" s="56">
        <f t="shared" ca="1" si="152"/>
        <v>31.200000000000003</v>
      </c>
      <c r="GP162" s="56">
        <f t="shared" ca="1" si="152"/>
        <v>31.200000000000003</v>
      </c>
    </row>
    <row r="163" spans="1:198" ht="24" x14ac:dyDescent="0.35">
      <c r="A163" s="57" t="str">
        <f t="shared" ca="1" si="26"/>
        <v>26
Available in future</v>
      </c>
      <c r="B163" s="55" t="s">
        <v>298</v>
      </c>
      <c r="K163" s="56">
        <f t="shared" ref="K163:AP163" ca="1" si="153">$D135</f>
        <v>10.126315789473685</v>
      </c>
      <c r="L163" s="56">
        <f t="shared" ca="1" si="153"/>
        <v>10.126315789473685</v>
      </c>
      <c r="M163" s="56">
        <f t="shared" ca="1" si="153"/>
        <v>10.126315789473685</v>
      </c>
      <c r="N163" s="56">
        <f t="shared" ca="1" si="153"/>
        <v>10.126315789473685</v>
      </c>
      <c r="O163" s="56">
        <f t="shared" ca="1" si="153"/>
        <v>10.126315789473685</v>
      </c>
      <c r="P163" s="56">
        <f t="shared" ca="1" si="153"/>
        <v>10.126315789473685</v>
      </c>
      <c r="Q163" s="56">
        <f t="shared" ca="1" si="153"/>
        <v>10.126315789473685</v>
      </c>
      <c r="R163" s="56">
        <f t="shared" ca="1" si="153"/>
        <v>10.126315789473685</v>
      </c>
      <c r="S163" s="56">
        <f t="shared" ca="1" si="153"/>
        <v>10.126315789473685</v>
      </c>
      <c r="T163" s="56">
        <f t="shared" ca="1" si="153"/>
        <v>10.126315789473685</v>
      </c>
      <c r="U163" s="56">
        <f t="shared" ca="1" si="153"/>
        <v>10.126315789473685</v>
      </c>
      <c r="V163" s="56">
        <f t="shared" ca="1" si="153"/>
        <v>10.126315789473685</v>
      </c>
      <c r="W163" s="56">
        <f t="shared" ca="1" si="153"/>
        <v>10.126315789473685</v>
      </c>
      <c r="X163" s="56">
        <f t="shared" ca="1" si="153"/>
        <v>10.126315789473685</v>
      </c>
      <c r="Y163" s="56">
        <f t="shared" ca="1" si="153"/>
        <v>10.126315789473685</v>
      </c>
      <c r="Z163" s="56">
        <f t="shared" ca="1" si="153"/>
        <v>10.126315789473685</v>
      </c>
      <c r="AA163" s="56">
        <f t="shared" ca="1" si="153"/>
        <v>10.126315789473685</v>
      </c>
      <c r="AB163" s="56">
        <f t="shared" ca="1" si="153"/>
        <v>10.126315789473685</v>
      </c>
      <c r="AC163" s="56">
        <f t="shared" ca="1" si="153"/>
        <v>10.126315789473685</v>
      </c>
      <c r="AD163" s="56">
        <f t="shared" ca="1" si="153"/>
        <v>10.126315789473685</v>
      </c>
      <c r="AE163" s="56">
        <f t="shared" ca="1" si="153"/>
        <v>10.126315789473685</v>
      </c>
      <c r="AF163" s="56">
        <f t="shared" ca="1" si="153"/>
        <v>10.126315789473685</v>
      </c>
      <c r="AG163" s="56">
        <f t="shared" ca="1" si="153"/>
        <v>10.126315789473685</v>
      </c>
      <c r="AH163" s="56">
        <f t="shared" ca="1" si="153"/>
        <v>10.126315789473685</v>
      </c>
      <c r="AI163" s="56">
        <f t="shared" ca="1" si="153"/>
        <v>10.126315789473685</v>
      </c>
      <c r="AJ163" s="56">
        <f t="shared" ca="1" si="153"/>
        <v>10.126315789473685</v>
      </c>
      <c r="AK163" s="56">
        <f t="shared" ca="1" si="153"/>
        <v>10.126315789473685</v>
      </c>
      <c r="AL163" s="56">
        <f t="shared" ca="1" si="153"/>
        <v>10.126315789473685</v>
      </c>
      <c r="AM163" s="56">
        <f t="shared" ca="1" si="153"/>
        <v>10.126315789473685</v>
      </c>
      <c r="AN163" s="56">
        <f t="shared" ca="1" si="153"/>
        <v>10.126315789473685</v>
      </c>
      <c r="AO163" s="56">
        <f t="shared" ca="1" si="153"/>
        <v>10.126315789473685</v>
      </c>
      <c r="AP163" s="56">
        <f t="shared" ca="1" si="153"/>
        <v>10.126315789473685</v>
      </c>
      <c r="AQ163" s="56">
        <f t="shared" ref="AQ163:BV163" ca="1" si="154">$D135</f>
        <v>10.126315789473685</v>
      </c>
      <c r="AR163" s="56">
        <f t="shared" ca="1" si="154"/>
        <v>10.126315789473685</v>
      </c>
      <c r="AS163" s="56">
        <f t="shared" ca="1" si="154"/>
        <v>10.126315789473685</v>
      </c>
      <c r="AT163" s="56">
        <f t="shared" ca="1" si="154"/>
        <v>10.126315789473685</v>
      </c>
      <c r="AU163" s="56">
        <f t="shared" ca="1" si="154"/>
        <v>10.126315789473685</v>
      </c>
      <c r="AV163" s="56">
        <f t="shared" ca="1" si="154"/>
        <v>10.126315789473685</v>
      </c>
      <c r="AW163" s="56">
        <f t="shared" ca="1" si="154"/>
        <v>10.126315789473685</v>
      </c>
      <c r="AX163" s="56">
        <f t="shared" ca="1" si="154"/>
        <v>10.126315789473685</v>
      </c>
      <c r="AY163" s="56">
        <f t="shared" ca="1" si="154"/>
        <v>10.126315789473685</v>
      </c>
      <c r="AZ163" s="56">
        <f t="shared" ca="1" si="154"/>
        <v>10.126315789473685</v>
      </c>
      <c r="BA163" s="56">
        <f t="shared" ca="1" si="154"/>
        <v>10.126315789473685</v>
      </c>
      <c r="BB163" s="56">
        <f t="shared" ca="1" si="154"/>
        <v>10.126315789473685</v>
      </c>
      <c r="BC163" s="56">
        <f t="shared" ca="1" si="154"/>
        <v>10.126315789473685</v>
      </c>
      <c r="BD163" s="56">
        <f t="shared" ca="1" si="154"/>
        <v>10.126315789473685</v>
      </c>
      <c r="BE163" s="56">
        <f t="shared" ca="1" si="154"/>
        <v>10.126315789473685</v>
      </c>
      <c r="BF163" s="56">
        <f t="shared" ca="1" si="154"/>
        <v>10.126315789473685</v>
      </c>
      <c r="BG163" s="56">
        <f t="shared" ca="1" si="154"/>
        <v>10.126315789473685</v>
      </c>
      <c r="BH163" s="56">
        <f t="shared" ca="1" si="154"/>
        <v>10.126315789473685</v>
      </c>
      <c r="BI163" s="56">
        <f t="shared" ca="1" si="154"/>
        <v>10.126315789473685</v>
      </c>
      <c r="BJ163" s="56">
        <f t="shared" ca="1" si="154"/>
        <v>10.126315789473685</v>
      </c>
      <c r="BK163" s="56">
        <f t="shared" ca="1" si="154"/>
        <v>10.126315789473685</v>
      </c>
      <c r="BL163" s="56">
        <f t="shared" ca="1" si="154"/>
        <v>10.126315789473685</v>
      </c>
      <c r="BM163" s="56">
        <f t="shared" ca="1" si="154"/>
        <v>10.126315789473685</v>
      </c>
      <c r="BN163" s="56">
        <f t="shared" ca="1" si="154"/>
        <v>10.126315789473685</v>
      </c>
      <c r="BO163" s="56">
        <f t="shared" ca="1" si="154"/>
        <v>10.126315789473685</v>
      </c>
      <c r="BP163" s="56">
        <f t="shared" ca="1" si="154"/>
        <v>10.126315789473685</v>
      </c>
      <c r="BQ163" s="56">
        <f t="shared" ca="1" si="154"/>
        <v>10.126315789473685</v>
      </c>
      <c r="BR163" s="56">
        <f t="shared" ca="1" si="154"/>
        <v>10.126315789473685</v>
      </c>
      <c r="BS163" s="56">
        <f t="shared" ca="1" si="154"/>
        <v>10.126315789473685</v>
      </c>
      <c r="BT163" s="56">
        <f t="shared" ca="1" si="154"/>
        <v>10.126315789473685</v>
      </c>
      <c r="BU163" s="56">
        <f t="shared" ca="1" si="154"/>
        <v>10.126315789473685</v>
      </c>
      <c r="BV163" s="56">
        <f t="shared" ca="1" si="154"/>
        <v>10.126315789473685</v>
      </c>
      <c r="BW163" s="56">
        <f t="shared" ref="BW163:DB163" ca="1" si="155">$D135</f>
        <v>10.126315789473685</v>
      </c>
      <c r="BX163" s="56">
        <f t="shared" ca="1" si="155"/>
        <v>10.126315789473685</v>
      </c>
      <c r="BY163" s="56">
        <f t="shared" ca="1" si="155"/>
        <v>10.126315789473685</v>
      </c>
      <c r="BZ163" s="56">
        <f t="shared" ca="1" si="155"/>
        <v>10.126315789473685</v>
      </c>
      <c r="CA163" s="56">
        <f t="shared" ca="1" si="155"/>
        <v>10.126315789473685</v>
      </c>
      <c r="CB163" s="56">
        <f t="shared" ca="1" si="155"/>
        <v>10.126315789473685</v>
      </c>
      <c r="CC163" s="56">
        <f t="shared" ca="1" si="155"/>
        <v>10.126315789473685</v>
      </c>
      <c r="CD163" s="56">
        <f t="shared" ca="1" si="155"/>
        <v>10.126315789473685</v>
      </c>
      <c r="CE163" s="56">
        <f t="shared" ca="1" si="155"/>
        <v>10.126315789473685</v>
      </c>
      <c r="CF163" s="56">
        <f t="shared" ca="1" si="155"/>
        <v>10.126315789473685</v>
      </c>
      <c r="CG163" s="56">
        <f t="shared" ca="1" si="155"/>
        <v>10.126315789473685</v>
      </c>
      <c r="CH163" s="56">
        <f t="shared" ca="1" si="155"/>
        <v>10.126315789473685</v>
      </c>
      <c r="CI163" s="56">
        <f t="shared" ca="1" si="155"/>
        <v>10.126315789473685</v>
      </c>
      <c r="CJ163" s="56">
        <f t="shared" ca="1" si="155"/>
        <v>10.126315789473685</v>
      </c>
      <c r="CK163" s="56">
        <f t="shared" ca="1" si="155"/>
        <v>10.126315789473685</v>
      </c>
      <c r="CL163" s="56">
        <f t="shared" ca="1" si="155"/>
        <v>10.126315789473685</v>
      </c>
      <c r="CM163" s="56">
        <f t="shared" ca="1" si="155"/>
        <v>10.126315789473685</v>
      </c>
      <c r="CN163" s="56">
        <f t="shared" ca="1" si="155"/>
        <v>10.126315789473685</v>
      </c>
      <c r="CO163" s="56">
        <f t="shared" ca="1" si="155"/>
        <v>10.126315789473685</v>
      </c>
      <c r="CP163" s="56">
        <f t="shared" ca="1" si="155"/>
        <v>10.126315789473685</v>
      </c>
      <c r="CQ163" s="56">
        <f t="shared" ca="1" si="155"/>
        <v>10.126315789473685</v>
      </c>
      <c r="CR163" s="56">
        <f t="shared" ca="1" si="155"/>
        <v>10.126315789473685</v>
      </c>
      <c r="CS163" s="56">
        <f t="shared" ca="1" si="155"/>
        <v>10.126315789473685</v>
      </c>
      <c r="CT163" s="56">
        <f t="shared" ca="1" si="155"/>
        <v>10.126315789473685</v>
      </c>
      <c r="CU163" s="56">
        <f t="shared" ca="1" si="155"/>
        <v>10.126315789473685</v>
      </c>
      <c r="CV163" s="56">
        <f t="shared" ca="1" si="155"/>
        <v>10.126315789473685</v>
      </c>
      <c r="CW163" s="56">
        <f t="shared" ca="1" si="155"/>
        <v>10.126315789473685</v>
      </c>
      <c r="CX163" s="56">
        <f t="shared" ca="1" si="155"/>
        <v>10.126315789473685</v>
      </c>
      <c r="CY163" s="56">
        <f t="shared" ca="1" si="155"/>
        <v>10.126315789473685</v>
      </c>
      <c r="CZ163" s="56">
        <f t="shared" ca="1" si="155"/>
        <v>10.126315789473685</v>
      </c>
      <c r="DA163" s="56">
        <f t="shared" ca="1" si="155"/>
        <v>10.126315789473685</v>
      </c>
      <c r="DB163" s="56">
        <f t="shared" ca="1" si="155"/>
        <v>10.126315789473685</v>
      </c>
      <c r="DC163" s="56">
        <f t="shared" ref="DC163:EH163" ca="1" si="156">$D135</f>
        <v>10.126315789473685</v>
      </c>
      <c r="DD163" s="56">
        <f t="shared" ca="1" si="156"/>
        <v>10.126315789473685</v>
      </c>
      <c r="DE163" s="56">
        <f t="shared" ca="1" si="156"/>
        <v>10.126315789473685</v>
      </c>
      <c r="DF163" s="56">
        <f t="shared" ca="1" si="156"/>
        <v>10.126315789473685</v>
      </c>
      <c r="DG163" s="56">
        <f t="shared" ca="1" si="156"/>
        <v>10.126315789473685</v>
      </c>
      <c r="DH163" s="56">
        <f t="shared" ca="1" si="156"/>
        <v>10.126315789473685</v>
      </c>
      <c r="DI163" s="56">
        <f t="shared" ca="1" si="156"/>
        <v>10.126315789473685</v>
      </c>
      <c r="DJ163" s="56">
        <f t="shared" ca="1" si="156"/>
        <v>10.126315789473685</v>
      </c>
      <c r="DK163" s="56">
        <f t="shared" ca="1" si="156"/>
        <v>10.126315789473685</v>
      </c>
      <c r="DL163" s="56">
        <f t="shared" ca="1" si="156"/>
        <v>10.126315789473685</v>
      </c>
      <c r="DM163" s="56">
        <f t="shared" ca="1" si="156"/>
        <v>10.126315789473685</v>
      </c>
      <c r="DN163" s="56">
        <f t="shared" ca="1" si="156"/>
        <v>10.126315789473685</v>
      </c>
      <c r="DO163" s="56">
        <f t="shared" ca="1" si="156"/>
        <v>10.126315789473685</v>
      </c>
      <c r="DP163" s="56">
        <f t="shared" ca="1" si="156"/>
        <v>10.126315789473685</v>
      </c>
      <c r="DQ163" s="56">
        <f t="shared" ca="1" si="156"/>
        <v>10.126315789473685</v>
      </c>
      <c r="DR163" s="56">
        <f t="shared" ca="1" si="156"/>
        <v>10.126315789473685</v>
      </c>
      <c r="DS163" s="56">
        <f t="shared" ca="1" si="156"/>
        <v>10.126315789473685</v>
      </c>
      <c r="DT163" s="56">
        <f t="shared" ca="1" si="156"/>
        <v>10.126315789473685</v>
      </c>
      <c r="DU163" s="56">
        <f t="shared" ca="1" si="156"/>
        <v>10.126315789473685</v>
      </c>
      <c r="DV163" s="56">
        <f t="shared" ca="1" si="156"/>
        <v>10.126315789473685</v>
      </c>
      <c r="DW163" s="56">
        <f t="shared" ca="1" si="156"/>
        <v>10.126315789473685</v>
      </c>
      <c r="DX163" s="56">
        <f t="shared" ca="1" si="156"/>
        <v>10.126315789473685</v>
      </c>
      <c r="DY163" s="56">
        <f t="shared" ca="1" si="156"/>
        <v>10.126315789473685</v>
      </c>
      <c r="DZ163" s="56">
        <f t="shared" ca="1" si="156"/>
        <v>10.126315789473685</v>
      </c>
      <c r="EA163" s="56">
        <f t="shared" ca="1" si="156"/>
        <v>10.126315789473685</v>
      </c>
      <c r="EB163" s="56">
        <f t="shared" ca="1" si="156"/>
        <v>10.126315789473685</v>
      </c>
      <c r="EC163" s="56">
        <f t="shared" ca="1" si="156"/>
        <v>10.126315789473685</v>
      </c>
      <c r="ED163" s="56">
        <f t="shared" ca="1" si="156"/>
        <v>10.126315789473685</v>
      </c>
      <c r="EE163" s="56">
        <f t="shared" ca="1" si="156"/>
        <v>10.126315789473685</v>
      </c>
      <c r="EF163" s="56">
        <f t="shared" ca="1" si="156"/>
        <v>10.126315789473685</v>
      </c>
      <c r="EG163" s="56">
        <f t="shared" ca="1" si="156"/>
        <v>10.126315789473685</v>
      </c>
      <c r="EH163" s="56">
        <f t="shared" ca="1" si="156"/>
        <v>10.126315789473685</v>
      </c>
      <c r="EI163" s="56">
        <f t="shared" ref="EI163:FN163" ca="1" si="157">$D135</f>
        <v>10.126315789473685</v>
      </c>
      <c r="EJ163" s="56">
        <f t="shared" ca="1" si="157"/>
        <v>10.126315789473685</v>
      </c>
      <c r="EK163" s="56">
        <f t="shared" ca="1" si="157"/>
        <v>10.126315789473685</v>
      </c>
      <c r="EL163" s="56">
        <f t="shared" ca="1" si="157"/>
        <v>10.126315789473685</v>
      </c>
      <c r="EM163" s="56">
        <f t="shared" ca="1" si="157"/>
        <v>10.126315789473685</v>
      </c>
      <c r="EN163" s="56">
        <f t="shared" ca="1" si="157"/>
        <v>10.126315789473685</v>
      </c>
      <c r="EO163" s="56">
        <f t="shared" ca="1" si="157"/>
        <v>10.126315789473685</v>
      </c>
      <c r="EP163" s="56">
        <f t="shared" ca="1" si="157"/>
        <v>10.126315789473685</v>
      </c>
      <c r="EQ163" s="56">
        <f t="shared" ca="1" si="157"/>
        <v>10.126315789473685</v>
      </c>
      <c r="ER163" s="56">
        <f t="shared" ca="1" si="157"/>
        <v>10.126315789473685</v>
      </c>
      <c r="ES163" s="56">
        <f t="shared" ca="1" si="157"/>
        <v>10.126315789473685</v>
      </c>
      <c r="ET163" s="56">
        <f t="shared" ca="1" si="157"/>
        <v>10.126315789473685</v>
      </c>
      <c r="EU163" s="56">
        <f t="shared" ca="1" si="157"/>
        <v>10.126315789473685</v>
      </c>
      <c r="EV163" s="56">
        <f t="shared" ca="1" si="157"/>
        <v>10.126315789473685</v>
      </c>
      <c r="EW163" s="56">
        <f t="shared" ca="1" si="157"/>
        <v>10.126315789473685</v>
      </c>
      <c r="EX163" s="56">
        <f t="shared" ca="1" si="157"/>
        <v>10.126315789473685</v>
      </c>
      <c r="EY163" s="56">
        <f t="shared" ca="1" si="157"/>
        <v>10.126315789473685</v>
      </c>
      <c r="EZ163" s="56">
        <f t="shared" ca="1" si="157"/>
        <v>10.126315789473685</v>
      </c>
      <c r="FA163" s="56">
        <f t="shared" ca="1" si="157"/>
        <v>10.126315789473685</v>
      </c>
      <c r="FB163" s="56">
        <f t="shared" ca="1" si="157"/>
        <v>10.126315789473685</v>
      </c>
      <c r="FC163" s="56">
        <f t="shared" ca="1" si="157"/>
        <v>10.126315789473685</v>
      </c>
      <c r="FD163" s="56">
        <f t="shared" ca="1" si="157"/>
        <v>10.126315789473685</v>
      </c>
      <c r="FE163" s="56">
        <f t="shared" ca="1" si="157"/>
        <v>10.126315789473685</v>
      </c>
      <c r="FF163" s="56">
        <f t="shared" ca="1" si="157"/>
        <v>10.126315789473685</v>
      </c>
      <c r="FG163" s="56">
        <f t="shared" ca="1" si="157"/>
        <v>10.126315789473685</v>
      </c>
      <c r="FH163" s="56">
        <f t="shared" ca="1" si="157"/>
        <v>10.126315789473685</v>
      </c>
      <c r="FI163" s="56">
        <f t="shared" ca="1" si="157"/>
        <v>10.126315789473685</v>
      </c>
      <c r="FJ163" s="56">
        <f t="shared" ca="1" si="157"/>
        <v>10.126315789473685</v>
      </c>
      <c r="FK163" s="56">
        <f t="shared" ca="1" si="157"/>
        <v>10.126315789473685</v>
      </c>
      <c r="FL163" s="56">
        <f t="shared" ca="1" si="157"/>
        <v>10.126315789473685</v>
      </c>
      <c r="FM163" s="56">
        <f t="shared" ca="1" si="157"/>
        <v>10.126315789473685</v>
      </c>
      <c r="FN163" s="56">
        <f t="shared" ca="1" si="157"/>
        <v>10.126315789473685</v>
      </c>
      <c r="FO163" s="56">
        <f t="shared" ref="FO163:GP163" ca="1" si="158">$D135</f>
        <v>10.126315789473685</v>
      </c>
      <c r="FP163" s="56">
        <f t="shared" ca="1" si="158"/>
        <v>10.126315789473685</v>
      </c>
      <c r="FQ163" s="56">
        <f t="shared" ca="1" si="158"/>
        <v>10.126315789473685</v>
      </c>
      <c r="FR163" s="56">
        <f t="shared" ca="1" si="158"/>
        <v>10.126315789473685</v>
      </c>
      <c r="FS163" s="56">
        <f t="shared" ca="1" si="158"/>
        <v>10.126315789473685</v>
      </c>
      <c r="FT163" s="56">
        <f t="shared" ca="1" si="158"/>
        <v>10.126315789473685</v>
      </c>
      <c r="FU163" s="56">
        <f t="shared" ca="1" si="158"/>
        <v>10.126315789473685</v>
      </c>
      <c r="FV163" s="56">
        <f t="shared" ca="1" si="158"/>
        <v>10.126315789473685</v>
      </c>
      <c r="FW163" s="56">
        <f t="shared" ca="1" si="158"/>
        <v>10.126315789473685</v>
      </c>
      <c r="FX163" s="56">
        <f t="shared" ca="1" si="158"/>
        <v>10.126315789473685</v>
      </c>
      <c r="FY163" s="56">
        <f t="shared" ca="1" si="158"/>
        <v>10.126315789473685</v>
      </c>
      <c r="FZ163" s="56">
        <f t="shared" ca="1" si="158"/>
        <v>10.126315789473685</v>
      </c>
      <c r="GA163" s="56">
        <f t="shared" ca="1" si="158"/>
        <v>10.126315789473685</v>
      </c>
      <c r="GB163" s="56">
        <f t="shared" ca="1" si="158"/>
        <v>10.126315789473685</v>
      </c>
      <c r="GC163" s="56">
        <f t="shared" ca="1" si="158"/>
        <v>10.126315789473685</v>
      </c>
      <c r="GD163" s="56">
        <f t="shared" ca="1" si="158"/>
        <v>10.126315789473685</v>
      </c>
      <c r="GE163" s="56">
        <f t="shared" ca="1" si="158"/>
        <v>10.126315789473685</v>
      </c>
      <c r="GF163" s="56">
        <f t="shared" ca="1" si="158"/>
        <v>10.126315789473685</v>
      </c>
      <c r="GG163" s="56">
        <f t="shared" ca="1" si="158"/>
        <v>10.126315789473685</v>
      </c>
      <c r="GH163" s="56">
        <f t="shared" ca="1" si="158"/>
        <v>10.126315789473685</v>
      </c>
      <c r="GI163" s="56">
        <f t="shared" ca="1" si="158"/>
        <v>10.126315789473685</v>
      </c>
      <c r="GJ163" s="56">
        <f t="shared" ca="1" si="158"/>
        <v>10.126315789473685</v>
      </c>
      <c r="GK163" s="56">
        <f t="shared" ca="1" si="158"/>
        <v>10.126315789473685</v>
      </c>
      <c r="GL163" s="56">
        <f t="shared" ca="1" si="158"/>
        <v>10.126315789473685</v>
      </c>
      <c r="GM163" s="56">
        <f t="shared" ca="1" si="158"/>
        <v>10.126315789473685</v>
      </c>
      <c r="GN163" s="56">
        <f t="shared" ca="1" si="158"/>
        <v>10.126315789473685</v>
      </c>
      <c r="GO163" s="56">
        <f t="shared" ca="1" si="158"/>
        <v>10.126315789473685</v>
      </c>
      <c r="GP163" s="56">
        <f t="shared" ca="1" si="158"/>
        <v>10.126315789473685</v>
      </c>
    </row>
    <row r="164" spans="1:198" x14ac:dyDescent="0.35">
      <c r="A164" s="55" t="str">
        <f t="shared" si="26"/>
        <v>Available in future &gt; Future deployments</v>
      </c>
      <c r="B164" s="55" t="s">
        <v>298</v>
      </c>
      <c r="K164" s="56">
        <f t="shared" ref="K164:AP164" ca="1" si="159">$D136+($K136-$D136)*(1-COS(PI()*MIN(MAX((K$139-$B$88)/($B$85-1),0),1)))/2</f>
        <v>10.126315789473685</v>
      </c>
      <c r="L164" s="56">
        <f t="shared" ca="1" si="159"/>
        <v>10.126315789473685</v>
      </c>
      <c r="M164" s="56">
        <f t="shared" ca="1" si="159"/>
        <v>10.126315789473685</v>
      </c>
      <c r="N164" s="56">
        <f t="shared" ca="1" si="159"/>
        <v>10.126315789473685</v>
      </c>
      <c r="O164" s="56">
        <f t="shared" ca="1" si="159"/>
        <v>10.126315789473685</v>
      </c>
      <c r="P164" s="56">
        <f t="shared" ca="1" si="159"/>
        <v>10.126315789473685</v>
      </c>
      <c r="Q164" s="56">
        <f t="shared" ca="1" si="159"/>
        <v>10.126315789473685</v>
      </c>
      <c r="R164" s="56">
        <f t="shared" ca="1" si="159"/>
        <v>10.126315789473685</v>
      </c>
      <c r="S164" s="56">
        <f t="shared" ca="1" si="159"/>
        <v>10.126315789473685</v>
      </c>
      <c r="T164" s="56">
        <f t="shared" ca="1" si="159"/>
        <v>10.126315789473685</v>
      </c>
      <c r="U164" s="56">
        <f t="shared" ca="1" si="159"/>
        <v>10.126315789473685</v>
      </c>
      <c r="V164" s="56">
        <f t="shared" ca="1" si="159"/>
        <v>10.126315789473685</v>
      </c>
      <c r="W164" s="56">
        <f t="shared" ca="1" si="159"/>
        <v>10.126315789473685</v>
      </c>
      <c r="X164" s="56">
        <f t="shared" ca="1" si="159"/>
        <v>10.126315789473685</v>
      </c>
      <c r="Y164" s="56">
        <f t="shared" ca="1" si="159"/>
        <v>10.126315789473685</v>
      </c>
      <c r="Z164" s="56">
        <f t="shared" ca="1" si="159"/>
        <v>10.126315789473685</v>
      </c>
      <c r="AA164" s="56">
        <f t="shared" ca="1" si="159"/>
        <v>10.126315789473685</v>
      </c>
      <c r="AB164" s="56">
        <f t="shared" ca="1" si="159"/>
        <v>10.126315789473685</v>
      </c>
      <c r="AC164" s="56">
        <f t="shared" ca="1" si="159"/>
        <v>10.126315789473685</v>
      </c>
      <c r="AD164" s="56">
        <f t="shared" ca="1" si="159"/>
        <v>10.126315789473685</v>
      </c>
      <c r="AE164" s="56">
        <f t="shared" ca="1" si="159"/>
        <v>10.126315789473685</v>
      </c>
      <c r="AF164" s="56">
        <f t="shared" ca="1" si="159"/>
        <v>10.126315789473685</v>
      </c>
      <c r="AG164" s="56">
        <f t="shared" ca="1" si="159"/>
        <v>10.126315789473685</v>
      </c>
      <c r="AH164" s="56">
        <f t="shared" ca="1" si="159"/>
        <v>10.126315789473685</v>
      </c>
      <c r="AI164" s="56">
        <f t="shared" ca="1" si="159"/>
        <v>10.126315789473685</v>
      </c>
      <c r="AJ164" s="56">
        <f t="shared" ca="1" si="159"/>
        <v>10.126315789473685</v>
      </c>
      <c r="AK164" s="56">
        <f t="shared" ca="1" si="159"/>
        <v>10.126315789473685</v>
      </c>
      <c r="AL164" s="56">
        <f t="shared" ca="1" si="159"/>
        <v>10.126315789473685</v>
      </c>
      <c r="AM164" s="56">
        <f t="shared" ca="1" si="159"/>
        <v>10.126315789473685</v>
      </c>
      <c r="AN164" s="56">
        <f t="shared" ca="1" si="159"/>
        <v>10.126315789473685</v>
      </c>
      <c r="AO164" s="56">
        <f t="shared" ca="1" si="159"/>
        <v>10.126315789473685</v>
      </c>
      <c r="AP164" s="56">
        <f t="shared" ca="1" si="159"/>
        <v>10.126315789473685</v>
      </c>
      <c r="AQ164" s="56">
        <f t="shared" ref="AQ164:BV164" ca="1" si="160">$D136+($K136-$D136)*(1-COS(PI()*MIN(MAX((AQ$139-$B$88)/($B$85-1),0),1)))/2</f>
        <v>10.126315789473685</v>
      </c>
      <c r="AR164" s="56">
        <f t="shared" ca="1" si="160"/>
        <v>10.126315789473685</v>
      </c>
      <c r="AS164" s="56">
        <f t="shared" ca="1" si="160"/>
        <v>10.126315789473685</v>
      </c>
      <c r="AT164" s="56">
        <f t="shared" ca="1" si="160"/>
        <v>10.126315789473685</v>
      </c>
      <c r="AU164" s="56">
        <f t="shared" ca="1" si="160"/>
        <v>10.126315789473685</v>
      </c>
      <c r="AV164" s="56">
        <f t="shared" ca="1" si="160"/>
        <v>10.126315789473685</v>
      </c>
      <c r="AW164" s="56">
        <f t="shared" ca="1" si="160"/>
        <v>10.126315789473685</v>
      </c>
      <c r="AX164" s="56">
        <f t="shared" ca="1" si="160"/>
        <v>10.126315789473685</v>
      </c>
      <c r="AY164" s="56">
        <f t="shared" ca="1" si="160"/>
        <v>10.126315789473685</v>
      </c>
      <c r="AZ164" s="56">
        <f t="shared" ca="1" si="160"/>
        <v>10.126315789473685</v>
      </c>
      <c r="BA164" s="56">
        <f t="shared" ca="1" si="160"/>
        <v>10.126315789473685</v>
      </c>
      <c r="BB164" s="56">
        <f t="shared" ca="1" si="160"/>
        <v>10.126315789473685</v>
      </c>
      <c r="BC164" s="56">
        <f t="shared" ca="1" si="160"/>
        <v>10.126315789473685</v>
      </c>
      <c r="BD164" s="56">
        <f t="shared" ca="1" si="160"/>
        <v>10.126315789473685</v>
      </c>
      <c r="BE164" s="56">
        <f t="shared" ca="1" si="160"/>
        <v>10.126315789473685</v>
      </c>
      <c r="BF164" s="56">
        <f t="shared" ca="1" si="160"/>
        <v>10.126315789473685</v>
      </c>
      <c r="BG164" s="56">
        <f t="shared" ca="1" si="160"/>
        <v>10.126315789473685</v>
      </c>
      <c r="BH164" s="56">
        <f t="shared" ca="1" si="160"/>
        <v>10.126315789473685</v>
      </c>
      <c r="BI164" s="56">
        <f t="shared" ca="1" si="160"/>
        <v>10.126315789473685</v>
      </c>
      <c r="BJ164" s="56">
        <f t="shared" ca="1" si="160"/>
        <v>10.126315789473685</v>
      </c>
      <c r="BK164" s="56">
        <f t="shared" ca="1" si="160"/>
        <v>10.126315789473685</v>
      </c>
      <c r="BL164" s="56">
        <f t="shared" ca="1" si="160"/>
        <v>10.126315789473685</v>
      </c>
      <c r="BM164" s="56">
        <f t="shared" ca="1" si="160"/>
        <v>10.126315789473685</v>
      </c>
      <c r="BN164" s="56">
        <f t="shared" ca="1" si="160"/>
        <v>10.126315789473685</v>
      </c>
      <c r="BO164" s="56">
        <f t="shared" ca="1" si="160"/>
        <v>10.126315789473685</v>
      </c>
      <c r="BP164" s="56">
        <f t="shared" ca="1" si="160"/>
        <v>10.126315789473685</v>
      </c>
      <c r="BQ164" s="56">
        <f t="shared" ca="1" si="160"/>
        <v>10.126315789473685</v>
      </c>
      <c r="BR164" s="56">
        <f t="shared" ca="1" si="160"/>
        <v>10.126315789473685</v>
      </c>
      <c r="BS164" s="56">
        <f t="shared" ca="1" si="160"/>
        <v>10.126315789473685</v>
      </c>
      <c r="BT164" s="56">
        <f t="shared" ca="1" si="160"/>
        <v>10.126315789473685</v>
      </c>
      <c r="BU164" s="56">
        <f t="shared" ca="1" si="160"/>
        <v>10.126315789473685</v>
      </c>
      <c r="BV164" s="56">
        <f t="shared" ca="1" si="160"/>
        <v>10.126315789473685</v>
      </c>
      <c r="BW164" s="56">
        <f t="shared" ref="BW164:DB164" ca="1" si="161">$D136+($K136-$D136)*(1-COS(PI()*MIN(MAX((BW$139-$B$88)/($B$85-1),0),1)))/2</f>
        <v>10.126315789473685</v>
      </c>
      <c r="BX164" s="56">
        <f t="shared" ca="1" si="161"/>
        <v>10.126315789473685</v>
      </c>
      <c r="BY164" s="56">
        <f t="shared" ca="1" si="161"/>
        <v>10.126315789473685</v>
      </c>
      <c r="BZ164" s="56">
        <f t="shared" ca="1" si="161"/>
        <v>10.126315789473685</v>
      </c>
      <c r="CA164" s="56">
        <f t="shared" ca="1" si="161"/>
        <v>10.126315789473685</v>
      </c>
      <c r="CB164" s="56">
        <f t="shared" ca="1" si="161"/>
        <v>10.126315789473685</v>
      </c>
      <c r="CC164" s="56">
        <f t="shared" ca="1" si="161"/>
        <v>10.126315789473685</v>
      </c>
      <c r="CD164" s="56">
        <f t="shared" ca="1" si="161"/>
        <v>10.126315789473685</v>
      </c>
      <c r="CE164" s="56">
        <f t="shared" ca="1" si="161"/>
        <v>10.126315789473685</v>
      </c>
      <c r="CF164" s="56">
        <f t="shared" ca="1" si="161"/>
        <v>10.126315789473685</v>
      </c>
      <c r="CG164" s="56">
        <f t="shared" ca="1" si="161"/>
        <v>10.126315789473685</v>
      </c>
      <c r="CH164" s="56">
        <f t="shared" ca="1" si="161"/>
        <v>10.126315789473685</v>
      </c>
      <c r="CI164" s="56">
        <f t="shared" ca="1" si="161"/>
        <v>10.126315789473685</v>
      </c>
      <c r="CJ164" s="56">
        <f t="shared" ca="1" si="161"/>
        <v>10.126315789473685</v>
      </c>
      <c r="CK164" s="56">
        <f t="shared" ca="1" si="161"/>
        <v>10.126315789473685</v>
      </c>
      <c r="CL164" s="56">
        <f t="shared" ca="1" si="161"/>
        <v>10.126315789473685</v>
      </c>
      <c r="CM164" s="56">
        <f t="shared" ca="1" si="161"/>
        <v>10.126315789473685</v>
      </c>
      <c r="CN164" s="56">
        <f t="shared" ca="1" si="161"/>
        <v>10.126315789473685</v>
      </c>
      <c r="CO164" s="56">
        <f t="shared" ca="1" si="161"/>
        <v>10.126315789473685</v>
      </c>
      <c r="CP164" s="56">
        <f t="shared" ca="1" si="161"/>
        <v>10.126315789473685</v>
      </c>
      <c r="CQ164" s="56">
        <f t="shared" ca="1" si="161"/>
        <v>10.126315789473685</v>
      </c>
      <c r="CR164" s="56">
        <f t="shared" ca="1" si="161"/>
        <v>10.126315789473685</v>
      </c>
      <c r="CS164" s="56">
        <f t="shared" ca="1" si="161"/>
        <v>10.126315789473685</v>
      </c>
      <c r="CT164" s="56">
        <f t="shared" ca="1" si="161"/>
        <v>10.126315789473685</v>
      </c>
      <c r="CU164" s="56">
        <f t="shared" ca="1" si="161"/>
        <v>10.126315789473685</v>
      </c>
      <c r="CV164" s="56">
        <f t="shared" ca="1" si="161"/>
        <v>10.126315789473685</v>
      </c>
      <c r="CW164" s="56">
        <f t="shared" ca="1" si="161"/>
        <v>10.126315789473685</v>
      </c>
      <c r="CX164" s="56">
        <f t="shared" ca="1" si="161"/>
        <v>10.126315789473685</v>
      </c>
      <c r="CY164" s="56">
        <f t="shared" ca="1" si="161"/>
        <v>10.126315789473685</v>
      </c>
      <c r="CZ164" s="56">
        <f t="shared" ca="1" si="161"/>
        <v>10.126315789473685</v>
      </c>
      <c r="DA164" s="56">
        <f t="shared" ca="1" si="161"/>
        <v>10.126315789473685</v>
      </c>
      <c r="DB164" s="56">
        <f t="shared" ca="1" si="161"/>
        <v>10.126315789473685</v>
      </c>
      <c r="DC164" s="56">
        <f t="shared" ref="DC164:EH164" ca="1" si="162">$D136+($K136-$D136)*(1-COS(PI()*MIN(MAX((DC$139-$B$88)/($B$85-1),0),1)))/2</f>
        <v>10.126315789473685</v>
      </c>
      <c r="DD164" s="56">
        <f t="shared" ca="1" si="162"/>
        <v>10.126315789473685</v>
      </c>
      <c r="DE164" s="56">
        <f t="shared" ca="1" si="162"/>
        <v>10.126315789473685</v>
      </c>
      <c r="DF164" s="56">
        <f t="shared" ca="1" si="162"/>
        <v>10.126315789473685</v>
      </c>
      <c r="DG164" s="56">
        <f t="shared" ca="1" si="162"/>
        <v>10.126315789473685</v>
      </c>
      <c r="DH164" s="56">
        <f t="shared" ca="1" si="162"/>
        <v>10.126315789473685</v>
      </c>
      <c r="DI164" s="56">
        <f t="shared" ca="1" si="162"/>
        <v>10.126315789473685</v>
      </c>
      <c r="DJ164" s="56">
        <f t="shared" ca="1" si="162"/>
        <v>10.126315789473685</v>
      </c>
      <c r="DK164" s="56">
        <f t="shared" ca="1" si="162"/>
        <v>10.126315789473685</v>
      </c>
      <c r="DL164" s="56">
        <f t="shared" ca="1" si="162"/>
        <v>10.126315789473685</v>
      </c>
      <c r="DM164" s="56">
        <f t="shared" ca="1" si="162"/>
        <v>10.126315789473685</v>
      </c>
      <c r="DN164" s="56">
        <f t="shared" ca="1" si="162"/>
        <v>10.126315789473685</v>
      </c>
      <c r="DO164" s="56">
        <f t="shared" ca="1" si="162"/>
        <v>10.126315789473685</v>
      </c>
      <c r="DP164" s="56">
        <f t="shared" ca="1" si="162"/>
        <v>10.126315789473685</v>
      </c>
      <c r="DQ164" s="56">
        <f t="shared" ca="1" si="162"/>
        <v>10.126315789473685</v>
      </c>
      <c r="DR164" s="56">
        <f t="shared" ca="1" si="162"/>
        <v>10.12763471969083</v>
      </c>
      <c r="DS164" s="56">
        <f t="shared" ca="1" si="162"/>
        <v>10.131588611047407</v>
      </c>
      <c r="DT164" s="56">
        <f t="shared" ca="1" si="162"/>
        <v>10.138168772032104</v>
      </c>
      <c r="DU164" s="56">
        <f t="shared" ca="1" si="162"/>
        <v>10.147360738022993</v>
      </c>
      <c r="DV164" s="56">
        <f t="shared" ca="1" si="162"/>
        <v>10.159144303083909</v>
      </c>
      <c r="DW164" s="56">
        <f t="shared" ca="1" si="162"/>
        <v>10.173493564381477</v>
      </c>
      <c r="DX164" s="56">
        <f t="shared" ca="1" si="162"/>
        <v>10.190376979125164</v>
      </c>
      <c r="DY164" s="56">
        <f t="shared" ca="1" si="162"/>
        <v>10.20975743390518</v>
      </c>
      <c r="DZ164" s="56">
        <f t="shared" ca="1" si="162"/>
        <v>10.231592326275809</v>
      </c>
      <c r="EA164" s="56">
        <f t="shared" ca="1" si="162"/>
        <v>10.255833658404821</v>
      </c>
      <c r="EB164" s="56">
        <f t="shared" ca="1" si="162"/>
        <v>10.282428142583136</v>
      </c>
      <c r="EC164" s="56">
        <f t="shared" ca="1" si="162"/>
        <v>10.311317318362768</v>
      </c>
      <c r="ED164" s="56">
        <f t="shared" ca="1" si="162"/>
        <v>10.342437681065576</v>
      </c>
      <c r="EE164" s="56">
        <f t="shared" ca="1" si="162"/>
        <v>10.37572082138033</v>
      </c>
      <c r="EF164" s="56">
        <f t="shared" ca="1" si="162"/>
        <v>10.411093575741226</v>
      </c>
      <c r="EG164" s="56">
        <f t="shared" ca="1" si="162"/>
        <v>10.448478187157281</v>
      </c>
      <c r="EH164" s="56">
        <f t="shared" ca="1" si="162"/>
        <v>10.487792476139076</v>
      </c>
      <c r="EI164" s="56">
        <f t="shared" ref="EI164:FN164" ca="1" si="163">$D136+($K136-$D136)*(1-COS(PI()*MIN(MAX((EI$139-$B$88)/($B$85-1),0),1)))/2</f>
        <v>10.528950021347098</v>
      </c>
      <c r="EJ164" s="56">
        <f t="shared" ca="1" si="163"/>
        <v>10.571860349564624</v>
      </c>
      <c r="EK164" s="56">
        <f t="shared" ca="1" si="163"/>
        <v>10.616429134577459</v>
      </c>
      <c r="EL164" s="56">
        <f t="shared" ca="1" si="163"/>
        <v>10.662558404523446</v>
      </c>
      <c r="EM164" s="56">
        <f t="shared" ca="1" si="163"/>
        <v>10.710146757255874</v>
      </c>
      <c r="EN164" s="56">
        <f t="shared" ca="1" si="163"/>
        <v>10.759089583247407</v>
      </c>
      <c r="EO164" s="56">
        <f t="shared" ca="1" si="163"/>
        <v>10.80927929554452</v>
      </c>
      <c r="EP164" s="56">
        <f t="shared" ca="1" si="163"/>
        <v>10.860605566266985</v>
      </c>
      <c r="EQ164" s="56">
        <f t="shared" ca="1" si="163"/>
        <v>10.912955569132485</v>
      </c>
      <c r="ER164" s="56">
        <f t="shared" ca="1" si="163"/>
        <v>10.966214227473277</v>
      </c>
      <c r="ES164" s="56">
        <f t="shared" ca="1" si="163"/>
        <v>11.020264467199674</v>
      </c>
      <c r="ET164" s="56">
        <f t="shared" ca="1" si="163"/>
        <v>11.074987474154312</v>
      </c>
      <c r="EU164" s="56">
        <f t="shared" ca="1" si="163"/>
        <v>11.13026295529145</v>
      </c>
      <c r="EV164" s="56">
        <f t="shared" ca="1" si="163"/>
        <v>11.185969403107187</v>
      </c>
      <c r="EW164" s="56">
        <f t="shared" ca="1" si="163"/>
        <v>11.241984362739334</v>
      </c>
      <c r="EX164" s="56">
        <f t="shared" ca="1" si="163"/>
        <v>11.298184701149772</v>
      </c>
      <c r="EY164" s="56">
        <f t="shared" ca="1" si="163"/>
        <v>11.354446877797598</v>
      </c>
      <c r="EZ164" s="56">
        <f t="shared" ca="1" si="163"/>
        <v>11.410647216208037</v>
      </c>
      <c r="FA164" s="56">
        <f t="shared" ca="1" si="163"/>
        <v>11.466662175840185</v>
      </c>
      <c r="FB164" s="56">
        <f t="shared" ca="1" si="163"/>
        <v>11.522368623655922</v>
      </c>
      <c r="FC164" s="56">
        <f t="shared" ca="1" si="163"/>
        <v>11.577644104793059</v>
      </c>
      <c r="FD164" s="56">
        <f t="shared" ca="1" si="163"/>
        <v>11.632367111747698</v>
      </c>
      <c r="FE164" s="56">
        <f t="shared" ca="1" si="163"/>
        <v>11.686417351474095</v>
      </c>
      <c r="FF164" s="56">
        <f t="shared" ca="1" si="163"/>
        <v>11.739676009814886</v>
      </c>
      <c r="FG164" s="56">
        <f t="shared" ca="1" si="163"/>
        <v>11.792026012680386</v>
      </c>
      <c r="FH164" s="56">
        <f t="shared" ca="1" si="163"/>
        <v>11.843352283402851</v>
      </c>
      <c r="FI164" s="56">
        <f t="shared" ca="1" si="163"/>
        <v>11.893541995699964</v>
      </c>
      <c r="FJ164" s="56">
        <f t="shared" ca="1" si="163"/>
        <v>11.942484821691497</v>
      </c>
      <c r="FK164" s="56">
        <f t="shared" ca="1" si="163"/>
        <v>11.990073174423925</v>
      </c>
      <c r="FL164" s="56">
        <f t="shared" ca="1" si="163"/>
        <v>12.036202444369913</v>
      </c>
      <c r="FM164" s="56">
        <f t="shared" ca="1" si="163"/>
        <v>12.080771229382748</v>
      </c>
      <c r="FN164" s="56">
        <f t="shared" ca="1" si="163"/>
        <v>12.123681557600273</v>
      </c>
      <c r="FO164" s="56">
        <f t="shared" ref="FO164:GP164" ca="1" si="164">$D136+($K136-$D136)*(1-COS(PI()*MIN(MAX((FO$139-$B$88)/($B$85-1),0),1)))/2</f>
        <v>12.164839102808296</v>
      </c>
      <c r="FP164" s="56">
        <f t="shared" ca="1" si="164"/>
        <v>12.20415339179009</v>
      </c>
      <c r="FQ164" s="56">
        <f t="shared" ca="1" si="164"/>
        <v>12.241538003206145</v>
      </c>
      <c r="FR164" s="56">
        <f t="shared" ca="1" si="164"/>
        <v>12.276910757567041</v>
      </c>
      <c r="FS164" s="56">
        <f t="shared" ca="1" si="164"/>
        <v>12.310193897881796</v>
      </c>
      <c r="FT164" s="56">
        <f t="shared" ca="1" si="164"/>
        <v>12.341314260584603</v>
      </c>
      <c r="FU164" s="56">
        <f t="shared" ca="1" si="164"/>
        <v>12.370203436364235</v>
      </c>
      <c r="FV164" s="56">
        <f t="shared" ca="1" si="164"/>
        <v>12.39679792054255</v>
      </c>
      <c r="FW164" s="56">
        <f t="shared" ca="1" si="164"/>
        <v>12.421039252671562</v>
      </c>
      <c r="FX164" s="56">
        <f t="shared" ca="1" si="164"/>
        <v>12.44287414504219</v>
      </c>
      <c r="FY164" s="56">
        <f t="shared" ca="1" si="164"/>
        <v>12.462254599822208</v>
      </c>
      <c r="FZ164" s="56">
        <f t="shared" ca="1" si="164"/>
        <v>12.479138014565894</v>
      </c>
      <c r="GA164" s="56">
        <f t="shared" ca="1" si="164"/>
        <v>12.493487275863462</v>
      </c>
      <c r="GB164" s="56">
        <f t="shared" ca="1" si="164"/>
        <v>12.505270840924378</v>
      </c>
      <c r="GC164" s="56">
        <f t="shared" ca="1" si="164"/>
        <v>12.514462806915269</v>
      </c>
      <c r="GD164" s="56">
        <f t="shared" ca="1" si="164"/>
        <v>12.521042967899964</v>
      </c>
      <c r="GE164" s="56">
        <f t="shared" ca="1" si="164"/>
        <v>12.524996859256539</v>
      </c>
      <c r="GF164" s="56">
        <f t="shared" ca="1" si="164"/>
        <v>12.526315789473687</v>
      </c>
      <c r="GG164" s="56">
        <f t="shared" ca="1" si="164"/>
        <v>12.526315789473687</v>
      </c>
      <c r="GH164" s="56">
        <f t="shared" ca="1" si="164"/>
        <v>12.526315789473687</v>
      </c>
      <c r="GI164" s="56">
        <f t="shared" ca="1" si="164"/>
        <v>12.526315789473687</v>
      </c>
      <c r="GJ164" s="56">
        <f t="shared" ca="1" si="164"/>
        <v>12.526315789473687</v>
      </c>
      <c r="GK164" s="56">
        <f t="shared" ca="1" si="164"/>
        <v>12.526315789473687</v>
      </c>
      <c r="GL164" s="56">
        <f t="shared" ca="1" si="164"/>
        <v>12.526315789473687</v>
      </c>
      <c r="GM164" s="56">
        <f t="shared" ca="1" si="164"/>
        <v>12.526315789473687</v>
      </c>
      <c r="GN164" s="56">
        <f t="shared" ca="1" si="164"/>
        <v>12.526315789473687</v>
      </c>
      <c r="GO164" s="56">
        <f t="shared" ca="1" si="164"/>
        <v>12.526315789473687</v>
      </c>
      <c r="GP164" s="56">
        <f t="shared" ca="1" si="164"/>
        <v>12.526315789473687</v>
      </c>
    </row>
    <row r="166" spans="1:198" x14ac:dyDescent="0.35">
      <c r="A166" s="53" t="s">
        <v>301</v>
      </c>
      <c r="B166" s="54"/>
      <c r="C166" s="54"/>
      <c r="D166" s="54"/>
      <c r="E166" s="54"/>
      <c r="F166" s="54"/>
      <c r="G166" s="54"/>
      <c r="H166" s="54"/>
      <c r="I166" s="54"/>
    </row>
    <row r="167" spans="1:198" x14ac:dyDescent="0.35">
      <c r="A167" s="55" t="str">
        <f t="shared" ref="A167:A189" si="165">A114</f>
        <v>USA &gt; available now</v>
      </c>
      <c r="B167" s="55" t="s">
        <v>297</v>
      </c>
      <c r="K167" s="56">
        <f t="shared" ref="K167:AP167" ca="1" si="166">IF(K$139&lt;=$B$82+$B$83-1,$C114,0)</f>
        <v>5.6736842105263152</v>
      </c>
      <c r="L167" s="56">
        <f t="shared" ca="1" si="166"/>
        <v>5.6736842105263152</v>
      </c>
      <c r="M167" s="56">
        <f t="shared" ca="1" si="166"/>
        <v>5.6736842105263152</v>
      </c>
      <c r="N167" s="56">
        <f t="shared" ca="1" si="166"/>
        <v>5.6736842105263152</v>
      </c>
      <c r="O167" s="56">
        <f t="shared" ca="1" si="166"/>
        <v>5.6736842105263152</v>
      </c>
      <c r="P167" s="56">
        <f t="shared" ca="1" si="166"/>
        <v>5.6736842105263152</v>
      </c>
      <c r="Q167" s="56">
        <f t="shared" ca="1" si="166"/>
        <v>5.6736842105263152</v>
      </c>
      <c r="R167" s="56">
        <f t="shared" ca="1" si="166"/>
        <v>5.6736842105263152</v>
      </c>
      <c r="S167" s="56">
        <f t="shared" ca="1" si="166"/>
        <v>5.6736842105263152</v>
      </c>
      <c r="T167" s="56">
        <f t="shared" ca="1" si="166"/>
        <v>5.6736842105263152</v>
      </c>
      <c r="U167" s="56">
        <f t="shared" ca="1" si="166"/>
        <v>5.6736842105263152</v>
      </c>
      <c r="V167" s="56">
        <f t="shared" ca="1" si="166"/>
        <v>5.6736842105263152</v>
      </c>
      <c r="W167" s="56">
        <f t="shared" ca="1" si="166"/>
        <v>5.6736842105263152</v>
      </c>
      <c r="X167" s="56">
        <f t="shared" ca="1" si="166"/>
        <v>5.6736842105263152</v>
      </c>
      <c r="Y167" s="56">
        <f t="shared" ca="1" si="166"/>
        <v>5.6736842105263152</v>
      </c>
      <c r="Z167" s="56">
        <f t="shared" ca="1" si="166"/>
        <v>5.6736842105263152</v>
      </c>
      <c r="AA167" s="56">
        <f t="shared" ca="1" si="166"/>
        <v>5.6736842105263152</v>
      </c>
      <c r="AB167" s="56">
        <f t="shared" ca="1" si="166"/>
        <v>5.6736842105263152</v>
      </c>
      <c r="AC167" s="56">
        <f t="shared" ca="1" si="166"/>
        <v>5.6736842105263152</v>
      </c>
      <c r="AD167" s="56">
        <f t="shared" ca="1" si="166"/>
        <v>5.6736842105263152</v>
      </c>
      <c r="AE167" s="56">
        <f t="shared" ca="1" si="166"/>
        <v>5.6736842105263152</v>
      </c>
      <c r="AF167" s="56">
        <f t="shared" ca="1" si="166"/>
        <v>5.6736842105263152</v>
      </c>
      <c r="AG167" s="56">
        <f t="shared" ca="1" si="166"/>
        <v>5.6736842105263152</v>
      </c>
      <c r="AH167" s="56">
        <f t="shared" ca="1" si="166"/>
        <v>5.6736842105263152</v>
      </c>
      <c r="AI167" s="56">
        <f t="shared" ca="1" si="166"/>
        <v>5.6736842105263152</v>
      </c>
      <c r="AJ167" s="56">
        <f t="shared" ca="1" si="166"/>
        <v>5.6736842105263152</v>
      </c>
      <c r="AK167" s="56">
        <f t="shared" ca="1" si="166"/>
        <v>5.6736842105263152</v>
      </c>
      <c r="AL167" s="56">
        <f t="shared" ca="1" si="166"/>
        <v>5.6736842105263152</v>
      </c>
      <c r="AM167" s="56">
        <f t="shared" ca="1" si="166"/>
        <v>5.6736842105263152</v>
      </c>
      <c r="AN167" s="56">
        <f t="shared" ca="1" si="166"/>
        <v>5.6736842105263152</v>
      </c>
      <c r="AO167" s="56">
        <f t="shared" ca="1" si="166"/>
        <v>5.6736842105263152</v>
      </c>
      <c r="AP167" s="56">
        <f t="shared" ca="1" si="166"/>
        <v>5.6736842105263152</v>
      </c>
      <c r="AQ167" s="56">
        <f t="shared" ref="AQ167:BV167" ca="1" si="167">IF(AQ$139&lt;=$B$82+$B$83-1,$C114,0)</f>
        <v>5.6736842105263152</v>
      </c>
      <c r="AR167" s="56">
        <f t="shared" ca="1" si="167"/>
        <v>5.6736842105263152</v>
      </c>
      <c r="AS167" s="56">
        <f t="shared" ca="1" si="167"/>
        <v>5.6736842105263152</v>
      </c>
      <c r="AT167" s="56">
        <f t="shared" ca="1" si="167"/>
        <v>5.6736842105263152</v>
      </c>
      <c r="AU167" s="56">
        <f t="shared" ca="1" si="167"/>
        <v>5.6736842105263152</v>
      </c>
      <c r="AV167" s="56">
        <f t="shared" ca="1" si="167"/>
        <v>5.6736842105263152</v>
      </c>
      <c r="AW167" s="56">
        <f t="shared" ca="1" si="167"/>
        <v>5.6736842105263152</v>
      </c>
      <c r="AX167" s="56">
        <f t="shared" ca="1" si="167"/>
        <v>5.6736842105263152</v>
      </c>
      <c r="AY167" s="56">
        <f t="shared" ca="1" si="167"/>
        <v>5.6736842105263152</v>
      </c>
      <c r="AZ167" s="56">
        <f t="shared" ca="1" si="167"/>
        <v>5.6736842105263152</v>
      </c>
      <c r="BA167" s="56">
        <f t="shared" ca="1" si="167"/>
        <v>5.6736842105263152</v>
      </c>
      <c r="BB167" s="56">
        <f t="shared" ca="1" si="167"/>
        <v>5.6736842105263152</v>
      </c>
      <c r="BC167" s="56">
        <f t="shared" ca="1" si="167"/>
        <v>5.6736842105263152</v>
      </c>
      <c r="BD167" s="56">
        <f t="shared" ca="1" si="167"/>
        <v>5.6736842105263152</v>
      </c>
      <c r="BE167" s="56">
        <f t="shared" ca="1" si="167"/>
        <v>5.6736842105263152</v>
      </c>
      <c r="BF167" s="56">
        <f t="shared" ca="1" si="167"/>
        <v>5.6736842105263152</v>
      </c>
      <c r="BG167" s="56">
        <f t="shared" ca="1" si="167"/>
        <v>5.6736842105263152</v>
      </c>
      <c r="BH167" s="56">
        <f t="shared" ca="1" si="167"/>
        <v>5.6736842105263152</v>
      </c>
      <c r="BI167" s="56">
        <f t="shared" ca="1" si="167"/>
        <v>5.6736842105263152</v>
      </c>
      <c r="BJ167" s="56">
        <f t="shared" ca="1" si="167"/>
        <v>5.6736842105263152</v>
      </c>
      <c r="BK167" s="56">
        <f t="shared" ca="1" si="167"/>
        <v>5.6736842105263152</v>
      </c>
      <c r="BL167" s="56">
        <f t="shared" ca="1" si="167"/>
        <v>5.6736842105263152</v>
      </c>
      <c r="BM167" s="56">
        <f t="shared" ca="1" si="167"/>
        <v>5.6736842105263152</v>
      </c>
      <c r="BN167" s="56">
        <f t="shared" ca="1" si="167"/>
        <v>5.6736842105263152</v>
      </c>
      <c r="BO167" s="56">
        <f t="shared" ca="1" si="167"/>
        <v>5.6736842105263152</v>
      </c>
      <c r="BP167" s="56">
        <f t="shared" ca="1" si="167"/>
        <v>5.6736842105263152</v>
      </c>
      <c r="BQ167" s="56">
        <f t="shared" ca="1" si="167"/>
        <v>5.6736842105263152</v>
      </c>
      <c r="BR167" s="56">
        <f t="shared" ca="1" si="167"/>
        <v>5.6736842105263152</v>
      </c>
      <c r="BS167" s="56">
        <f t="shared" ca="1" si="167"/>
        <v>5.6736842105263152</v>
      </c>
      <c r="BT167" s="56">
        <f t="shared" ca="1" si="167"/>
        <v>5.6736842105263152</v>
      </c>
      <c r="BU167" s="56">
        <f t="shared" ca="1" si="167"/>
        <v>5.6736842105263152</v>
      </c>
      <c r="BV167" s="56">
        <f t="shared" ca="1" si="167"/>
        <v>5.6736842105263152</v>
      </c>
      <c r="BW167" s="56">
        <f t="shared" ref="BW167:DB167" ca="1" si="168">IF(BW$139&lt;=$B$82+$B$83-1,$C114,0)</f>
        <v>5.6736842105263152</v>
      </c>
      <c r="BX167" s="56">
        <f t="shared" ca="1" si="168"/>
        <v>5.6736842105263152</v>
      </c>
      <c r="BY167" s="56">
        <f t="shared" ca="1" si="168"/>
        <v>5.6736842105263152</v>
      </c>
      <c r="BZ167" s="56">
        <f t="shared" ca="1" si="168"/>
        <v>5.6736842105263152</v>
      </c>
      <c r="CA167" s="56">
        <f t="shared" ca="1" si="168"/>
        <v>5.6736842105263152</v>
      </c>
      <c r="CB167" s="56">
        <f t="shared" ca="1" si="168"/>
        <v>5.6736842105263152</v>
      </c>
      <c r="CC167" s="56">
        <f t="shared" ca="1" si="168"/>
        <v>5.6736842105263152</v>
      </c>
      <c r="CD167" s="56">
        <f t="shared" ca="1" si="168"/>
        <v>5.6736842105263152</v>
      </c>
      <c r="CE167" s="56">
        <f t="shared" ca="1" si="168"/>
        <v>5.6736842105263152</v>
      </c>
      <c r="CF167" s="56">
        <f t="shared" ca="1" si="168"/>
        <v>5.6736842105263152</v>
      </c>
      <c r="CG167" s="56">
        <f t="shared" ca="1" si="168"/>
        <v>5.6736842105263152</v>
      </c>
      <c r="CH167" s="56">
        <f t="shared" ca="1" si="168"/>
        <v>5.6736842105263152</v>
      </c>
      <c r="CI167" s="56">
        <f t="shared" ca="1" si="168"/>
        <v>5.6736842105263152</v>
      </c>
      <c r="CJ167" s="56">
        <f t="shared" ca="1" si="168"/>
        <v>5.6736842105263152</v>
      </c>
      <c r="CK167" s="56">
        <f t="shared" si="168"/>
        <v>0</v>
      </c>
      <c r="CL167" s="56">
        <f t="shared" si="168"/>
        <v>0</v>
      </c>
      <c r="CM167" s="56">
        <f t="shared" si="168"/>
        <v>0</v>
      </c>
      <c r="CN167" s="56">
        <f t="shared" si="168"/>
        <v>0</v>
      </c>
      <c r="CO167" s="56">
        <f t="shared" si="168"/>
        <v>0</v>
      </c>
      <c r="CP167" s="56">
        <f t="shared" si="168"/>
        <v>0</v>
      </c>
      <c r="CQ167" s="56">
        <f t="shared" si="168"/>
        <v>0</v>
      </c>
      <c r="CR167" s="56">
        <f t="shared" si="168"/>
        <v>0</v>
      </c>
      <c r="CS167" s="56">
        <f t="shared" si="168"/>
        <v>0</v>
      </c>
      <c r="CT167" s="56">
        <f t="shared" si="168"/>
        <v>0</v>
      </c>
      <c r="CU167" s="56">
        <f t="shared" si="168"/>
        <v>0</v>
      </c>
      <c r="CV167" s="56">
        <f t="shared" si="168"/>
        <v>0</v>
      </c>
      <c r="CW167" s="56">
        <f t="shared" si="168"/>
        <v>0</v>
      </c>
      <c r="CX167" s="56">
        <f t="shared" si="168"/>
        <v>0</v>
      </c>
      <c r="CY167" s="56">
        <f t="shared" si="168"/>
        <v>0</v>
      </c>
      <c r="CZ167" s="56">
        <f t="shared" si="168"/>
        <v>0</v>
      </c>
      <c r="DA167" s="56">
        <f t="shared" si="168"/>
        <v>0</v>
      </c>
      <c r="DB167" s="56">
        <f t="shared" si="168"/>
        <v>0</v>
      </c>
      <c r="DC167" s="56">
        <f t="shared" ref="DC167:EH167" si="169">IF(DC$139&lt;=$B$82+$B$83-1,$C114,0)</f>
        <v>0</v>
      </c>
      <c r="DD167" s="56">
        <f t="shared" si="169"/>
        <v>0</v>
      </c>
      <c r="DE167" s="56">
        <f t="shared" si="169"/>
        <v>0</v>
      </c>
      <c r="DF167" s="56">
        <f t="shared" si="169"/>
        <v>0</v>
      </c>
      <c r="DG167" s="56">
        <f t="shared" si="169"/>
        <v>0</v>
      </c>
      <c r="DH167" s="56">
        <f t="shared" si="169"/>
        <v>0</v>
      </c>
      <c r="DI167" s="56">
        <f t="shared" si="169"/>
        <v>0</v>
      </c>
      <c r="DJ167" s="56">
        <f t="shared" si="169"/>
        <v>0</v>
      </c>
      <c r="DK167" s="56">
        <f t="shared" si="169"/>
        <v>0</v>
      </c>
      <c r="DL167" s="56">
        <f t="shared" si="169"/>
        <v>0</v>
      </c>
      <c r="DM167" s="56">
        <f t="shared" si="169"/>
        <v>0</v>
      </c>
      <c r="DN167" s="56">
        <f t="shared" si="169"/>
        <v>0</v>
      </c>
      <c r="DO167" s="56">
        <f t="shared" si="169"/>
        <v>0</v>
      </c>
      <c r="DP167" s="56">
        <f t="shared" si="169"/>
        <v>0</v>
      </c>
      <c r="DQ167" s="56">
        <f t="shared" si="169"/>
        <v>0</v>
      </c>
      <c r="DR167" s="56">
        <f t="shared" si="169"/>
        <v>0</v>
      </c>
      <c r="DS167" s="56">
        <f t="shared" si="169"/>
        <v>0</v>
      </c>
      <c r="DT167" s="56">
        <f t="shared" si="169"/>
        <v>0</v>
      </c>
      <c r="DU167" s="56">
        <f t="shared" si="169"/>
        <v>0</v>
      </c>
      <c r="DV167" s="56">
        <f t="shared" si="169"/>
        <v>0</v>
      </c>
      <c r="DW167" s="56">
        <f t="shared" si="169"/>
        <v>0</v>
      </c>
      <c r="DX167" s="56">
        <f t="shared" si="169"/>
        <v>0</v>
      </c>
      <c r="DY167" s="56">
        <f t="shared" si="169"/>
        <v>0</v>
      </c>
      <c r="DZ167" s="56">
        <f t="shared" si="169"/>
        <v>0</v>
      </c>
      <c r="EA167" s="56">
        <f t="shared" si="169"/>
        <v>0</v>
      </c>
      <c r="EB167" s="56">
        <f t="shared" si="169"/>
        <v>0</v>
      </c>
      <c r="EC167" s="56">
        <f t="shared" si="169"/>
        <v>0</v>
      </c>
      <c r="ED167" s="56">
        <f t="shared" si="169"/>
        <v>0</v>
      </c>
      <c r="EE167" s="56">
        <f t="shared" si="169"/>
        <v>0</v>
      </c>
      <c r="EF167" s="56">
        <f t="shared" si="169"/>
        <v>0</v>
      </c>
      <c r="EG167" s="56">
        <f t="shared" si="169"/>
        <v>0</v>
      </c>
      <c r="EH167" s="56">
        <f t="shared" si="169"/>
        <v>0</v>
      </c>
      <c r="EI167" s="56">
        <f t="shared" ref="EI167:FN167" si="170">IF(EI$139&lt;=$B$82+$B$83-1,$C114,0)</f>
        <v>0</v>
      </c>
      <c r="EJ167" s="56">
        <f t="shared" si="170"/>
        <v>0</v>
      </c>
      <c r="EK167" s="56">
        <f t="shared" si="170"/>
        <v>0</v>
      </c>
      <c r="EL167" s="56">
        <f t="shared" si="170"/>
        <v>0</v>
      </c>
      <c r="EM167" s="56">
        <f t="shared" si="170"/>
        <v>0</v>
      </c>
      <c r="EN167" s="56">
        <f t="shared" si="170"/>
        <v>0</v>
      </c>
      <c r="EO167" s="56">
        <f t="shared" si="170"/>
        <v>0</v>
      </c>
      <c r="EP167" s="56">
        <f t="shared" si="170"/>
        <v>0</v>
      </c>
      <c r="EQ167" s="56">
        <f t="shared" si="170"/>
        <v>0</v>
      </c>
      <c r="ER167" s="56">
        <f t="shared" si="170"/>
        <v>0</v>
      </c>
      <c r="ES167" s="56">
        <f t="shared" si="170"/>
        <v>0</v>
      </c>
      <c r="ET167" s="56">
        <f t="shared" si="170"/>
        <v>0</v>
      </c>
      <c r="EU167" s="56">
        <f t="shared" si="170"/>
        <v>0</v>
      </c>
      <c r="EV167" s="56">
        <f t="shared" si="170"/>
        <v>0</v>
      </c>
      <c r="EW167" s="56">
        <f t="shared" si="170"/>
        <v>0</v>
      </c>
      <c r="EX167" s="56">
        <f t="shared" si="170"/>
        <v>0</v>
      </c>
      <c r="EY167" s="56">
        <f t="shared" si="170"/>
        <v>0</v>
      </c>
      <c r="EZ167" s="56">
        <f t="shared" si="170"/>
        <v>0</v>
      </c>
      <c r="FA167" s="56">
        <f t="shared" si="170"/>
        <v>0</v>
      </c>
      <c r="FB167" s="56">
        <f t="shared" si="170"/>
        <v>0</v>
      </c>
      <c r="FC167" s="56">
        <f t="shared" si="170"/>
        <v>0</v>
      </c>
      <c r="FD167" s="56">
        <f t="shared" si="170"/>
        <v>0</v>
      </c>
      <c r="FE167" s="56">
        <f t="shared" si="170"/>
        <v>0</v>
      </c>
      <c r="FF167" s="56">
        <f t="shared" si="170"/>
        <v>0</v>
      </c>
      <c r="FG167" s="56">
        <f t="shared" si="170"/>
        <v>0</v>
      </c>
      <c r="FH167" s="56">
        <f t="shared" si="170"/>
        <v>0</v>
      </c>
      <c r="FI167" s="56">
        <f t="shared" si="170"/>
        <v>0</v>
      </c>
      <c r="FJ167" s="56">
        <f t="shared" si="170"/>
        <v>0</v>
      </c>
      <c r="FK167" s="56">
        <f t="shared" si="170"/>
        <v>0</v>
      </c>
      <c r="FL167" s="56">
        <f t="shared" si="170"/>
        <v>0</v>
      </c>
      <c r="FM167" s="56">
        <f t="shared" si="170"/>
        <v>0</v>
      </c>
      <c r="FN167" s="56">
        <f t="shared" si="170"/>
        <v>0</v>
      </c>
      <c r="FO167" s="56">
        <f t="shared" ref="FO167:GP167" si="171">IF(FO$139&lt;=$B$82+$B$83-1,$C114,0)</f>
        <v>0</v>
      </c>
      <c r="FP167" s="56">
        <f t="shared" si="171"/>
        <v>0</v>
      </c>
      <c r="FQ167" s="56">
        <f t="shared" si="171"/>
        <v>0</v>
      </c>
      <c r="FR167" s="56">
        <f t="shared" si="171"/>
        <v>0</v>
      </c>
      <c r="FS167" s="56">
        <f t="shared" si="171"/>
        <v>0</v>
      </c>
      <c r="FT167" s="56">
        <f t="shared" si="171"/>
        <v>0</v>
      </c>
      <c r="FU167" s="56">
        <f t="shared" si="171"/>
        <v>0</v>
      </c>
      <c r="FV167" s="56">
        <f t="shared" si="171"/>
        <v>0</v>
      </c>
      <c r="FW167" s="56">
        <f t="shared" si="171"/>
        <v>0</v>
      </c>
      <c r="FX167" s="56">
        <f t="shared" si="171"/>
        <v>0</v>
      </c>
      <c r="FY167" s="56">
        <f t="shared" si="171"/>
        <v>0</v>
      </c>
      <c r="FZ167" s="56">
        <f t="shared" si="171"/>
        <v>0</v>
      </c>
      <c r="GA167" s="56">
        <f t="shared" si="171"/>
        <v>0</v>
      </c>
      <c r="GB167" s="56">
        <f t="shared" si="171"/>
        <v>0</v>
      </c>
      <c r="GC167" s="56">
        <f t="shared" si="171"/>
        <v>0</v>
      </c>
      <c r="GD167" s="56">
        <f t="shared" si="171"/>
        <v>0</v>
      </c>
      <c r="GE167" s="56">
        <f t="shared" si="171"/>
        <v>0</v>
      </c>
      <c r="GF167" s="56">
        <f t="shared" si="171"/>
        <v>0</v>
      </c>
      <c r="GG167" s="56">
        <f t="shared" si="171"/>
        <v>0</v>
      </c>
      <c r="GH167" s="56">
        <f t="shared" si="171"/>
        <v>0</v>
      </c>
      <c r="GI167" s="56">
        <f t="shared" si="171"/>
        <v>0</v>
      </c>
      <c r="GJ167" s="56">
        <f t="shared" si="171"/>
        <v>0</v>
      </c>
      <c r="GK167" s="56">
        <f t="shared" si="171"/>
        <v>0</v>
      </c>
      <c r="GL167" s="56">
        <f t="shared" si="171"/>
        <v>0</v>
      </c>
      <c r="GM167" s="56">
        <f t="shared" si="171"/>
        <v>0</v>
      </c>
      <c r="GN167" s="56">
        <f t="shared" si="171"/>
        <v>0</v>
      </c>
      <c r="GO167" s="56">
        <f t="shared" si="171"/>
        <v>0</v>
      </c>
      <c r="GP167" s="56">
        <f t="shared" si="171"/>
        <v>0</v>
      </c>
    </row>
    <row r="168" spans="1:198" x14ac:dyDescent="0.35">
      <c r="A168" s="55" t="str">
        <f t="shared" si="165"/>
        <v>India &gt; available now</v>
      </c>
      <c r="B168" s="55" t="s">
        <v>297</v>
      </c>
      <c r="K168" s="56">
        <f t="shared" ref="K168:AP168" ca="1" si="172">IF(K$139&lt;=$B$82+$B$83-1,$C115,0)</f>
        <v>1.6210526315789473</v>
      </c>
      <c r="L168" s="56">
        <f t="shared" ca="1" si="172"/>
        <v>1.6210526315789473</v>
      </c>
      <c r="M168" s="56">
        <f t="shared" ca="1" si="172"/>
        <v>1.6210526315789473</v>
      </c>
      <c r="N168" s="56">
        <f t="shared" ca="1" si="172"/>
        <v>1.6210526315789473</v>
      </c>
      <c r="O168" s="56">
        <f t="shared" ca="1" si="172"/>
        <v>1.6210526315789473</v>
      </c>
      <c r="P168" s="56">
        <f t="shared" ca="1" si="172"/>
        <v>1.6210526315789473</v>
      </c>
      <c r="Q168" s="56">
        <f t="shared" ca="1" si="172"/>
        <v>1.6210526315789473</v>
      </c>
      <c r="R168" s="56">
        <f t="shared" ca="1" si="172"/>
        <v>1.6210526315789473</v>
      </c>
      <c r="S168" s="56">
        <f t="shared" ca="1" si="172"/>
        <v>1.6210526315789473</v>
      </c>
      <c r="T168" s="56">
        <f t="shared" ca="1" si="172"/>
        <v>1.6210526315789473</v>
      </c>
      <c r="U168" s="56">
        <f t="shared" ca="1" si="172"/>
        <v>1.6210526315789473</v>
      </c>
      <c r="V168" s="56">
        <f t="shared" ca="1" si="172"/>
        <v>1.6210526315789473</v>
      </c>
      <c r="W168" s="56">
        <f t="shared" ca="1" si="172"/>
        <v>1.6210526315789473</v>
      </c>
      <c r="X168" s="56">
        <f t="shared" ca="1" si="172"/>
        <v>1.6210526315789473</v>
      </c>
      <c r="Y168" s="56">
        <f t="shared" ca="1" si="172"/>
        <v>1.6210526315789473</v>
      </c>
      <c r="Z168" s="56">
        <f t="shared" ca="1" si="172"/>
        <v>1.6210526315789473</v>
      </c>
      <c r="AA168" s="56">
        <f t="shared" ca="1" si="172"/>
        <v>1.6210526315789473</v>
      </c>
      <c r="AB168" s="56">
        <f t="shared" ca="1" si="172"/>
        <v>1.6210526315789473</v>
      </c>
      <c r="AC168" s="56">
        <f t="shared" ca="1" si="172"/>
        <v>1.6210526315789473</v>
      </c>
      <c r="AD168" s="56">
        <f t="shared" ca="1" si="172"/>
        <v>1.6210526315789473</v>
      </c>
      <c r="AE168" s="56">
        <f t="shared" ca="1" si="172"/>
        <v>1.6210526315789473</v>
      </c>
      <c r="AF168" s="56">
        <f t="shared" ca="1" si="172"/>
        <v>1.6210526315789473</v>
      </c>
      <c r="AG168" s="56">
        <f t="shared" ca="1" si="172"/>
        <v>1.6210526315789473</v>
      </c>
      <c r="AH168" s="56">
        <f t="shared" ca="1" si="172"/>
        <v>1.6210526315789473</v>
      </c>
      <c r="AI168" s="56">
        <f t="shared" ca="1" si="172"/>
        <v>1.6210526315789473</v>
      </c>
      <c r="AJ168" s="56">
        <f t="shared" ca="1" si="172"/>
        <v>1.6210526315789473</v>
      </c>
      <c r="AK168" s="56">
        <f t="shared" ca="1" si="172"/>
        <v>1.6210526315789473</v>
      </c>
      <c r="AL168" s="56">
        <f t="shared" ca="1" si="172"/>
        <v>1.6210526315789473</v>
      </c>
      <c r="AM168" s="56">
        <f t="shared" ca="1" si="172"/>
        <v>1.6210526315789473</v>
      </c>
      <c r="AN168" s="56">
        <f t="shared" ca="1" si="172"/>
        <v>1.6210526315789473</v>
      </c>
      <c r="AO168" s="56">
        <f t="shared" ca="1" si="172"/>
        <v>1.6210526315789473</v>
      </c>
      <c r="AP168" s="56">
        <f t="shared" ca="1" si="172"/>
        <v>1.6210526315789473</v>
      </c>
      <c r="AQ168" s="56">
        <f t="shared" ref="AQ168:BV168" ca="1" si="173">IF(AQ$139&lt;=$B$82+$B$83-1,$C115,0)</f>
        <v>1.6210526315789473</v>
      </c>
      <c r="AR168" s="56">
        <f t="shared" ca="1" si="173"/>
        <v>1.6210526315789473</v>
      </c>
      <c r="AS168" s="56">
        <f t="shared" ca="1" si="173"/>
        <v>1.6210526315789473</v>
      </c>
      <c r="AT168" s="56">
        <f t="shared" ca="1" si="173"/>
        <v>1.6210526315789473</v>
      </c>
      <c r="AU168" s="56">
        <f t="shared" ca="1" si="173"/>
        <v>1.6210526315789473</v>
      </c>
      <c r="AV168" s="56">
        <f t="shared" ca="1" si="173"/>
        <v>1.6210526315789473</v>
      </c>
      <c r="AW168" s="56">
        <f t="shared" ca="1" si="173"/>
        <v>1.6210526315789473</v>
      </c>
      <c r="AX168" s="56">
        <f t="shared" ca="1" si="173"/>
        <v>1.6210526315789473</v>
      </c>
      <c r="AY168" s="56">
        <f t="shared" ca="1" si="173"/>
        <v>1.6210526315789473</v>
      </c>
      <c r="AZ168" s="56">
        <f t="shared" ca="1" si="173"/>
        <v>1.6210526315789473</v>
      </c>
      <c r="BA168" s="56">
        <f t="shared" ca="1" si="173"/>
        <v>1.6210526315789473</v>
      </c>
      <c r="BB168" s="56">
        <f t="shared" ca="1" si="173"/>
        <v>1.6210526315789473</v>
      </c>
      <c r="BC168" s="56">
        <f t="shared" ca="1" si="173"/>
        <v>1.6210526315789473</v>
      </c>
      <c r="BD168" s="56">
        <f t="shared" ca="1" si="173"/>
        <v>1.6210526315789473</v>
      </c>
      <c r="BE168" s="56">
        <f t="shared" ca="1" si="173"/>
        <v>1.6210526315789473</v>
      </c>
      <c r="BF168" s="56">
        <f t="shared" ca="1" si="173"/>
        <v>1.6210526315789473</v>
      </c>
      <c r="BG168" s="56">
        <f t="shared" ca="1" si="173"/>
        <v>1.6210526315789473</v>
      </c>
      <c r="BH168" s="56">
        <f t="shared" ca="1" si="173"/>
        <v>1.6210526315789473</v>
      </c>
      <c r="BI168" s="56">
        <f t="shared" ca="1" si="173"/>
        <v>1.6210526315789473</v>
      </c>
      <c r="BJ168" s="56">
        <f t="shared" ca="1" si="173"/>
        <v>1.6210526315789473</v>
      </c>
      <c r="BK168" s="56">
        <f t="shared" ca="1" si="173"/>
        <v>1.6210526315789473</v>
      </c>
      <c r="BL168" s="56">
        <f t="shared" ca="1" si="173"/>
        <v>1.6210526315789473</v>
      </c>
      <c r="BM168" s="56">
        <f t="shared" ca="1" si="173"/>
        <v>1.6210526315789473</v>
      </c>
      <c r="BN168" s="56">
        <f t="shared" ca="1" si="173"/>
        <v>1.6210526315789473</v>
      </c>
      <c r="BO168" s="56">
        <f t="shared" ca="1" si="173"/>
        <v>1.6210526315789473</v>
      </c>
      <c r="BP168" s="56">
        <f t="shared" ca="1" si="173"/>
        <v>1.6210526315789473</v>
      </c>
      <c r="BQ168" s="56">
        <f t="shared" ca="1" si="173"/>
        <v>1.6210526315789473</v>
      </c>
      <c r="BR168" s="56">
        <f t="shared" ca="1" si="173"/>
        <v>1.6210526315789473</v>
      </c>
      <c r="BS168" s="56">
        <f t="shared" ca="1" si="173"/>
        <v>1.6210526315789473</v>
      </c>
      <c r="BT168" s="56">
        <f t="shared" ca="1" si="173"/>
        <v>1.6210526315789473</v>
      </c>
      <c r="BU168" s="56">
        <f t="shared" ca="1" si="173"/>
        <v>1.6210526315789473</v>
      </c>
      <c r="BV168" s="56">
        <f t="shared" ca="1" si="173"/>
        <v>1.6210526315789473</v>
      </c>
      <c r="BW168" s="56">
        <f t="shared" ref="BW168:DB168" ca="1" si="174">IF(BW$139&lt;=$B$82+$B$83-1,$C115,0)</f>
        <v>1.6210526315789473</v>
      </c>
      <c r="BX168" s="56">
        <f t="shared" ca="1" si="174"/>
        <v>1.6210526315789473</v>
      </c>
      <c r="BY168" s="56">
        <f t="shared" ca="1" si="174"/>
        <v>1.6210526315789473</v>
      </c>
      <c r="BZ168" s="56">
        <f t="shared" ca="1" si="174"/>
        <v>1.6210526315789473</v>
      </c>
      <c r="CA168" s="56">
        <f t="shared" ca="1" si="174"/>
        <v>1.6210526315789473</v>
      </c>
      <c r="CB168" s="56">
        <f t="shared" ca="1" si="174"/>
        <v>1.6210526315789473</v>
      </c>
      <c r="CC168" s="56">
        <f t="shared" ca="1" si="174"/>
        <v>1.6210526315789473</v>
      </c>
      <c r="CD168" s="56">
        <f t="shared" ca="1" si="174"/>
        <v>1.6210526315789473</v>
      </c>
      <c r="CE168" s="56">
        <f t="shared" ca="1" si="174"/>
        <v>1.6210526315789473</v>
      </c>
      <c r="CF168" s="56">
        <f t="shared" ca="1" si="174"/>
        <v>1.6210526315789473</v>
      </c>
      <c r="CG168" s="56">
        <f t="shared" ca="1" si="174"/>
        <v>1.6210526315789473</v>
      </c>
      <c r="CH168" s="56">
        <f t="shared" ca="1" si="174"/>
        <v>1.6210526315789473</v>
      </c>
      <c r="CI168" s="56">
        <f t="shared" ca="1" si="174"/>
        <v>1.6210526315789473</v>
      </c>
      <c r="CJ168" s="56">
        <f t="shared" ca="1" si="174"/>
        <v>1.6210526315789473</v>
      </c>
      <c r="CK168" s="56">
        <f t="shared" si="174"/>
        <v>0</v>
      </c>
      <c r="CL168" s="56">
        <f t="shared" si="174"/>
        <v>0</v>
      </c>
      <c r="CM168" s="56">
        <f t="shared" si="174"/>
        <v>0</v>
      </c>
      <c r="CN168" s="56">
        <f t="shared" si="174"/>
        <v>0</v>
      </c>
      <c r="CO168" s="56">
        <f t="shared" si="174"/>
        <v>0</v>
      </c>
      <c r="CP168" s="56">
        <f t="shared" si="174"/>
        <v>0</v>
      </c>
      <c r="CQ168" s="56">
        <f t="shared" si="174"/>
        <v>0</v>
      </c>
      <c r="CR168" s="56">
        <f t="shared" si="174"/>
        <v>0</v>
      </c>
      <c r="CS168" s="56">
        <f t="shared" si="174"/>
        <v>0</v>
      </c>
      <c r="CT168" s="56">
        <f t="shared" si="174"/>
        <v>0</v>
      </c>
      <c r="CU168" s="56">
        <f t="shared" si="174"/>
        <v>0</v>
      </c>
      <c r="CV168" s="56">
        <f t="shared" si="174"/>
        <v>0</v>
      </c>
      <c r="CW168" s="56">
        <f t="shared" si="174"/>
        <v>0</v>
      </c>
      <c r="CX168" s="56">
        <f t="shared" si="174"/>
        <v>0</v>
      </c>
      <c r="CY168" s="56">
        <f t="shared" si="174"/>
        <v>0</v>
      </c>
      <c r="CZ168" s="56">
        <f t="shared" si="174"/>
        <v>0</v>
      </c>
      <c r="DA168" s="56">
        <f t="shared" si="174"/>
        <v>0</v>
      </c>
      <c r="DB168" s="56">
        <f t="shared" si="174"/>
        <v>0</v>
      </c>
      <c r="DC168" s="56">
        <f t="shared" ref="DC168:EH168" si="175">IF(DC$139&lt;=$B$82+$B$83-1,$C115,0)</f>
        <v>0</v>
      </c>
      <c r="DD168" s="56">
        <f t="shared" si="175"/>
        <v>0</v>
      </c>
      <c r="DE168" s="56">
        <f t="shared" si="175"/>
        <v>0</v>
      </c>
      <c r="DF168" s="56">
        <f t="shared" si="175"/>
        <v>0</v>
      </c>
      <c r="DG168" s="56">
        <f t="shared" si="175"/>
        <v>0</v>
      </c>
      <c r="DH168" s="56">
        <f t="shared" si="175"/>
        <v>0</v>
      </c>
      <c r="DI168" s="56">
        <f t="shared" si="175"/>
        <v>0</v>
      </c>
      <c r="DJ168" s="56">
        <f t="shared" si="175"/>
        <v>0</v>
      </c>
      <c r="DK168" s="56">
        <f t="shared" si="175"/>
        <v>0</v>
      </c>
      <c r="DL168" s="56">
        <f t="shared" si="175"/>
        <v>0</v>
      </c>
      <c r="DM168" s="56">
        <f t="shared" si="175"/>
        <v>0</v>
      </c>
      <c r="DN168" s="56">
        <f t="shared" si="175"/>
        <v>0</v>
      </c>
      <c r="DO168" s="56">
        <f t="shared" si="175"/>
        <v>0</v>
      </c>
      <c r="DP168" s="56">
        <f t="shared" si="175"/>
        <v>0</v>
      </c>
      <c r="DQ168" s="56">
        <f t="shared" si="175"/>
        <v>0</v>
      </c>
      <c r="DR168" s="56">
        <f t="shared" si="175"/>
        <v>0</v>
      </c>
      <c r="DS168" s="56">
        <f t="shared" si="175"/>
        <v>0</v>
      </c>
      <c r="DT168" s="56">
        <f t="shared" si="175"/>
        <v>0</v>
      </c>
      <c r="DU168" s="56">
        <f t="shared" si="175"/>
        <v>0</v>
      </c>
      <c r="DV168" s="56">
        <f t="shared" si="175"/>
        <v>0</v>
      </c>
      <c r="DW168" s="56">
        <f t="shared" si="175"/>
        <v>0</v>
      </c>
      <c r="DX168" s="56">
        <f t="shared" si="175"/>
        <v>0</v>
      </c>
      <c r="DY168" s="56">
        <f t="shared" si="175"/>
        <v>0</v>
      </c>
      <c r="DZ168" s="56">
        <f t="shared" si="175"/>
        <v>0</v>
      </c>
      <c r="EA168" s="56">
        <f t="shared" si="175"/>
        <v>0</v>
      </c>
      <c r="EB168" s="56">
        <f t="shared" si="175"/>
        <v>0</v>
      </c>
      <c r="EC168" s="56">
        <f t="shared" si="175"/>
        <v>0</v>
      </c>
      <c r="ED168" s="56">
        <f t="shared" si="175"/>
        <v>0</v>
      </c>
      <c r="EE168" s="56">
        <f t="shared" si="175"/>
        <v>0</v>
      </c>
      <c r="EF168" s="56">
        <f t="shared" si="175"/>
        <v>0</v>
      </c>
      <c r="EG168" s="56">
        <f t="shared" si="175"/>
        <v>0</v>
      </c>
      <c r="EH168" s="56">
        <f t="shared" si="175"/>
        <v>0</v>
      </c>
      <c r="EI168" s="56">
        <f t="shared" ref="EI168:FN168" si="176">IF(EI$139&lt;=$B$82+$B$83-1,$C115,0)</f>
        <v>0</v>
      </c>
      <c r="EJ168" s="56">
        <f t="shared" si="176"/>
        <v>0</v>
      </c>
      <c r="EK168" s="56">
        <f t="shared" si="176"/>
        <v>0</v>
      </c>
      <c r="EL168" s="56">
        <f t="shared" si="176"/>
        <v>0</v>
      </c>
      <c r="EM168" s="56">
        <f t="shared" si="176"/>
        <v>0</v>
      </c>
      <c r="EN168" s="56">
        <f t="shared" si="176"/>
        <v>0</v>
      </c>
      <c r="EO168" s="56">
        <f t="shared" si="176"/>
        <v>0</v>
      </c>
      <c r="EP168" s="56">
        <f t="shared" si="176"/>
        <v>0</v>
      </c>
      <c r="EQ168" s="56">
        <f t="shared" si="176"/>
        <v>0</v>
      </c>
      <c r="ER168" s="56">
        <f t="shared" si="176"/>
        <v>0</v>
      </c>
      <c r="ES168" s="56">
        <f t="shared" si="176"/>
        <v>0</v>
      </c>
      <c r="ET168" s="56">
        <f t="shared" si="176"/>
        <v>0</v>
      </c>
      <c r="EU168" s="56">
        <f t="shared" si="176"/>
        <v>0</v>
      </c>
      <c r="EV168" s="56">
        <f t="shared" si="176"/>
        <v>0</v>
      </c>
      <c r="EW168" s="56">
        <f t="shared" si="176"/>
        <v>0</v>
      </c>
      <c r="EX168" s="56">
        <f t="shared" si="176"/>
        <v>0</v>
      </c>
      <c r="EY168" s="56">
        <f t="shared" si="176"/>
        <v>0</v>
      </c>
      <c r="EZ168" s="56">
        <f t="shared" si="176"/>
        <v>0</v>
      </c>
      <c r="FA168" s="56">
        <f t="shared" si="176"/>
        <v>0</v>
      </c>
      <c r="FB168" s="56">
        <f t="shared" si="176"/>
        <v>0</v>
      </c>
      <c r="FC168" s="56">
        <f t="shared" si="176"/>
        <v>0</v>
      </c>
      <c r="FD168" s="56">
        <f t="shared" si="176"/>
        <v>0</v>
      </c>
      <c r="FE168" s="56">
        <f t="shared" si="176"/>
        <v>0</v>
      </c>
      <c r="FF168" s="56">
        <f t="shared" si="176"/>
        <v>0</v>
      </c>
      <c r="FG168" s="56">
        <f t="shared" si="176"/>
        <v>0</v>
      </c>
      <c r="FH168" s="56">
        <f t="shared" si="176"/>
        <v>0</v>
      </c>
      <c r="FI168" s="56">
        <f t="shared" si="176"/>
        <v>0</v>
      </c>
      <c r="FJ168" s="56">
        <f t="shared" si="176"/>
        <v>0</v>
      </c>
      <c r="FK168" s="56">
        <f t="shared" si="176"/>
        <v>0</v>
      </c>
      <c r="FL168" s="56">
        <f t="shared" si="176"/>
        <v>0</v>
      </c>
      <c r="FM168" s="56">
        <f t="shared" si="176"/>
        <v>0</v>
      </c>
      <c r="FN168" s="56">
        <f t="shared" si="176"/>
        <v>0</v>
      </c>
      <c r="FO168" s="56">
        <f t="shared" ref="FO168:GP168" si="177">IF(FO$139&lt;=$B$82+$B$83-1,$C115,0)</f>
        <v>0</v>
      </c>
      <c r="FP168" s="56">
        <f t="shared" si="177"/>
        <v>0</v>
      </c>
      <c r="FQ168" s="56">
        <f t="shared" si="177"/>
        <v>0</v>
      </c>
      <c r="FR168" s="56">
        <f t="shared" si="177"/>
        <v>0</v>
      </c>
      <c r="FS168" s="56">
        <f t="shared" si="177"/>
        <v>0</v>
      </c>
      <c r="FT168" s="56">
        <f t="shared" si="177"/>
        <v>0</v>
      </c>
      <c r="FU168" s="56">
        <f t="shared" si="177"/>
        <v>0</v>
      </c>
      <c r="FV168" s="56">
        <f t="shared" si="177"/>
        <v>0</v>
      </c>
      <c r="FW168" s="56">
        <f t="shared" si="177"/>
        <v>0</v>
      </c>
      <c r="FX168" s="56">
        <f t="shared" si="177"/>
        <v>0</v>
      </c>
      <c r="FY168" s="56">
        <f t="shared" si="177"/>
        <v>0</v>
      </c>
      <c r="FZ168" s="56">
        <f t="shared" si="177"/>
        <v>0</v>
      </c>
      <c r="GA168" s="56">
        <f t="shared" si="177"/>
        <v>0</v>
      </c>
      <c r="GB168" s="56">
        <f t="shared" si="177"/>
        <v>0</v>
      </c>
      <c r="GC168" s="56">
        <f t="shared" si="177"/>
        <v>0</v>
      </c>
      <c r="GD168" s="56">
        <f t="shared" si="177"/>
        <v>0</v>
      </c>
      <c r="GE168" s="56">
        <f t="shared" si="177"/>
        <v>0</v>
      </c>
      <c r="GF168" s="56">
        <f t="shared" si="177"/>
        <v>0</v>
      </c>
      <c r="GG168" s="56">
        <f t="shared" si="177"/>
        <v>0</v>
      </c>
      <c r="GH168" s="56">
        <f t="shared" si="177"/>
        <v>0</v>
      </c>
      <c r="GI168" s="56">
        <f t="shared" si="177"/>
        <v>0</v>
      </c>
      <c r="GJ168" s="56">
        <f t="shared" si="177"/>
        <v>0</v>
      </c>
      <c r="GK168" s="56">
        <f t="shared" si="177"/>
        <v>0</v>
      </c>
      <c r="GL168" s="56">
        <f t="shared" si="177"/>
        <v>0</v>
      </c>
      <c r="GM168" s="56">
        <f t="shared" si="177"/>
        <v>0</v>
      </c>
      <c r="GN168" s="56">
        <f t="shared" si="177"/>
        <v>0</v>
      </c>
      <c r="GO168" s="56">
        <f t="shared" si="177"/>
        <v>0</v>
      </c>
      <c r="GP168" s="56">
        <f t="shared" si="177"/>
        <v>0</v>
      </c>
    </row>
    <row r="169" spans="1:198" x14ac:dyDescent="0.35">
      <c r="A169" s="55" t="str">
        <f t="shared" si="165"/>
        <v>UK &gt; available now</v>
      </c>
      <c r="B169" s="55" t="s">
        <v>297</v>
      </c>
      <c r="K169" s="56">
        <f t="shared" ref="K169:AP169" ca="1" si="178">IF(K$139&lt;=$B$82+$B$83-1,$C116,0)</f>
        <v>0.81052631578947365</v>
      </c>
      <c r="L169" s="56">
        <f t="shared" ca="1" si="178"/>
        <v>0.81052631578947365</v>
      </c>
      <c r="M169" s="56">
        <f t="shared" ca="1" si="178"/>
        <v>0.81052631578947365</v>
      </c>
      <c r="N169" s="56">
        <f t="shared" ca="1" si="178"/>
        <v>0.81052631578947365</v>
      </c>
      <c r="O169" s="56">
        <f t="shared" ca="1" si="178"/>
        <v>0.81052631578947365</v>
      </c>
      <c r="P169" s="56">
        <f t="shared" ca="1" si="178"/>
        <v>0.81052631578947365</v>
      </c>
      <c r="Q169" s="56">
        <f t="shared" ca="1" si="178"/>
        <v>0.81052631578947365</v>
      </c>
      <c r="R169" s="56">
        <f t="shared" ca="1" si="178"/>
        <v>0.81052631578947365</v>
      </c>
      <c r="S169" s="56">
        <f t="shared" ca="1" si="178"/>
        <v>0.81052631578947365</v>
      </c>
      <c r="T169" s="56">
        <f t="shared" ca="1" si="178"/>
        <v>0.81052631578947365</v>
      </c>
      <c r="U169" s="56">
        <f t="shared" ca="1" si="178"/>
        <v>0.81052631578947365</v>
      </c>
      <c r="V169" s="56">
        <f t="shared" ca="1" si="178"/>
        <v>0.81052631578947365</v>
      </c>
      <c r="W169" s="56">
        <f t="shared" ca="1" si="178"/>
        <v>0.81052631578947365</v>
      </c>
      <c r="X169" s="56">
        <f t="shared" ca="1" si="178"/>
        <v>0.81052631578947365</v>
      </c>
      <c r="Y169" s="56">
        <f t="shared" ca="1" si="178"/>
        <v>0.81052631578947365</v>
      </c>
      <c r="Z169" s="56">
        <f t="shared" ca="1" si="178"/>
        <v>0.81052631578947365</v>
      </c>
      <c r="AA169" s="56">
        <f t="shared" ca="1" si="178"/>
        <v>0.81052631578947365</v>
      </c>
      <c r="AB169" s="56">
        <f t="shared" ca="1" si="178"/>
        <v>0.81052631578947365</v>
      </c>
      <c r="AC169" s="56">
        <f t="shared" ca="1" si="178"/>
        <v>0.81052631578947365</v>
      </c>
      <c r="AD169" s="56">
        <f t="shared" ca="1" si="178"/>
        <v>0.81052631578947365</v>
      </c>
      <c r="AE169" s="56">
        <f t="shared" ca="1" si="178"/>
        <v>0.81052631578947365</v>
      </c>
      <c r="AF169" s="56">
        <f t="shared" ca="1" si="178"/>
        <v>0.81052631578947365</v>
      </c>
      <c r="AG169" s="56">
        <f t="shared" ca="1" si="178"/>
        <v>0.81052631578947365</v>
      </c>
      <c r="AH169" s="56">
        <f t="shared" ca="1" si="178"/>
        <v>0.81052631578947365</v>
      </c>
      <c r="AI169" s="56">
        <f t="shared" ca="1" si="178"/>
        <v>0.81052631578947365</v>
      </c>
      <c r="AJ169" s="56">
        <f t="shared" ca="1" si="178"/>
        <v>0.81052631578947365</v>
      </c>
      <c r="AK169" s="56">
        <f t="shared" ca="1" si="178"/>
        <v>0.81052631578947365</v>
      </c>
      <c r="AL169" s="56">
        <f t="shared" ca="1" si="178"/>
        <v>0.81052631578947365</v>
      </c>
      <c r="AM169" s="56">
        <f t="shared" ca="1" si="178"/>
        <v>0.81052631578947365</v>
      </c>
      <c r="AN169" s="56">
        <f t="shared" ca="1" si="178"/>
        <v>0.81052631578947365</v>
      </c>
      <c r="AO169" s="56">
        <f t="shared" ca="1" si="178"/>
        <v>0.81052631578947365</v>
      </c>
      <c r="AP169" s="56">
        <f t="shared" ca="1" si="178"/>
        <v>0.81052631578947365</v>
      </c>
      <c r="AQ169" s="56">
        <f t="shared" ref="AQ169:BV169" ca="1" si="179">IF(AQ$139&lt;=$B$82+$B$83-1,$C116,0)</f>
        <v>0.81052631578947365</v>
      </c>
      <c r="AR169" s="56">
        <f t="shared" ca="1" si="179"/>
        <v>0.81052631578947365</v>
      </c>
      <c r="AS169" s="56">
        <f t="shared" ca="1" si="179"/>
        <v>0.81052631578947365</v>
      </c>
      <c r="AT169" s="56">
        <f t="shared" ca="1" si="179"/>
        <v>0.81052631578947365</v>
      </c>
      <c r="AU169" s="56">
        <f t="shared" ca="1" si="179"/>
        <v>0.81052631578947365</v>
      </c>
      <c r="AV169" s="56">
        <f t="shared" ca="1" si="179"/>
        <v>0.81052631578947365</v>
      </c>
      <c r="AW169" s="56">
        <f t="shared" ca="1" si="179"/>
        <v>0.81052631578947365</v>
      </c>
      <c r="AX169" s="56">
        <f t="shared" ca="1" si="179"/>
        <v>0.81052631578947365</v>
      </c>
      <c r="AY169" s="56">
        <f t="shared" ca="1" si="179"/>
        <v>0.81052631578947365</v>
      </c>
      <c r="AZ169" s="56">
        <f t="shared" ca="1" si="179"/>
        <v>0.81052631578947365</v>
      </c>
      <c r="BA169" s="56">
        <f t="shared" ca="1" si="179"/>
        <v>0.81052631578947365</v>
      </c>
      <c r="BB169" s="56">
        <f t="shared" ca="1" si="179"/>
        <v>0.81052631578947365</v>
      </c>
      <c r="BC169" s="56">
        <f t="shared" ca="1" si="179"/>
        <v>0.81052631578947365</v>
      </c>
      <c r="BD169" s="56">
        <f t="shared" ca="1" si="179"/>
        <v>0.81052631578947365</v>
      </c>
      <c r="BE169" s="56">
        <f t="shared" ca="1" si="179"/>
        <v>0.81052631578947365</v>
      </c>
      <c r="BF169" s="56">
        <f t="shared" ca="1" si="179"/>
        <v>0.81052631578947365</v>
      </c>
      <c r="BG169" s="56">
        <f t="shared" ca="1" si="179"/>
        <v>0.81052631578947365</v>
      </c>
      <c r="BH169" s="56">
        <f t="shared" ca="1" si="179"/>
        <v>0.81052631578947365</v>
      </c>
      <c r="BI169" s="56">
        <f t="shared" ca="1" si="179"/>
        <v>0.81052631578947365</v>
      </c>
      <c r="BJ169" s="56">
        <f t="shared" ca="1" si="179"/>
        <v>0.81052631578947365</v>
      </c>
      <c r="BK169" s="56">
        <f t="shared" ca="1" si="179"/>
        <v>0.81052631578947365</v>
      </c>
      <c r="BL169" s="56">
        <f t="shared" ca="1" si="179"/>
        <v>0.81052631578947365</v>
      </c>
      <c r="BM169" s="56">
        <f t="shared" ca="1" si="179"/>
        <v>0.81052631578947365</v>
      </c>
      <c r="BN169" s="56">
        <f t="shared" ca="1" si="179"/>
        <v>0.81052631578947365</v>
      </c>
      <c r="BO169" s="56">
        <f t="shared" ca="1" si="179"/>
        <v>0.81052631578947365</v>
      </c>
      <c r="BP169" s="56">
        <f t="shared" ca="1" si="179"/>
        <v>0.81052631578947365</v>
      </c>
      <c r="BQ169" s="56">
        <f t="shared" ca="1" si="179"/>
        <v>0.81052631578947365</v>
      </c>
      <c r="BR169" s="56">
        <f t="shared" ca="1" si="179"/>
        <v>0.81052631578947365</v>
      </c>
      <c r="BS169" s="56">
        <f t="shared" ca="1" si="179"/>
        <v>0.81052631578947365</v>
      </c>
      <c r="BT169" s="56">
        <f t="shared" ca="1" si="179"/>
        <v>0.81052631578947365</v>
      </c>
      <c r="BU169" s="56">
        <f t="shared" ca="1" si="179"/>
        <v>0.81052631578947365</v>
      </c>
      <c r="BV169" s="56">
        <f t="shared" ca="1" si="179"/>
        <v>0.81052631578947365</v>
      </c>
      <c r="BW169" s="56">
        <f t="shared" ref="BW169:DB169" ca="1" si="180">IF(BW$139&lt;=$B$82+$B$83-1,$C116,0)</f>
        <v>0.81052631578947365</v>
      </c>
      <c r="BX169" s="56">
        <f t="shared" ca="1" si="180"/>
        <v>0.81052631578947365</v>
      </c>
      <c r="BY169" s="56">
        <f t="shared" ca="1" si="180"/>
        <v>0.81052631578947365</v>
      </c>
      <c r="BZ169" s="56">
        <f t="shared" ca="1" si="180"/>
        <v>0.81052631578947365</v>
      </c>
      <c r="CA169" s="56">
        <f t="shared" ca="1" si="180"/>
        <v>0.81052631578947365</v>
      </c>
      <c r="CB169" s="56">
        <f t="shared" ca="1" si="180"/>
        <v>0.81052631578947365</v>
      </c>
      <c r="CC169" s="56">
        <f t="shared" ca="1" si="180"/>
        <v>0.81052631578947365</v>
      </c>
      <c r="CD169" s="56">
        <f t="shared" ca="1" si="180"/>
        <v>0.81052631578947365</v>
      </c>
      <c r="CE169" s="56">
        <f t="shared" ca="1" si="180"/>
        <v>0.81052631578947365</v>
      </c>
      <c r="CF169" s="56">
        <f t="shared" ca="1" si="180"/>
        <v>0.81052631578947365</v>
      </c>
      <c r="CG169" s="56">
        <f t="shared" ca="1" si="180"/>
        <v>0.81052631578947365</v>
      </c>
      <c r="CH169" s="56">
        <f t="shared" ca="1" si="180"/>
        <v>0.81052631578947365</v>
      </c>
      <c r="CI169" s="56">
        <f t="shared" ca="1" si="180"/>
        <v>0.81052631578947365</v>
      </c>
      <c r="CJ169" s="56">
        <f t="shared" ca="1" si="180"/>
        <v>0.81052631578947365</v>
      </c>
      <c r="CK169" s="56">
        <f t="shared" si="180"/>
        <v>0</v>
      </c>
      <c r="CL169" s="56">
        <f t="shared" si="180"/>
        <v>0</v>
      </c>
      <c r="CM169" s="56">
        <f t="shared" si="180"/>
        <v>0</v>
      </c>
      <c r="CN169" s="56">
        <f t="shared" si="180"/>
        <v>0</v>
      </c>
      <c r="CO169" s="56">
        <f t="shared" si="180"/>
        <v>0</v>
      </c>
      <c r="CP169" s="56">
        <f t="shared" si="180"/>
        <v>0</v>
      </c>
      <c r="CQ169" s="56">
        <f t="shared" si="180"/>
        <v>0</v>
      </c>
      <c r="CR169" s="56">
        <f t="shared" si="180"/>
        <v>0</v>
      </c>
      <c r="CS169" s="56">
        <f t="shared" si="180"/>
        <v>0</v>
      </c>
      <c r="CT169" s="56">
        <f t="shared" si="180"/>
        <v>0</v>
      </c>
      <c r="CU169" s="56">
        <f t="shared" si="180"/>
        <v>0</v>
      </c>
      <c r="CV169" s="56">
        <f t="shared" si="180"/>
        <v>0</v>
      </c>
      <c r="CW169" s="56">
        <f t="shared" si="180"/>
        <v>0</v>
      </c>
      <c r="CX169" s="56">
        <f t="shared" si="180"/>
        <v>0</v>
      </c>
      <c r="CY169" s="56">
        <f t="shared" si="180"/>
        <v>0</v>
      </c>
      <c r="CZ169" s="56">
        <f t="shared" si="180"/>
        <v>0</v>
      </c>
      <c r="DA169" s="56">
        <f t="shared" si="180"/>
        <v>0</v>
      </c>
      <c r="DB169" s="56">
        <f t="shared" si="180"/>
        <v>0</v>
      </c>
      <c r="DC169" s="56">
        <f t="shared" ref="DC169:EH169" si="181">IF(DC$139&lt;=$B$82+$B$83-1,$C116,0)</f>
        <v>0</v>
      </c>
      <c r="DD169" s="56">
        <f t="shared" si="181"/>
        <v>0</v>
      </c>
      <c r="DE169" s="56">
        <f t="shared" si="181"/>
        <v>0</v>
      </c>
      <c r="DF169" s="56">
        <f t="shared" si="181"/>
        <v>0</v>
      </c>
      <c r="DG169" s="56">
        <f t="shared" si="181"/>
        <v>0</v>
      </c>
      <c r="DH169" s="56">
        <f t="shared" si="181"/>
        <v>0</v>
      </c>
      <c r="DI169" s="56">
        <f t="shared" si="181"/>
        <v>0</v>
      </c>
      <c r="DJ169" s="56">
        <f t="shared" si="181"/>
        <v>0</v>
      </c>
      <c r="DK169" s="56">
        <f t="shared" si="181"/>
        <v>0</v>
      </c>
      <c r="DL169" s="56">
        <f t="shared" si="181"/>
        <v>0</v>
      </c>
      <c r="DM169" s="56">
        <f t="shared" si="181"/>
        <v>0</v>
      </c>
      <c r="DN169" s="56">
        <f t="shared" si="181"/>
        <v>0</v>
      </c>
      <c r="DO169" s="56">
        <f t="shared" si="181"/>
        <v>0</v>
      </c>
      <c r="DP169" s="56">
        <f t="shared" si="181"/>
        <v>0</v>
      </c>
      <c r="DQ169" s="56">
        <f t="shared" si="181"/>
        <v>0</v>
      </c>
      <c r="DR169" s="56">
        <f t="shared" si="181"/>
        <v>0</v>
      </c>
      <c r="DS169" s="56">
        <f t="shared" si="181"/>
        <v>0</v>
      </c>
      <c r="DT169" s="56">
        <f t="shared" si="181"/>
        <v>0</v>
      </c>
      <c r="DU169" s="56">
        <f t="shared" si="181"/>
        <v>0</v>
      </c>
      <c r="DV169" s="56">
        <f t="shared" si="181"/>
        <v>0</v>
      </c>
      <c r="DW169" s="56">
        <f t="shared" si="181"/>
        <v>0</v>
      </c>
      <c r="DX169" s="56">
        <f t="shared" si="181"/>
        <v>0</v>
      </c>
      <c r="DY169" s="56">
        <f t="shared" si="181"/>
        <v>0</v>
      </c>
      <c r="DZ169" s="56">
        <f t="shared" si="181"/>
        <v>0</v>
      </c>
      <c r="EA169" s="56">
        <f t="shared" si="181"/>
        <v>0</v>
      </c>
      <c r="EB169" s="56">
        <f t="shared" si="181"/>
        <v>0</v>
      </c>
      <c r="EC169" s="56">
        <f t="shared" si="181"/>
        <v>0</v>
      </c>
      <c r="ED169" s="56">
        <f t="shared" si="181"/>
        <v>0</v>
      </c>
      <c r="EE169" s="56">
        <f t="shared" si="181"/>
        <v>0</v>
      </c>
      <c r="EF169" s="56">
        <f t="shared" si="181"/>
        <v>0</v>
      </c>
      <c r="EG169" s="56">
        <f t="shared" si="181"/>
        <v>0</v>
      </c>
      <c r="EH169" s="56">
        <f t="shared" si="181"/>
        <v>0</v>
      </c>
      <c r="EI169" s="56">
        <f t="shared" ref="EI169:FN169" si="182">IF(EI$139&lt;=$B$82+$B$83-1,$C116,0)</f>
        <v>0</v>
      </c>
      <c r="EJ169" s="56">
        <f t="shared" si="182"/>
        <v>0</v>
      </c>
      <c r="EK169" s="56">
        <f t="shared" si="182"/>
        <v>0</v>
      </c>
      <c r="EL169" s="56">
        <f t="shared" si="182"/>
        <v>0</v>
      </c>
      <c r="EM169" s="56">
        <f t="shared" si="182"/>
        <v>0</v>
      </c>
      <c r="EN169" s="56">
        <f t="shared" si="182"/>
        <v>0</v>
      </c>
      <c r="EO169" s="56">
        <f t="shared" si="182"/>
        <v>0</v>
      </c>
      <c r="EP169" s="56">
        <f t="shared" si="182"/>
        <v>0</v>
      </c>
      <c r="EQ169" s="56">
        <f t="shared" si="182"/>
        <v>0</v>
      </c>
      <c r="ER169" s="56">
        <f t="shared" si="182"/>
        <v>0</v>
      </c>
      <c r="ES169" s="56">
        <f t="shared" si="182"/>
        <v>0</v>
      </c>
      <c r="ET169" s="56">
        <f t="shared" si="182"/>
        <v>0</v>
      </c>
      <c r="EU169" s="56">
        <f t="shared" si="182"/>
        <v>0</v>
      </c>
      <c r="EV169" s="56">
        <f t="shared" si="182"/>
        <v>0</v>
      </c>
      <c r="EW169" s="56">
        <f t="shared" si="182"/>
        <v>0</v>
      </c>
      <c r="EX169" s="56">
        <f t="shared" si="182"/>
        <v>0</v>
      </c>
      <c r="EY169" s="56">
        <f t="shared" si="182"/>
        <v>0</v>
      </c>
      <c r="EZ169" s="56">
        <f t="shared" si="182"/>
        <v>0</v>
      </c>
      <c r="FA169" s="56">
        <f t="shared" si="182"/>
        <v>0</v>
      </c>
      <c r="FB169" s="56">
        <f t="shared" si="182"/>
        <v>0</v>
      </c>
      <c r="FC169" s="56">
        <f t="shared" si="182"/>
        <v>0</v>
      </c>
      <c r="FD169" s="56">
        <f t="shared" si="182"/>
        <v>0</v>
      </c>
      <c r="FE169" s="56">
        <f t="shared" si="182"/>
        <v>0</v>
      </c>
      <c r="FF169" s="56">
        <f t="shared" si="182"/>
        <v>0</v>
      </c>
      <c r="FG169" s="56">
        <f t="shared" si="182"/>
        <v>0</v>
      </c>
      <c r="FH169" s="56">
        <f t="shared" si="182"/>
        <v>0</v>
      </c>
      <c r="FI169" s="56">
        <f t="shared" si="182"/>
        <v>0</v>
      </c>
      <c r="FJ169" s="56">
        <f t="shared" si="182"/>
        <v>0</v>
      </c>
      <c r="FK169" s="56">
        <f t="shared" si="182"/>
        <v>0</v>
      </c>
      <c r="FL169" s="56">
        <f t="shared" si="182"/>
        <v>0</v>
      </c>
      <c r="FM169" s="56">
        <f t="shared" si="182"/>
        <v>0</v>
      </c>
      <c r="FN169" s="56">
        <f t="shared" si="182"/>
        <v>0</v>
      </c>
      <c r="FO169" s="56">
        <f t="shared" ref="FO169:GP169" si="183">IF(FO$139&lt;=$B$82+$B$83-1,$C116,0)</f>
        <v>0</v>
      </c>
      <c r="FP169" s="56">
        <f t="shared" si="183"/>
        <v>0</v>
      </c>
      <c r="FQ169" s="56">
        <f t="shared" si="183"/>
        <v>0</v>
      </c>
      <c r="FR169" s="56">
        <f t="shared" si="183"/>
        <v>0</v>
      </c>
      <c r="FS169" s="56">
        <f t="shared" si="183"/>
        <v>0</v>
      </c>
      <c r="FT169" s="56">
        <f t="shared" si="183"/>
        <v>0</v>
      </c>
      <c r="FU169" s="56">
        <f t="shared" si="183"/>
        <v>0</v>
      </c>
      <c r="FV169" s="56">
        <f t="shared" si="183"/>
        <v>0</v>
      </c>
      <c r="FW169" s="56">
        <f t="shared" si="183"/>
        <v>0</v>
      </c>
      <c r="FX169" s="56">
        <f t="shared" si="183"/>
        <v>0</v>
      </c>
      <c r="FY169" s="56">
        <f t="shared" si="183"/>
        <v>0</v>
      </c>
      <c r="FZ169" s="56">
        <f t="shared" si="183"/>
        <v>0</v>
      </c>
      <c r="GA169" s="56">
        <f t="shared" si="183"/>
        <v>0</v>
      </c>
      <c r="GB169" s="56">
        <f t="shared" si="183"/>
        <v>0</v>
      </c>
      <c r="GC169" s="56">
        <f t="shared" si="183"/>
        <v>0</v>
      </c>
      <c r="GD169" s="56">
        <f t="shared" si="183"/>
        <v>0</v>
      </c>
      <c r="GE169" s="56">
        <f t="shared" si="183"/>
        <v>0</v>
      </c>
      <c r="GF169" s="56">
        <f t="shared" si="183"/>
        <v>0</v>
      </c>
      <c r="GG169" s="56">
        <f t="shared" si="183"/>
        <v>0</v>
      </c>
      <c r="GH169" s="56">
        <f t="shared" si="183"/>
        <v>0</v>
      </c>
      <c r="GI169" s="56">
        <f t="shared" si="183"/>
        <v>0</v>
      </c>
      <c r="GJ169" s="56">
        <f t="shared" si="183"/>
        <v>0</v>
      </c>
      <c r="GK169" s="56">
        <f t="shared" si="183"/>
        <v>0</v>
      </c>
      <c r="GL169" s="56">
        <f t="shared" si="183"/>
        <v>0</v>
      </c>
      <c r="GM169" s="56">
        <f t="shared" si="183"/>
        <v>0</v>
      </c>
      <c r="GN169" s="56">
        <f t="shared" si="183"/>
        <v>0</v>
      </c>
      <c r="GO169" s="56">
        <f t="shared" si="183"/>
        <v>0</v>
      </c>
      <c r="GP169" s="56">
        <f t="shared" si="183"/>
        <v>0</v>
      </c>
    </row>
    <row r="170" spans="1:198" x14ac:dyDescent="0.35">
      <c r="A170" s="55" t="str">
        <f t="shared" si="165"/>
        <v>LATAM &gt; available now</v>
      </c>
      <c r="B170" s="55" t="s">
        <v>297</v>
      </c>
      <c r="K170" s="56">
        <f t="shared" ref="K170:AP170" ca="1" si="184">IF(K$139&lt;=$B$82+$B$83-1,$C117,0)</f>
        <v>1.6210526315789473</v>
      </c>
      <c r="L170" s="56">
        <f t="shared" ca="1" si="184"/>
        <v>1.6210526315789473</v>
      </c>
      <c r="M170" s="56">
        <f t="shared" ca="1" si="184"/>
        <v>1.6210526315789473</v>
      </c>
      <c r="N170" s="56">
        <f t="shared" ca="1" si="184"/>
        <v>1.6210526315789473</v>
      </c>
      <c r="O170" s="56">
        <f t="shared" ca="1" si="184"/>
        <v>1.6210526315789473</v>
      </c>
      <c r="P170" s="56">
        <f t="shared" ca="1" si="184"/>
        <v>1.6210526315789473</v>
      </c>
      <c r="Q170" s="56">
        <f t="shared" ca="1" si="184"/>
        <v>1.6210526315789473</v>
      </c>
      <c r="R170" s="56">
        <f t="shared" ca="1" si="184"/>
        <v>1.6210526315789473</v>
      </c>
      <c r="S170" s="56">
        <f t="shared" ca="1" si="184"/>
        <v>1.6210526315789473</v>
      </c>
      <c r="T170" s="56">
        <f t="shared" ca="1" si="184"/>
        <v>1.6210526315789473</v>
      </c>
      <c r="U170" s="56">
        <f t="shared" ca="1" si="184"/>
        <v>1.6210526315789473</v>
      </c>
      <c r="V170" s="56">
        <f t="shared" ca="1" si="184"/>
        <v>1.6210526315789473</v>
      </c>
      <c r="W170" s="56">
        <f t="shared" ca="1" si="184"/>
        <v>1.6210526315789473</v>
      </c>
      <c r="X170" s="56">
        <f t="shared" ca="1" si="184"/>
        <v>1.6210526315789473</v>
      </c>
      <c r="Y170" s="56">
        <f t="shared" ca="1" si="184"/>
        <v>1.6210526315789473</v>
      </c>
      <c r="Z170" s="56">
        <f t="shared" ca="1" si="184"/>
        <v>1.6210526315789473</v>
      </c>
      <c r="AA170" s="56">
        <f t="shared" ca="1" si="184"/>
        <v>1.6210526315789473</v>
      </c>
      <c r="AB170" s="56">
        <f t="shared" ca="1" si="184"/>
        <v>1.6210526315789473</v>
      </c>
      <c r="AC170" s="56">
        <f t="shared" ca="1" si="184"/>
        <v>1.6210526315789473</v>
      </c>
      <c r="AD170" s="56">
        <f t="shared" ca="1" si="184"/>
        <v>1.6210526315789473</v>
      </c>
      <c r="AE170" s="56">
        <f t="shared" ca="1" si="184"/>
        <v>1.6210526315789473</v>
      </c>
      <c r="AF170" s="56">
        <f t="shared" ca="1" si="184"/>
        <v>1.6210526315789473</v>
      </c>
      <c r="AG170" s="56">
        <f t="shared" ca="1" si="184"/>
        <v>1.6210526315789473</v>
      </c>
      <c r="AH170" s="56">
        <f t="shared" ca="1" si="184"/>
        <v>1.6210526315789473</v>
      </c>
      <c r="AI170" s="56">
        <f t="shared" ca="1" si="184"/>
        <v>1.6210526315789473</v>
      </c>
      <c r="AJ170" s="56">
        <f t="shared" ca="1" si="184"/>
        <v>1.6210526315789473</v>
      </c>
      <c r="AK170" s="56">
        <f t="shared" ca="1" si="184"/>
        <v>1.6210526315789473</v>
      </c>
      <c r="AL170" s="56">
        <f t="shared" ca="1" si="184"/>
        <v>1.6210526315789473</v>
      </c>
      <c r="AM170" s="56">
        <f t="shared" ca="1" si="184"/>
        <v>1.6210526315789473</v>
      </c>
      <c r="AN170" s="56">
        <f t="shared" ca="1" si="184"/>
        <v>1.6210526315789473</v>
      </c>
      <c r="AO170" s="56">
        <f t="shared" ca="1" si="184"/>
        <v>1.6210526315789473</v>
      </c>
      <c r="AP170" s="56">
        <f t="shared" ca="1" si="184"/>
        <v>1.6210526315789473</v>
      </c>
      <c r="AQ170" s="56">
        <f t="shared" ref="AQ170:BV170" ca="1" si="185">IF(AQ$139&lt;=$B$82+$B$83-1,$C117,0)</f>
        <v>1.6210526315789473</v>
      </c>
      <c r="AR170" s="56">
        <f t="shared" ca="1" si="185"/>
        <v>1.6210526315789473</v>
      </c>
      <c r="AS170" s="56">
        <f t="shared" ca="1" si="185"/>
        <v>1.6210526315789473</v>
      </c>
      <c r="AT170" s="56">
        <f t="shared" ca="1" si="185"/>
        <v>1.6210526315789473</v>
      </c>
      <c r="AU170" s="56">
        <f t="shared" ca="1" si="185"/>
        <v>1.6210526315789473</v>
      </c>
      <c r="AV170" s="56">
        <f t="shared" ca="1" si="185"/>
        <v>1.6210526315789473</v>
      </c>
      <c r="AW170" s="56">
        <f t="shared" ca="1" si="185"/>
        <v>1.6210526315789473</v>
      </c>
      <c r="AX170" s="56">
        <f t="shared" ca="1" si="185"/>
        <v>1.6210526315789473</v>
      </c>
      <c r="AY170" s="56">
        <f t="shared" ca="1" si="185"/>
        <v>1.6210526315789473</v>
      </c>
      <c r="AZ170" s="56">
        <f t="shared" ca="1" si="185"/>
        <v>1.6210526315789473</v>
      </c>
      <c r="BA170" s="56">
        <f t="shared" ca="1" si="185"/>
        <v>1.6210526315789473</v>
      </c>
      <c r="BB170" s="56">
        <f t="shared" ca="1" si="185"/>
        <v>1.6210526315789473</v>
      </c>
      <c r="BC170" s="56">
        <f t="shared" ca="1" si="185"/>
        <v>1.6210526315789473</v>
      </c>
      <c r="BD170" s="56">
        <f t="shared" ca="1" si="185"/>
        <v>1.6210526315789473</v>
      </c>
      <c r="BE170" s="56">
        <f t="shared" ca="1" si="185"/>
        <v>1.6210526315789473</v>
      </c>
      <c r="BF170" s="56">
        <f t="shared" ca="1" si="185"/>
        <v>1.6210526315789473</v>
      </c>
      <c r="BG170" s="56">
        <f t="shared" ca="1" si="185"/>
        <v>1.6210526315789473</v>
      </c>
      <c r="BH170" s="56">
        <f t="shared" ca="1" si="185"/>
        <v>1.6210526315789473</v>
      </c>
      <c r="BI170" s="56">
        <f t="shared" ca="1" si="185"/>
        <v>1.6210526315789473</v>
      </c>
      <c r="BJ170" s="56">
        <f t="shared" ca="1" si="185"/>
        <v>1.6210526315789473</v>
      </c>
      <c r="BK170" s="56">
        <f t="shared" ca="1" si="185"/>
        <v>1.6210526315789473</v>
      </c>
      <c r="BL170" s="56">
        <f t="shared" ca="1" si="185"/>
        <v>1.6210526315789473</v>
      </c>
      <c r="BM170" s="56">
        <f t="shared" ca="1" si="185"/>
        <v>1.6210526315789473</v>
      </c>
      <c r="BN170" s="56">
        <f t="shared" ca="1" si="185"/>
        <v>1.6210526315789473</v>
      </c>
      <c r="BO170" s="56">
        <f t="shared" ca="1" si="185"/>
        <v>1.6210526315789473</v>
      </c>
      <c r="BP170" s="56">
        <f t="shared" ca="1" si="185"/>
        <v>1.6210526315789473</v>
      </c>
      <c r="BQ170" s="56">
        <f t="shared" ca="1" si="185"/>
        <v>1.6210526315789473</v>
      </c>
      <c r="BR170" s="56">
        <f t="shared" ca="1" si="185"/>
        <v>1.6210526315789473</v>
      </c>
      <c r="BS170" s="56">
        <f t="shared" ca="1" si="185"/>
        <v>1.6210526315789473</v>
      </c>
      <c r="BT170" s="56">
        <f t="shared" ca="1" si="185"/>
        <v>1.6210526315789473</v>
      </c>
      <c r="BU170" s="56">
        <f t="shared" ca="1" si="185"/>
        <v>1.6210526315789473</v>
      </c>
      <c r="BV170" s="56">
        <f t="shared" ca="1" si="185"/>
        <v>1.6210526315789473</v>
      </c>
      <c r="BW170" s="56">
        <f t="shared" ref="BW170:DB170" ca="1" si="186">IF(BW$139&lt;=$B$82+$B$83-1,$C117,0)</f>
        <v>1.6210526315789473</v>
      </c>
      <c r="BX170" s="56">
        <f t="shared" ca="1" si="186"/>
        <v>1.6210526315789473</v>
      </c>
      <c r="BY170" s="56">
        <f t="shared" ca="1" si="186"/>
        <v>1.6210526315789473</v>
      </c>
      <c r="BZ170" s="56">
        <f t="shared" ca="1" si="186"/>
        <v>1.6210526315789473</v>
      </c>
      <c r="CA170" s="56">
        <f t="shared" ca="1" si="186"/>
        <v>1.6210526315789473</v>
      </c>
      <c r="CB170" s="56">
        <f t="shared" ca="1" si="186"/>
        <v>1.6210526315789473</v>
      </c>
      <c r="CC170" s="56">
        <f t="shared" ca="1" si="186"/>
        <v>1.6210526315789473</v>
      </c>
      <c r="CD170" s="56">
        <f t="shared" ca="1" si="186"/>
        <v>1.6210526315789473</v>
      </c>
      <c r="CE170" s="56">
        <f t="shared" ca="1" si="186"/>
        <v>1.6210526315789473</v>
      </c>
      <c r="CF170" s="56">
        <f t="shared" ca="1" si="186"/>
        <v>1.6210526315789473</v>
      </c>
      <c r="CG170" s="56">
        <f t="shared" ca="1" si="186"/>
        <v>1.6210526315789473</v>
      </c>
      <c r="CH170" s="56">
        <f t="shared" ca="1" si="186"/>
        <v>1.6210526315789473</v>
      </c>
      <c r="CI170" s="56">
        <f t="shared" ca="1" si="186"/>
        <v>1.6210526315789473</v>
      </c>
      <c r="CJ170" s="56">
        <f t="shared" ca="1" si="186"/>
        <v>1.6210526315789473</v>
      </c>
      <c r="CK170" s="56">
        <f t="shared" si="186"/>
        <v>0</v>
      </c>
      <c r="CL170" s="56">
        <f t="shared" si="186"/>
        <v>0</v>
      </c>
      <c r="CM170" s="56">
        <f t="shared" si="186"/>
        <v>0</v>
      </c>
      <c r="CN170" s="56">
        <f t="shared" si="186"/>
        <v>0</v>
      </c>
      <c r="CO170" s="56">
        <f t="shared" si="186"/>
        <v>0</v>
      </c>
      <c r="CP170" s="56">
        <f t="shared" si="186"/>
        <v>0</v>
      </c>
      <c r="CQ170" s="56">
        <f t="shared" si="186"/>
        <v>0</v>
      </c>
      <c r="CR170" s="56">
        <f t="shared" si="186"/>
        <v>0</v>
      </c>
      <c r="CS170" s="56">
        <f t="shared" si="186"/>
        <v>0</v>
      </c>
      <c r="CT170" s="56">
        <f t="shared" si="186"/>
        <v>0</v>
      </c>
      <c r="CU170" s="56">
        <f t="shared" si="186"/>
        <v>0</v>
      </c>
      <c r="CV170" s="56">
        <f t="shared" si="186"/>
        <v>0</v>
      </c>
      <c r="CW170" s="56">
        <f t="shared" si="186"/>
        <v>0</v>
      </c>
      <c r="CX170" s="56">
        <f t="shared" si="186"/>
        <v>0</v>
      </c>
      <c r="CY170" s="56">
        <f t="shared" si="186"/>
        <v>0</v>
      </c>
      <c r="CZ170" s="56">
        <f t="shared" si="186"/>
        <v>0</v>
      </c>
      <c r="DA170" s="56">
        <f t="shared" si="186"/>
        <v>0</v>
      </c>
      <c r="DB170" s="56">
        <f t="shared" si="186"/>
        <v>0</v>
      </c>
      <c r="DC170" s="56">
        <f t="shared" ref="DC170:EH170" si="187">IF(DC$139&lt;=$B$82+$B$83-1,$C117,0)</f>
        <v>0</v>
      </c>
      <c r="DD170" s="56">
        <f t="shared" si="187"/>
        <v>0</v>
      </c>
      <c r="DE170" s="56">
        <f t="shared" si="187"/>
        <v>0</v>
      </c>
      <c r="DF170" s="56">
        <f t="shared" si="187"/>
        <v>0</v>
      </c>
      <c r="DG170" s="56">
        <f t="shared" si="187"/>
        <v>0</v>
      </c>
      <c r="DH170" s="56">
        <f t="shared" si="187"/>
        <v>0</v>
      </c>
      <c r="DI170" s="56">
        <f t="shared" si="187"/>
        <v>0</v>
      </c>
      <c r="DJ170" s="56">
        <f t="shared" si="187"/>
        <v>0</v>
      </c>
      <c r="DK170" s="56">
        <f t="shared" si="187"/>
        <v>0</v>
      </c>
      <c r="DL170" s="56">
        <f t="shared" si="187"/>
        <v>0</v>
      </c>
      <c r="DM170" s="56">
        <f t="shared" si="187"/>
        <v>0</v>
      </c>
      <c r="DN170" s="56">
        <f t="shared" si="187"/>
        <v>0</v>
      </c>
      <c r="DO170" s="56">
        <f t="shared" si="187"/>
        <v>0</v>
      </c>
      <c r="DP170" s="56">
        <f t="shared" si="187"/>
        <v>0</v>
      </c>
      <c r="DQ170" s="56">
        <f t="shared" si="187"/>
        <v>0</v>
      </c>
      <c r="DR170" s="56">
        <f t="shared" si="187"/>
        <v>0</v>
      </c>
      <c r="DS170" s="56">
        <f t="shared" si="187"/>
        <v>0</v>
      </c>
      <c r="DT170" s="56">
        <f t="shared" si="187"/>
        <v>0</v>
      </c>
      <c r="DU170" s="56">
        <f t="shared" si="187"/>
        <v>0</v>
      </c>
      <c r="DV170" s="56">
        <f t="shared" si="187"/>
        <v>0</v>
      </c>
      <c r="DW170" s="56">
        <f t="shared" si="187"/>
        <v>0</v>
      </c>
      <c r="DX170" s="56">
        <f t="shared" si="187"/>
        <v>0</v>
      </c>
      <c r="DY170" s="56">
        <f t="shared" si="187"/>
        <v>0</v>
      </c>
      <c r="DZ170" s="56">
        <f t="shared" si="187"/>
        <v>0</v>
      </c>
      <c r="EA170" s="56">
        <f t="shared" si="187"/>
        <v>0</v>
      </c>
      <c r="EB170" s="56">
        <f t="shared" si="187"/>
        <v>0</v>
      </c>
      <c r="EC170" s="56">
        <f t="shared" si="187"/>
        <v>0</v>
      </c>
      <c r="ED170" s="56">
        <f t="shared" si="187"/>
        <v>0</v>
      </c>
      <c r="EE170" s="56">
        <f t="shared" si="187"/>
        <v>0</v>
      </c>
      <c r="EF170" s="56">
        <f t="shared" si="187"/>
        <v>0</v>
      </c>
      <c r="EG170" s="56">
        <f t="shared" si="187"/>
        <v>0</v>
      </c>
      <c r="EH170" s="56">
        <f t="shared" si="187"/>
        <v>0</v>
      </c>
      <c r="EI170" s="56">
        <f t="shared" ref="EI170:FN170" si="188">IF(EI$139&lt;=$B$82+$B$83-1,$C117,0)</f>
        <v>0</v>
      </c>
      <c r="EJ170" s="56">
        <f t="shared" si="188"/>
        <v>0</v>
      </c>
      <c r="EK170" s="56">
        <f t="shared" si="188"/>
        <v>0</v>
      </c>
      <c r="EL170" s="56">
        <f t="shared" si="188"/>
        <v>0</v>
      </c>
      <c r="EM170" s="56">
        <f t="shared" si="188"/>
        <v>0</v>
      </c>
      <c r="EN170" s="56">
        <f t="shared" si="188"/>
        <v>0</v>
      </c>
      <c r="EO170" s="56">
        <f t="shared" si="188"/>
        <v>0</v>
      </c>
      <c r="EP170" s="56">
        <f t="shared" si="188"/>
        <v>0</v>
      </c>
      <c r="EQ170" s="56">
        <f t="shared" si="188"/>
        <v>0</v>
      </c>
      <c r="ER170" s="56">
        <f t="shared" si="188"/>
        <v>0</v>
      </c>
      <c r="ES170" s="56">
        <f t="shared" si="188"/>
        <v>0</v>
      </c>
      <c r="ET170" s="56">
        <f t="shared" si="188"/>
        <v>0</v>
      </c>
      <c r="EU170" s="56">
        <f t="shared" si="188"/>
        <v>0</v>
      </c>
      <c r="EV170" s="56">
        <f t="shared" si="188"/>
        <v>0</v>
      </c>
      <c r="EW170" s="56">
        <f t="shared" si="188"/>
        <v>0</v>
      </c>
      <c r="EX170" s="56">
        <f t="shared" si="188"/>
        <v>0</v>
      </c>
      <c r="EY170" s="56">
        <f t="shared" si="188"/>
        <v>0</v>
      </c>
      <c r="EZ170" s="56">
        <f t="shared" si="188"/>
        <v>0</v>
      </c>
      <c r="FA170" s="56">
        <f t="shared" si="188"/>
        <v>0</v>
      </c>
      <c r="FB170" s="56">
        <f t="shared" si="188"/>
        <v>0</v>
      </c>
      <c r="FC170" s="56">
        <f t="shared" si="188"/>
        <v>0</v>
      </c>
      <c r="FD170" s="56">
        <f t="shared" si="188"/>
        <v>0</v>
      </c>
      <c r="FE170" s="56">
        <f t="shared" si="188"/>
        <v>0</v>
      </c>
      <c r="FF170" s="56">
        <f t="shared" si="188"/>
        <v>0</v>
      </c>
      <c r="FG170" s="56">
        <f t="shared" si="188"/>
        <v>0</v>
      </c>
      <c r="FH170" s="56">
        <f t="shared" si="188"/>
        <v>0</v>
      </c>
      <c r="FI170" s="56">
        <f t="shared" si="188"/>
        <v>0</v>
      </c>
      <c r="FJ170" s="56">
        <f t="shared" si="188"/>
        <v>0</v>
      </c>
      <c r="FK170" s="56">
        <f t="shared" si="188"/>
        <v>0</v>
      </c>
      <c r="FL170" s="56">
        <f t="shared" si="188"/>
        <v>0</v>
      </c>
      <c r="FM170" s="56">
        <f t="shared" si="188"/>
        <v>0</v>
      </c>
      <c r="FN170" s="56">
        <f t="shared" si="188"/>
        <v>0</v>
      </c>
      <c r="FO170" s="56">
        <f t="shared" ref="FO170:GP170" si="189">IF(FO$139&lt;=$B$82+$B$83-1,$C117,0)</f>
        <v>0</v>
      </c>
      <c r="FP170" s="56">
        <f t="shared" si="189"/>
        <v>0</v>
      </c>
      <c r="FQ170" s="56">
        <f t="shared" si="189"/>
        <v>0</v>
      </c>
      <c r="FR170" s="56">
        <f t="shared" si="189"/>
        <v>0</v>
      </c>
      <c r="FS170" s="56">
        <f t="shared" si="189"/>
        <v>0</v>
      </c>
      <c r="FT170" s="56">
        <f t="shared" si="189"/>
        <v>0</v>
      </c>
      <c r="FU170" s="56">
        <f t="shared" si="189"/>
        <v>0</v>
      </c>
      <c r="FV170" s="56">
        <f t="shared" si="189"/>
        <v>0</v>
      </c>
      <c r="FW170" s="56">
        <f t="shared" si="189"/>
        <v>0</v>
      </c>
      <c r="FX170" s="56">
        <f t="shared" si="189"/>
        <v>0</v>
      </c>
      <c r="FY170" s="56">
        <f t="shared" si="189"/>
        <v>0</v>
      </c>
      <c r="FZ170" s="56">
        <f t="shared" si="189"/>
        <v>0</v>
      </c>
      <c r="GA170" s="56">
        <f t="shared" si="189"/>
        <v>0</v>
      </c>
      <c r="GB170" s="56">
        <f t="shared" si="189"/>
        <v>0</v>
      </c>
      <c r="GC170" s="56">
        <f t="shared" si="189"/>
        <v>0</v>
      </c>
      <c r="GD170" s="56">
        <f t="shared" si="189"/>
        <v>0</v>
      </c>
      <c r="GE170" s="56">
        <f t="shared" si="189"/>
        <v>0</v>
      </c>
      <c r="GF170" s="56">
        <f t="shared" si="189"/>
        <v>0</v>
      </c>
      <c r="GG170" s="56">
        <f t="shared" si="189"/>
        <v>0</v>
      </c>
      <c r="GH170" s="56">
        <f t="shared" si="189"/>
        <v>0</v>
      </c>
      <c r="GI170" s="56">
        <f t="shared" si="189"/>
        <v>0</v>
      </c>
      <c r="GJ170" s="56">
        <f t="shared" si="189"/>
        <v>0</v>
      </c>
      <c r="GK170" s="56">
        <f t="shared" si="189"/>
        <v>0</v>
      </c>
      <c r="GL170" s="56">
        <f t="shared" si="189"/>
        <v>0</v>
      </c>
      <c r="GM170" s="56">
        <f t="shared" si="189"/>
        <v>0</v>
      </c>
      <c r="GN170" s="56">
        <f t="shared" si="189"/>
        <v>0</v>
      </c>
      <c r="GO170" s="56">
        <f t="shared" si="189"/>
        <v>0</v>
      </c>
      <c r="GP170" s="56">
        <f t="shared" si="189"/>
        <v>0</v>
      </c>
    </row>
    <row r="171" spans="1:198" x14ac:dyDescent="0.35">
      <c r="A171" s="55" t="str">
        <f t="shared" si="165"/>
        <v>Canada &gt; available now</v>
      </c>
      <c r="B171" s="55" t="s">
        <v>297</v>
      </c>
      <c r="K171" s="56">
        <f t="shared" ref="K171:AP171" ca="1" si="190">IF(K$139&lt;=$B$82+$B$83-1,$C118,0)</f>
        <v>0</v>
      </c>
      <c r="L171" s="56">
        <f t="shared" ca="1" si="190"/>
        <v>0</v>
      </c>
      <c r="M171" s="56">
        <f t="shared" ca="1" si="190"/>
        <v>0</v>
      </c>
      <c r="N171" s="56">
        <f t="shared" ca="1" si="190"/>
        <v>0</v>
      </c>
      <c r="O171" s="56">
        <f t="shared" ca="1" si="190"/>
        <v>0</v>
      </c>
      <c r="P171" s="56">
        <f t="shared" ca="1" si="190"/>
        <v>0</v>
      </c>
      <c r="Q171" s="56">
        <f t="shared" ca="1" si="190"/>
        <v>0</v>
      </c>
      <c r="R171" s="56">
        <f t="shared" ca="1" si="190"/>
        <v>0</v>
      </c>
      <c r="S171" s="56">
        <f t="shared" ca="1" si="190"/>
        <v>0</v>
      </c>
      <c r="T171" s="56">
        <f t="shared" ca="1" si="190"/>
        <v>0</v>
      </c>
      <c r="U171" s="56">
        <f t="shared" ca="1" si="190"/>
        <v>0</v>
      </c>
      <c r="V171" s="56">
        <f t="shared" ca="1" si="190"/>
        <v>0</v>
      </c>
      <c r="W171" s="56">
        <f t="shared" ca="1" si="190"/>
        <v>0</v>
      </c>
      <c r="X171" s="56">
        <f t="shared" ca="1" si="190"/>
        <v>0</v>
      </c>
      <c r="Y171" s="56">
        <f t="shared" ca="1" si="190"/>
        <v>0</v>
      </c>
      <c r="Z171" s="56">
        <f t="shared" ca="1" si="190"/>
        <v>0</v>
      </c>
      <c r="AA171" s="56">
        <f t="shared" ca="1" si="190"/>
        <v>0</v>
      </c>
      <c r="AB171" s="56">
        <f t="shared" ca="1" si="190"/>
        <v>0</v>
      </c>
      <c r="AC171" s="56">
        <f t="shared" ca="1" si="190"/>
        <v>0</v>
      </c>
      <c r="AD171" s="56">
        <f t="shared" ca="1" si="190"/>
        <v>0</v>
      </c>
      <c r="AE171" s="56">
        <f t="shared" ca="1" si="190"/>
        <v>0</v>
      </c>
      <c r="AF171" s="56">
        <f t="shared" ca="1" si="190"/>
        <v>0</v>
      </c>
      <c r="AG171" s="56">
        <f t="shared" ca="1" si="190"/>
        <v>0</v>
      </c>
      <c r="AH171" s="56">
        <f t="shared" ca="1" si="190"/>
        <v>0</v>
      </c>
      <c r="AI171" s="56">
        <f t="shared" ca="1" si="190"/>
        <v>0</v>
      </c>
      <c r="AJ171" s="56">
        <f t="shared" ca="1" si="190"/>
        <v>0</v>
      </c>
      <c r="AK171" s="56">
        <f t="shared" ca="1" si="190"/>
        <v>0</v>
      </c>
      <c r="AL171" s="56">
        <f t="shared" ca="1" si="190"/>
        <v>0</v>
      </c>
      <c r="AM171" s="56">
        <f t="shared" ca="1" si="190"/>
        <v>0</v>
      </c>
      <c r="AN171" s="56">
        <f t="shared" ca="1" si="190"/>
        <v>0</v>
      </c>
      <c r="AO171" s="56">
        <f t="shared" ca="1" si="190"/>
        <v>0</v>
      </c>
      <c r="AP171" s="56">
        <f t="shared" ca="1" si="190"/>
        <v>0</v>
      </c>
      <c r="AQ171" s="56">
        <f t="shared" ref="AQ171:BV171" ca="1" si="191">IF(AQ$139&lt;=$B$82+$B$83-1,$C118,0)</f>
        <v>0</v>
      </c>
      <c r="AR171" s="56">
        <f t="shared" ca="1" si="191"/>
        <v>0</v>
      </c>
      <c r="AS171" s="56">
        <f t="shared" ca="1" si="191"/>
        <v>0</v>
      </c>
      <c r="AT171" s="56">
        <f t="shared" ca="1" si="191"/>
        <v>0</v>
      </c>
      <c r="AU171" s="56">
        <f t="shared" ca="1" si="191"/>
        <v>0</v>
      </c>
      <c r="AV171" s="56">
        <f t="shared" ca="1" si="191"/>
        <v>0</v>
      </c>
      <c r="AW171" s="56">
        <f t="shared" ca="1" si="191"/>
        <v>0</v>
      </c>
      <c r="AX171" s="56">
        <f t="shared" ca="1" si="191"/>
        <v>0</v>
      </c>
      <c r="AY171" s="56">
        <f t="shared" ca="1" si="191"/>
        <v>0</v>
      </c>
      <c r="AZ171" s="56">
        <f t="shared" ca="1" si="191"/>
        <v>0</v>
      </c>
      <c r="BA171" s="56">
        <f t="shared" ca="1" si="191"/>
        <v>0</v>
      </c>
      <c r="BB171" s="56">
        <f t="shared" ca="1" si="191"/>
        <v>0</v>
      </c>
      <c r="BC171" s="56">
        <f t="shared" ca="1" si="191"/>
        <v>0</v>
      </c>
      <c r="BD171" s="56">
        <f t="shared" ca="1" si="191"/>
        <v>0</v>
      </c>
      <c r="BE171" s="56">
        <f t="shared" ca="1" si="191"/>
        <v>0</v>
      </c>
      <c r="BF171" s="56">
        <f t="shared" ca="1" si="191"/>
        <v>0</v>
      </c>
      <c r="BG171" s="56">
        <f t="shared" ca="1" si="191"/>
        <v>0</v>
      </c>
      <c r="BH171" s="56">
        <f t="shared" ca="1" si="191"/>
        <v>0</v>
      </c>
      <c r="BI171" s="56">
        <f t="shared" ca="1" si="191"/>
        <v>0</v>
      </c>
      <c r="BJ171" s="56">
        <f t="shared" ca="1" si="191"/>
        <v>0</v>
      </c>
      <c r="BK171" s="56">
        <f t="shared" ca="1" si="191"/>
        <v>0</v>
      </c>
      <c r="BL171" s="56">
        <f t="shared" ca="1" si="191"/>
        <v>0</v>
      </c>
      <c r="BM171" s="56">
        <f t="shared" ca="1" si="191"/>
        <v>0</v>
      </c>
      <c r="BN171" s="56">
        <f t="shared" ca="1" si="191"/>
        <v>0</v>
      </c>
      <c r="BO171" s="56">
        <f t="shared" ca="1" si="191"/>
        <v>0</v>
      </c>
      <c r="BP171" s="56">
        <f t="shared" ca="1" si="191"/>
        <v>0</v>
      </c>
      <c r="BQ171" s="56">
        <f t="shared" ca="1" si="191"/>
        <v>0</v>
      </c>
      <c r="BR171" s="56">
        <f t="shared" ca="1" si="191"/>
        <v>0</v>
      </c>
      <c r="BS171" s="56">
        <f t="shared" ca="1" si="191"/>
        <v>0</v>
      </c>
      <c r="BT171" s="56">
        <f t="shared" ca="1" si="191"/>
        <v>0</v>
      </c>
      <c r="BU171" s="56">
        <f t="shared" ca="1" si="191"/>
        <v>0</v>
      </c>
      <c r="BV171" s="56">
        <f t="shared" ca="1" si="191"/>
        <v>0</v>
      </c>
      <c r="BW171" s="56">
        <f t="shared" ref="BW171:DB171" ca="1" si="192">IF(BW$139&lt;=$B$82+$B$83-1,$C118,0)</f>
        <v>0</v>
      </c>
      <c r="BX171" s="56">
        <f t="shared" ca="1" si="192"/>
        <v>0</v>
      </c>
      <c r="BY171" s="56">
        <f t="shared" ca="1" si="192"/>
        <v>0</v>
      </c>
      <c r="BZ171" s="56">
        <f t="shared" ca="1" si="192"/>
        <v>0</v>
      </c>
      <c r="CA171" s="56">
        <f t="shared" ca="1" si="192"/>
        <v>0</v>
      </c>
      <c r="CB171" s="56">
        <f t="shared" ca="1" si="192"/>
        <v>0</v>
      </c>
      <c r="CC171" s="56">
        <f t="shared" ca="1" si="192"/>
        <v>0</v>
      </c>
      <c r="CD171" s="56">
        <f t="shared" ca="1" si="192"/>
        <v>0</v>
      </c>
      <c r="CE171" s="56">
        <f t="shared" ca="1" si="192"/>
        <v>0</v>
      </c>
      <c r="CF171" s="56">
        <f t="shared" ca="1" si="192"/>
        <v>0</v>
      </c>
      <c r="CG171" s="56">
        <f t="shared" ca="1" si="192"/>
        <v>0</v>
      </c>
      <c r="CH171" s="56">
        <f t="shared" ca="1" si="192"/>
        <v>0</v>
      </c>
      <c r="CI171" s="56">
        <f t="shared" ca="1" si="192"/>
        <v>0</v>
      </c>
      <c r="CJ171" s="56">
        <f t="shared" ca="1" si="192"/>
        <v>0</v>
      </c>
      <c r="CK171" s="56">
        <f t="shared" si="192"/>
        <v>0</v>
      </c>
      <c r="CL171" s="56">
        <f t="shared" si="192"/>
        <v>0</v>
      </c>
      <c r="CM171" s="56">
        <f t="shared" si="192"/>
        <v>0</v>
      </c>
      <c r="CN171" s="56">
        <f t="shared" si="192"/>
        <v>0</v>
      </c>
      <c r="CO171" s="56">
        <f t="shared" si="192"/>
        <v>0</v>
      </c>
      <c r="CP171" s="56">
        <f t="shared" si="192"/>
        <v>0</v>
      </c>
      <c r="CQ171" s="56">
        <f t="shared" si="192"/>
        <v>0</v>
      </c>
      <c r="CR171" s="56">
        <f t="shared" si="192"/>
        <v>0</v>
      </c>
      <c r="CS171" s="56">
        <f t="shared" si="192"/>
        <v>0</v>
      </c>
      <c r="CT171" s="56">
        <f t="shared" si="192"/>
        <v>0</v>
      </c>
      <c r="CU171" s="56">
        <f t="shared" si="192"/>
        <v>0</v>
      </c>
      <c r="CV171" s="56">
        <f t="shared" si="192"/>
        <v>0</v>
      </c>
      <c r="CW171" s="56">
        <f t="shared" si="192"/>
        <v>0</v>
      </c>
      <c r="CX171" s="56">
        <f t="shared" si="192"/>
        <v>0</v>
      </c>
      <c r="CY171" s="56">
        <f t="shared" si="192"/>
        <v>0</v>
      </c>
      <c r="CZ171" s="56">
        <f t="shared" si="192"/>
        <v>0</v>
      </c>
      <c r="DA171" s="56">
        <f t="shared" si="192"/>
        <v>0</v>
      </c>
      <c r="DB171" s="56">
        <f t="shared" si="192"/>
        <v>0</v>
      </c>
      <c r="DC171" s="56">
        <f t="shared" ref="DC171:EH171" si="193">IF(DC$139&lt;=$B$82+$B$83-1,$C118,0)</f>
        <v>0</v>
      </c>
      <c r="DD171" s="56">
        <f t="shared" si="193"/>
        <v>0</v>
      </c>
      <c r="DE171" s="56">
        <f t="shared" si="193"/>
        <v>0</v>
      </c>
      <c r="DF171" s="56">
        <f t="shared" si="193"/>
        <v>0</v>
      </c>
      <c r="DG171" s="56">
        <f t="shared" si="193"/>
        <v>0</v>
      </c>
      <c r="DH171" s="56">
        <f t="shared" si="193"/>
        <v>0</v>
      </c>
      <c r="DI171" s="56">
        <f t="shared" si="193"/>
        <v>0</v>
      </c>
      <c r="DJ171" s="56">
        <f t="shared" si="193"/>
        <v>0</v>
      </c>
      <c r="DK171" s="56">
        <f t="shared" si="193"/>
        <v>0</v>
      </c>
      <c r="DL171" s="56">
        <f t="shared" si="193"/>
        <v>0</v>
      </c>
      <c r="DM171" s="56">
        <f t="shared" si="193"/>
        <v>0</v>
      </c>
      <c r="DN171" s="56">
        <f t="shared" si="193"/>
        <v>0</v>
      </c>
      <c r="DO171" s="56">
        <f t="shared" si="193"/>
        <v>0</v>
      </c>
      <c r="DP171" s="56">
        <f t="shared" si="193"/>
        <v>0</v>
      </c>
      <c r="DQ171" s="56">
        <f t="shared" si="193"/>
        <v>0</v>
      </c>
      <c r="DR171" s="56">
        <f t="shared" si="193"/>
        <v>0</v>
      </c>
      <c r="DS171" s="56">
        <f t="shared" si="193"/>
        <v>0</v>
      </c>
      <c r="DT171" s="56">
        <f t="shared" si="193"/>
        <v>0</v>
      </c>
      <c r="DU171" s="56">
        <f t="shared" si="193"/>
        <v>0</v>
      </c>
      <c r="DV171" s="56">
        <f t="shared" si="193"/>
        <v>0</v>
      </c>
      <c r="DW171" s="56">
        <f t="shared" si="193"/>
        <v>0</v>
      </c>
      <c r="DX171" s="56">
        <f t="shared" si="193"/>
        <v>0</v>
      </c>
      <c r="DY171" s="56">
        <f t="shared" si="193"/>
        <v>0</v>
      </c>
      <c r="DZ171" s="56">
        <f t="shared" si="193"/>
        <v>0</v>
      </c>
      <c r="EA171" s="56">
        <f t="shared" si="193"/>
        <v>0</v>
      </c>
      <c r="EB171" s="56">
        <f t="shared" si="193"/>
        <v>0</v>
      </c>
      <c r="EC171" s="56">
        <f t="shared" si="193"/>
        <v>0</v>
      </c>
      <c r="ED171" s="56">
        <f t="shared" si="193"/>
        <v>0</v>
      </c>
      <c r="EE171" s="56">
        <f t="shared" si="193"/>
        <v>0</v>
      </c>
      <c r="EF171" s="56">
        <f t="shared" si="193"/>
        <v>0</v>
      </c>
      <c r="EG171" s="56">
        <f t="shared" si="193"/>
        <v>0</v>
      </c>
      <c r="EH171" s="56">
        <f t="shared" si="193"/>
        <v>0</v>
      </c>
      <c r="EI171" s="56">
        <f t="shared" ref="EI171:FN171" si="194">IF(EI$139&lt;=$B$82+$B$83-1,$C118,0)</f>
        <v>0</v>
      </c>
      <c r="EJ171" s="56">
        <f t="shared" si="194"/>
        <v>0</v>
      </c>
      <c r="EK171" s="56">
        <f t="shared" si="194"/>
        <v>0</v>
      </c>
      <c r="EL171" s="56">
        <f t="shared" si="194"/>
        <v>0</v>
      </c>
      <c r="EM171" s="56">
        <f t="shared" si="194"/>
        <v>0</v>
      </c>
      <c r="EN171" s="56">
        <f t="shared" si="194"/>
        <v>0</v>
      </c>
      <c r="EO171" s="56">
        <f t="shared" si="194"/>
        <v>0</v>
      </c>
      <c r="EP171" s="56">
        <f t="shared" si="194"/>
        <v>0</v>
      </c>
      <c r="EQ171" s="56">
        <f t="shared" si="194"/>
        <v>0</v>
      </c>
      <c r="ER171" s="56">
        <f t="shared" si="194"/>
        <v>0</v>
      </c>
      <c r="ES171" s="56">
        <f t="shared" si="194"/>
        <v>0</v>
      </c>
      <c r="ET171" s="56">
        <f t="shared" si="194"/>
        <v>0</v>
      </c>
      <c r="EU171" s="56">
        <f t="shared" si="194"/>
        <v>0</v>
      </c>
      <c r="EV171" s="56">
        <f t="shared" si="194"/>
        <v>0</v>
      </c>
      <c r="EW171" s="56">
        <f t="shared" si="194"/>
        <v>0</v>
      </c>
      <c r="EX171" s="56">
        <f t="shared" si="194"/>
        <v>0</v>
      </c>
      <c r="EY171" s="56">
        <f t="shared" si="194"/>
        <v>0</v>
      </c>
      <c r="EZ171" s="56">
        <f t="shared" si="194"/>
        <v>0</v>
      </c>
      <c r="FA171" s="56">
        <f t="shared" si="194"/>
        <v>0</v>
      </c>
      <c r="FB171" s="56">
        <f t="shared" si="194"/>
        <v>0</v>
      </c>
      <c r="FC171" s="56">
        <f t="shared" si="194"/>
        <v>0</v>
      </c>
      <c r="FD171" s="56">
        <f t="shared" si="194"/>
        <v>0</v>
      </c>
      <c r="FE171" s="56">
        <f t="shared" si="194"/>
        <v>0</v>
      </c>
      <c r="FF171" s="56">
        <f t="shared" si="194"/>
        <v>0</v>
      </c>
      <c r="FG171" s="56">
        <f t="shared" si="194"/>
        <v>0</v>
      </c>
      <c r="FH171" s="56">
        <f t="shared" si="194"/>
        <v>0</v>
      </c>
      <c r="FI171" s="56">
        <f t="shared" si="194"/>
        <v>0</v>
      </c>
      <c r="FJ171" s="56">
        <f t="shared" si="194"/>
        <v>0</v>
      </c>
      <c r="FK171" s="56">
        <f t="shared" si="194"/>
        <v>0</v>
      </c>
      <c r="FL171" s="56">
        <f t="shared" si="194"/>
        <v>0</v>
      </c>
      <c r="FM171" s="56">
        <f t="shared" si="194"/>
        <v>0</v>
      </c>
      <c r="FN171" s="56">
        <f t="shared" si="194"/>
        <v>0</v>
      </c>
      <c r="FO171" s="56">
        <f t="shared" ref="FO171:GP171" si="195">IF(FO$139&lt;=$B$82+$B$83-1,$C118,0)</f>
        <v>0</v>
      </c>
      <c r="FP171" s="56">
        <f t="shared" si="195"/>
        <v>0</v>
      </c>
      <c r="FQ171" s="56">
        <f t="shared" si="195"/>
        <v>0</v>
      </c>
      <c r="FR171" s="56">
        <f t="shared" si="195"/>
        <v>0</v>
      </c>
      <c r="FS171" s="56">
        <f t="shared" si="195"/>
        <v>0</v>
      </c>
      <c r="FT171" s="56">
        <f t="shared" si="195"/>
        <v>0</v>
      </c>
      <c r="FU171" s="56">
        <f t="shared" si="195"/>
        <v>0</v>
      </c>
      <c r="FV171" s="56">
        <f t="shared" si="195"/>
        <v>0</v>
      </c>
      <c r="FW171" s="56">
        <f t="shared" si="195"/>
        <v>0</v>
      </c>
      <c r="FX171" s="56">
        <f t="shared" si="195"/>
        <v>0</v>
      </c>
      <c r="FY171" s="56">
        <f t="shared" si="195"/>
        <v>0</v>
      </c>
      <c r="FZ171" s="56">
        <f t="shared" si="195"/>
        <v>0</v>
      </c>
      <c r="GA171" s="56">
        <f t="shared" si="195"/>
        <v>0</v>
      </c>
      <c r="GB171" s="56">
        <f t="shared" si="195"/>
        <v>0</v>
      </c>
      <c r="GC171" s="56">
        <f t="shared" si="195"/>
        <v>0</v>
      </c>
      <c r="GD171" s="56">
        <f t="shared" si="195"/>
        <v>0</v>
      </c>
      <c r="GE171" s="56">
        <f t="shared" si="195"/>
        <v>0</v>
      </c>
      <c r="GF171" s="56">
        <f t="shared" si="195"/>
        <v>0</v>
      </c>
      <c r="GG171" s="56">
        <f t="shared" si="195"/>
        <v>0</v>
      </c>
      <c r="GH171" s="56">
        <f t="shared" si="195"/>
        <v>0</v>
      </c>
      <c r="GI171" s="56">
        <f t="shared" si="195"/>
        <v>0</v>
      </c>
      <c r="GJ171" s="56">
        <f t="shared" si="195"/>
        <v>0</v>
      </c>
      <c r="GK171" s="56">
        <f t="shared" si="195"/>
        <v>0</v>
      </c>
      <c r="GL171" s="56">
        <f t="shared" si="195"/>
        <v>0</v>
      </c>
      <c r="GM171" s="56">
        <f t="shared" si="195"/>
        <v>0</v>
      </c>
      <c r="GN171" s="56">
        <f t="shared" si="195"/>
        <v>0</v>
      </c>
      <c r="GO171" s="56">
        <f t="shared" si="195"/>
        <v>0</v>
      </c>
      <c r="GP171" s="56">
        <f t="shared" si="195"/>
        <v>0</v>
      </c>
    </row>
    <row r="172" spans="1:198" x14ac:dyDescent="0.35">
      <c r="A172" s="55" t="str">
        <f t="shared" si="165"/>
        <v>Other &gt; available now</v>
      </c>
      <c r="B172" s="55" t="s">
        <v>297</v>
      </c>
      <c r="K172" s="56">
        <f t="shared" ref="K172:AP172" ca="1" si="196">IF(K$139&lt;=$B$82+$B$83-1,$C119,0)</f>
        <v>0</v>
      </c>
      <c r="L172" s="56">
        <f t="shared" ca="1" si="196"/>
        <v>0</v>
      </c>
      <c r="M172" s="56">
        <f t="shared" ca="1" si="196"/>
        <v>0</v>
      </c>
      <c r="N172" s="56">
        <f t="shared" ca="1" si="196"/>
        <v>0</v>
      </c>
      <c r="O172" s="56">
        <f t="shared" ca="1" si="196"/>
        <v>0</v>
      </c>
      <c r="P172" s="56">
        <f t="shared" ca="1" si="196"/>
        <v>0</v>
      </c>
      <c r="Q172" s="56">
        <f t="shared" ca="1" si="196"/>
        <v>0</v>
      </c>
      <c r="R172" s="56">
        <f t="shared" ca="1" si="196"/>
        <v>0</v>
      </c>
      <c r="S172" s="56">
        <f t="shared" ca="1" si="196"/>
        <v>0</v>
      </c>
      <c r="T172" s="56">
        <f t="shared" ca="1" si="196"/>
        <v>0</v>
      </c>
      <c r="U172" s="56">
        <f t="shared" ca="1" si="196"/>
        <v>0</v>
      </c>
      <c r="V172" s="56">
        <f t="shared" ca="1" si="196"/>
        <v>0</v>
      </c>
      <c r="W172" s="56">
        <f t="shared" ca="1" si="196"/>
        <v>0</v>
      </c>
      <c r="X172" s="56">
        <f t="shared" ca="1" si="196"/>
        <v>0</v>
      </c>
      <c r="Y172" s="56">
        <f t="shared" ca="1" si="196"/>
        <v>0</v>
      </c>
      <c r="Z172" s="56">
        <f t="shared" ca="1" si="196"/>
        <v>0</v>
      </c>
      <c r="AA172" s="56">
        <f t="shared" ca="1" si="196"/>
        <v>0</v>
      </c>
      <c r="AB172" s="56">
        <f t="shared" ca="1" si="196"/>
        <v>0</v>
      </c>
      <c r="AC172" s="56">
        <f t="shared" ca="1" si="196"/>
        <v>0</v>
      </c>
      <c r="AD172" s="56">
        <f t="shared" ca="1" si="196"/>
        <v>0</v>
      </c>
      <c r="AE172" s="56">
        <f t="shared" ca="1" si="196"/>
        <v>0</v>
      </c>
      <c r="AF172" s="56">
        <f t="shared" ca="1" si="196"/>
        <v>0</v>
      </c>
      <c r="AG172" s="56">
        <f t="shared" ca="1" si="196"/>
        <v>0</v>
      </c>
      <c r="AH172" s="56">
        <f t="shared" ca="1" si="196"/>
        <v>0</v>
      </c>
      <c r="AI172" s="56">
        <f t="shared" ca="1" si="196"/>
        <v>0</v>
      </c>
      <c r="AJ172" s="56">
        <f t="shared" ca="1" si="196"/>
        <v>0</v>
      </c>
      <c r="AK172" s="56">
        <f t="shared" ca="1" si="196"/>
        <v>0</v>
      </c>
      <c r="AL172" s="56">
        <f t="shared" ca="1" si="196"/>
        <v>0</v>
      </c>
      <c r="AM172" s="56">
        <f t="shared" ca="1" si="196"/>
        <v>0</v>
      </c>
      <c r="AN172" s="56">
        <f t="shared" ca="1" si="196"/>
        <v>0</v>
      </c>
      <c r="AO172" s="56">
        <f t="shared" ca="1" si="196"/>
        <v>0</v>
      </c>
      <c r="AP172" s="56">
        <f t="shared" ca="1" si="196"/>
        <v>0</v>
      </c>
      <c r="AQ172" s="56">
        <f t="shared" ref="AQ172:BV172" ca="1" si="197">IF(AQ$139&lt;=$B$82+$B$83-1,$C119,0)</f>
        <v>0</v>
      </c>
      <c r="AR172" s="56">
        <f t="shared" ca="1" si="197"/>
        <v>0</v>
      </c>
      <c r="AS172" s="56">
        <f t="shared" ca="1" si="197"/>
        <v>0</v>
      </c>
      <c r="AT172" s="56">
        <f t="shared" ca="1" si="197"/>
        <v>0</v>
      </c>
      <c r="AU172" s="56">
        <f t="shared" ca="1" si="197"/>
        <v>0</v>
      </c>
      <c r="AV172" s="56">
        <f t="shared" ca="1" si="197"/>
        <v>0</v>
      </c>
      <c r="AW172" s="56">
        <f t="shared" ca="1" si="197"/>
        <v>0</v>
      </c>
      <c r="AX172" s="56">
        <f t="shared" ca="1" si="197"/>
        <v>0</v>
      </c>
      <c r="AY172" s="56">
        <f t="shared" ca="1" si="197"/>
        <v>0</v>
      </c>
      <c r="AZ172" s="56">
        <f t="shared" ca="1" si="197"/>
        <v>0</v>
      </c>
      <c r="BA172" s="56">
        <f t="shared" ca="1" si="197"/>
        <v>0</v>
      </c>
      <c r="BB172" s="56">
        <f t="shared" ca="1" si="197"/>
        <v>0</v>
      </c>
      <c r="BC172" s="56">
        <f t="shared" ca="1" si="197"/>
        <v>0</v>
      </c>
      <c r="BD172" s="56">
        <f t="shared" ca="1" si="197"/>
        <v>0</v>
      </c>
      <c r="BE172" s="56">
        <f t="shared" ca="1" si="197"/>
        <v>0</v>
      </c>
      <c r="BF172" s="56">
        <f t="shared" ca="1" si="197"/>
        <v>0</v>
      </c>
      <c r="BG172" s="56">
        <f t="shared" ca="1" si="197"/>
        <v>0</v>
      </c>
      <c r="BH172" s="56">
        <f t="shared" ca="1" si="197"/>
        <v>0</v>
      </c>
      <c r="BI172" s="56">
        <f t="shared" ca="1" si="197"/>
        <v>0</v>
      </c>
      <c r="BJ172" s="56">
        <f t="shared" ca="1" si="197"/>
        <v>0</v>
      </c>
      <c r="BK172" s="56">
        <f t="shared" ca="1" si="197"/>
        <v>0</v>
      </c>
      <c r="BL172" s="56">
        <f t="shared" ca="1" si="197"/>
        <v>0</v>
      </c>
      <c r="BM172" s="56">
        <f t="shared" ca="1" si="197"/>
        <v>0</v>
      </c>
      <c r="BN172" s="56">
        <f t="shared" ca="1" si="197"/>
        <v>0</v>
      </c>
      <c r="BO172" s="56">
        <f t="shared" ca="1" si="197"/>
        <v>0</v>
      </c>
      <c r="BP172" s="56">
        <f t="shared" ca="1" si="197"/>
        <v>0</v>
      </c>
      <c r="BQ172" s="56">
        <f t="shared" ca="1" si="197"/>
        <v>0</v>
      </c>
      <c r="BR172" s="56">
        <f t="shared" ca="1" si="197"/>
        <v>0</v>
      </c>
      <c r="BS172" s="56">
        <f t="shared" ca="1" si="197"/>
        <v>0</v>
      </c>
      <c r="BT172" s="56">
        <f t="shared" ca="1" si="197"/>
        <v>0</v>
      </c>
      <c r="BU172" s="56">
        <f t="shared" ca="1" si="197"/>
        <v>0</v>
      </c>
      <c r="BV172" s="56">
        <f t="shared" ca="1" si="197"/>
        <v>0</v>
      </c>
      <c r="BW172" s="56">
        <f t="shared" ref="BW172:DB172" ca="1" si="198">IF(BW$139&lt;=$B$82+$B$83-1,$C119,0)</f>
        <v>0</v>
      </c>
      <c r="BX172" s="56">
        <f t="shared" ca="1" si="198"/>
        <v>0</v>
      </c>
      <c r="BY172" s="56">
        <f t="shared" ca="1" si="198"/>
        <v>0</v>
      </c>
      <c r="BZ172" s="56">
        <f t="shared" ca="1" si="198"/>
        <v>0</v>
      </c>
      <c r="CA172" s="56">
        <f t="shared" ca="1" si="198"/>
        <v>0</v>
      </c>
      <c r="CB172" s="56">
        <f t="shared" ca="1" si="198"/>
        <v>0</v>
      </c>
      <c r="CC172" s="56">
        <f t="shared" ca="1" si="198"/>
        <v>0</v>
      </c>
      <c r="CD172" s="56">
        <f t="shared" ca="1" si="198"/>
        <v>0</v>
      </c>
      <c r="CE172" s="56">
        <f t="shared" ca="1" si="198"/>
        <v>0</v>
      </c>
      <c r="CF172" s="56">
        <f t="shared" ca="1" si="198"/>
        <v>0</v>
      </c>
      <c r="CG172" s="56">
        <f t="shared" ca="1" si="198"/>
        <v>0</v>
      </c>
      <c r="CH172" s="56">
        <f t="shared" ca="1" si="198"/>
        <v>0</v>
      </c>
      <c r="CI172" s="56">
        <f t="shared" ca="1" si="198"/>
        <v>0</v>
      </c>
      <c r="CJ172" s="56">
        <f t="shared" ca="1" si="198"/>
        <v>0</v>
      </c>
      <c r="CK172" s="56">
        <f t="shared" si="198"/>
        <v>0</v>
      </c>
      <c r="CL172" s="56">
        <f t="shared" si="198"/>
        <v>0</v>
      </c>
      <c r="CM172" s="56">
        <f t="shared" si="198"/>
        <v>0</v>
      </c>
      <c r="CN172" s="56">
        <f t="shared" si="198"/>
        <v>0</v>
      </c>
      <c r="CO172" s="56">
        <f t="shared" si="198"/>
        <v>0</v>
      </c>
      <c r="CP172" s="56">
        <f t="shared" si="198"/>
        <v>0</v>
      </c>
      <c r="CQ172" s="56">
        <f t="shared" si="198"/>
        <v>0</v>
      </c>
      <c r="CR172" s="56">
        <f t="shared" si="198"/>
        <v>0</v>
      </c>
      <c r="CS172" s="56">
        <f t="shared" si="198"/>
        <v>0</v>
      </c>
      <c r="CT172" s="56">
        <f t="shared" si="198"/>
        <v>0</v>
      </c>
      <c r="CU172" s="56">
        <f t="shared" si="198"/>
        <v>0</v>
      </c>
      <c r="CV172" s="56">
        <f t="shared" si="198"/>
        <v>0</v>
      </c>
      <c r="CW172" s="56">
        <f t="shared" si="198"/>
        <v>0</v>
      </c>
      <c r="CX172" s="56">
        <f t="shared" si="198"/>
        <v>0</v>
      </c>
      <c r="CY172" s="56">
        <f t="shared" si="198"/>
        <v>0</v>
      </c>
      <c r="CZ172" s="56">
        <f t="shared" si="198"/>
        <v>0</v>
      </c>
      <c r="DA172" s="56">
        <f t="shared" si="198"/>
        <v>0</v>
      </c>
      <c r="DB172" s="56">
        <f t="shared" si="198"/>
        <v>0</v>
      </c>
      <c r="DC172" s="56">
        <f t="shared" ref="DC172:EH172" si="199">IF(DC$139&lt;=$B$82+$B$83-1,$C119,0)</f>
        <v>0</v>
      </c>
      <c r="DD172" s="56">
        <f t="shared" si="199"/>
        <v>0</v>
      </c>
      <c r="DE172" s="56">
        <f t="shared" si="199"/>
        <v>0</v>
      </c>
      <c r="DF172" s="56">
        <f t="shared" si="199"/>
        <v>0</v>
      </c>
      <c r="DG172" s="56">
        <f t="shared" si="199"/>
        <v>0</v>
      </c>
      <c r="DH172" s="56">
        <f t="shared" si="199"/>
        <v>0</v>
      </c>
      <c r="DI172" s="56">
        <f t="shared" si="199"/>
        <v>0</v>
      </c>
      <c r="DJ172" s="56">
        <f t="shared" si="199"/>
        <v>0</v>
      </c>
      <c r="DK172" s="56">
        <f t="shared" si="199"/>
        <v>0</v>
      </c>
      <c r="DL172" s="56">
        <f t="shared" si="199"/>
        <v>0</v>
      </c>
      <c r="DM172" s="56">
        <f t="shared" si="199"/>
        <v>0</v>
      </c>
      <c r="DN172" s="56">
        <f t="shared" si="199"/>
        <v>0</v>
      </c>
      <c r="DO172" s="56">
        <f t="shared" si="199"/>
        <v>0</v>
      </c>
      <c r="DP172" s="56">
        <f t="shared" si="199"/>
        <v>0</v>
      </c>
      <c r="DQ172" s="56">
        <f t="shared" si="199"/>
        <v>0</v>
      </c>
      <c r="DR172" s="56">
        <f t="shared" si="199"/>
        <v>0</v>
      </c>
      <c r="DS172" s="56">
        <f t="shared" si="199"/>
        <v>0</v>
      </c>
      <c r="DT172" s="56">
        <f t="shared" si="199"/>
        <v>0</v>
      </c>
      <c r="DU172" s="56">
        <f t="shared" si="199"/>
        <v>0</v>
      </c>
      <c r="DV172" s="56">
        <f t="shared" si="199"/>
        <v>0</v>
      </c>
      <c r="DW172" s="56">
        <f t="shared" si="199"/>
        <v>0</v>
      </c>
      <c r="DX172" s="56">
        <f t="shared" si="199"/>
        <v>0</v>
      </c>
      <c r="DY172" s="56">
        <f t="shared" si="199"/>
        <v>0</v>
      </c>
      <c r="DZ172" s="56">
        <f t="shared" si="199"/>
        <v>0</v>
      </c>
      <c r="EA172" s="56">
        <f t="shared" si="199"/>
        <v>0</v>
      </c>
      <c r="EB172" s="56">
        <f t="shared" si="199"/>
        <v>0</v>
      </c>
      <c r="EC172" s="56">
        <f t="shared" si="199"/>
        <v>0</v>
      </c>
      <c r="ED172" s="56">
        <f t="shared" si="199"/>
        <v>0</v>
      </c>
      <c r="EE172" s="56">
        <f t="shared" si="199"/>
        <v>0</v>
      </c>
      <c r="EF172" s="56">
        <f t="shared" si="199"/>
        <v>0</v>
      </c>
      <c r="EG172" s="56">
        <f t="shared" si="199"/>
        <v>0</v>
      </c>
      <c r="EH172" s="56">
        <f t="shared" si="199"/>
        <v>0</v>
      </c>
      <c r="EI172" s="56">
        <f t="shared" ref="EI172:FN172" si="200">IF(EI$139&lt;=$B$82+$B$83-1,$C119,0)</f>
        <v>0</v>
      </c>
      <c r="EJ172" s="56">
        <f t="shared" si="200"/>
        <v>0</v>
      </c>
      <c r="EK172" s="56">
        <f t="shared" si="200"/>
        <v>0</v>
      </c>
      <c r="EL172" s="56">
        <f t="shared" si="200"/>
        <v>0</v>
      </c>
      <c r="EM172" s="56">
        <f t="shared" si="200"/>
        <v>0</v>
      </c>
      <c r="EN172" s="56">
        <f t="shared" si="200"/>
        <v>0</v>
      </c>
      <c r="EO172" s="56">
        <f t="shared" si="200"/>
        <v>0</v>
      </c>
      <c r="EP172" s="56">
        <f t="shared" si="200"/>
        <v>0</v>
      </c>
      <c r="EQ172" s="56">
        <f t="shared" si="200"/>
        <v>0</v>
      </c>
      <c r="ER172" s="56">
        <f t="shared" si="200"/>
        <v>0</v>
      </c>
      <c r="ES172" s="56">
        <f t="shared" si="200"/>
        <v>0</v>
      </c>
      <c r="ET172" s="56">
        <f t="shared" si="200"/>
        <v>0</v>
      </c>
      <c r="EU172" s="56">
        <f t="shared" si="200"/>
        <v>0</v>
      </c>
      <c r="EV172" s="56">
        <f t="shared" si="200"/>
        <v>0</v>
      </c>
      <c r="EW172" s="56">
        <f t="shared" si="200"/>
        <v>0</v>
      </c>
      <c r="EX172" s="56">
        <f t="shared" si="200"/>
        <v>0</v>
      </c>
      <c r="EY172" s="56">
        <f t="shared" si="200"/>
        <v>0</v>
      </c>
      <c r="EZ172" s="56">
        <f t="shared" si="200"/>
        <v>0</v>
      </c>
      <c r="FA172" s="56">
        <f t="shared" si="200"/>
        <v>0</v>
      </c>
      <c r="FB172" s="56">
        <f t="shared" si="200"/>
        <v>0</v>
      </c>
      <c r="FC172" s="56">
        <f t="shared" si="200"/>
        <v>0</v>
      </c>
      <c r="FD172" s="56">
        <f t="shared" si="200"/>
        <v>0</v>
      </c>
      <c r="FE172" s="56">
        <f t="shared" si="200"/>
        <v>0</v>
      </c>
      <c r="FF172" s="56">
        <f t="shared" si="200"/>
        <v>0</v>
      </c>
      <c r="FG172" s="56">
        <f t="shared" si="200"/>
        <v>0</v>
      </c>
      <c r="FH172" s="56">
        <f t="shared" si="200"/>
        <v>0</v>
      </c>
      <c r="FI172" s="56">
        <f t="shared" si="200"/>
        <v>0</v>
      </c>
      <c r="FJ172" s="56">
        <f t="shared" si="200"/>
        <v>0</v>
      </c>
      <c r="FK172" s="56">
        <f t="shared" si="200"/>
        <v>0</v>
      </c>
      <c r="FL172" s="56">
        <f t="shared" si="200"/>
        <v>0</v>
      </c>
      <c r="FM172" s="56">
        <f t="shared" si="200"/>
        <v>0</v>
      </c>
      <c r="FN172" s="56">
        <f t="shared" si="200"/>
        <v>0</v>
      </c>
      <c r="FO172" s="56">
        <f t="shared" ref="FO172:GP172" si="201">IF(FO$139&lt;=$B$82+$B$83-1,$C119,0)</f>
        <v>0</v>
      </c>
      <c r="FP172" s="56">
        <f t="shared" si="201"/>
        <v>0</v>
      </c>
      <c r="FQ172" s="56">
        <f t="shared" si="201"/>
        <v>0</v>
      </c>
      <c r="FR172" s="56">
        <f t="shared" si="201"/>
        <v>0</v>
      </c>
      <c r="FS172" s="56">
        <f t="shared" si="201"/>
        <v>0</v>
      </c>
      <c r="FT172" s="56">
        <f t="shared" si="201"/>
        <v>0</v>
      </c>
      <c r="FU172" s="56">
        <f t="shared" si="201"/>
        <v>0</v>
      </c>
      <c r="FV172" s="56">
        <f t="shared" si="201"/>
        <v>0</v>
      </c>
      <c r="FW172" s="56">
        <f t="shared" si="201"/>
        <v>0</v>
      </c>
      <c r="FX172" s="56">
        <f t="shared" si="201"/>
        <v>0</v>
      </c>
      <c r="FY172" s="56">
        <f t="shared" si="201"/>
        <v>0</v>
      </c>
      <c r="FZ172" s="56">
        <f t="shared" si="201"/>
        <v>0</v>
      </c>
      <c r="GA172" s="56">
        <f t="shared" si="201"/>
        <v>0</v>
      </c>
      <c r="GB172" s="56">
        <f t="shared" si="201"/>
        <v>0</v>
      </c>
      <c r="GC172" s="56">
        <f t="shared" si="201"/>
        <v>0</v>
      </c>
      <c r="GD172" s="56">
        <f t="shared" si="201"/>
        <v>0</v>
      </c>
      <c r="GE172" s="56">
        <f t="shared" si="201"/>
        <v>0</v>
      </c>
      <c r="GF172" s="56">
        <f t="shared" si="201"/>
        <v>0</v>
      </c>
      <c r="GG172" s="56">
        <f t="shared" si="201"/>
        <v>0</v>
      </c>
      <c r="GH172" s="56">
        <f t="shared" si="201"/>
        <v>0</v>
      </c>
      <c r="GI172" s="56">
        <f t="shared" si="201"/>
        <v>0</v>
      </c>
      <c r="GJ172" s="56">
        <f t="shared" si="201"/>
        <v>0</v>
      </c>
      <c r="GK172" s="56">
        <f t="shared" si="201"/>
        <v>0</v>
      </c>
      <c r="GL172" s="56">
        <f t="shared" si="201"/>
        <v>0</v>
      </c>
      <c r="GM172" s="56">
        <f t="shared" si="201"/>
        <v>0</v>
      </c>
      <c r="GN172" s="56">
        <f t="shared" si="201"/>
        <v>0</v>
      </c>
      <c r="GO172" s="56">
        <f t="shared" si="201"/>
        <v>0</v>
      </c>
      <c r="GP172" s="56">
        <f t="shared" si="201"/>
        <v>0</v>
      </c>
    </row>
    <row r="173" spans="1:198" ht="24" x14ac:dyDescent="0.35">
      <c r="A173" s="57" t="str">
        <f t="shared" ca="1" si="165"/>
        <v>12
Available now</v>
      </c>
      <c r="B173" s="55" t="s">
        <v>297</v>
      </c>
      <c r="K173" s="56">
        <f t="shared" ref="K173:AP173" si="202">IF(AND(K$139&gt;=$B$82+$B$83,K$139&lt;=$B$82+$B$83+$B$84-1),$C120,0)</f>
        <v>0</v>
      </c>
      <c r="L173" s="56">
        <f t="shared" si="202"/>
        <v>0</v>
      </c>
      <c r="M173" s="56">
        <f t="shared" si="202"/>
        <v>0</v>
      </c>
      <c r="N173" s="56">
        <f t="shared" si="202"/>
        <v>0</v>
      </c>
      <c r="O173" s="56">
        <f t="shared" si="202"/>
        <v>0</v>
      </c>
      <c r="P173" s="56">
        <f t="shared" si="202"/>
        <v>0</v>
      </c>
      <c r="Q173" s="56">
        <f t="shared" si="202"/>
        <v>0</v>
      </c>
      <c r="R173" s="56">
        <f t="shared" si="202"/>
        <v>0</v>
      </c>
      <c r="S173" s="56">
        <f t="shared" si="202"/>
        <v>0</v>
      </c>
      <c r="T173" s="56">
        <f t="shared" si="202"/>
        <v>0</v>
      </c>
      <c r="U173" s="56">
        <f t="shared" si="202"/>
        <v>0</v>
      </c>
      <c r="V173" s="56">
        <f t="shared" si="202"/>
        <v>0</v>
      </c>
      <c r="W173" s="56">
        <f t="shared" si="202"/>
        <v>0</v>
      </c>
      <c r="X173" s="56">
        <f t="shared" si="202"/>
        <v>0</v>
      </c>
      <c r="Y173" s="56">
        <f t="shared" si="202"/>
        <v>0</v>
      </c>
      <c r="Z173" s="56">
        <f t="shared" si="202"/>
        <v>0</v>
      </c>
      <c r="AA173" s="56">
        <f t="shared" si="202"/>
        <v>0</v>
      </c>
      <c r="AB173" s="56">
        <f t="shared" si="202"/>
        <v>0</v>
      </c>
      <c r="AC173" s="56">
        <f t="shared" si="202"/>
        <v>0</v>
      </c>
      <c r="AD173" s="56">
        <f t="shared" si="202"/>
        <v>0</v>
      </c>
      <c r="AE173" s="56">
        <f t="shared" si="202"/>
        <v>0</v>
      </c>
      <c r="AF173" s="56">
        <f t="shared" si="202"/>
        <v>0</v>
      </c>
      <c r="AG173" s="56">
        <f t="shared" si="202"/>
        <v>0</v>
      </c>
      <c r="AH173" s="56">
        <f t="shared" si="202"/>
        <v>0</v>
      </c>
      <c r="AI173" s="56">
        <f t="shared" si="202"/>
        <v>0</v>
      </c>
      <c r="AJ173" s="56">
        <f t="shared" si="202"/>
        <v>0</v>
      </c>
      <c r="AK173" s="56">
        <f t="shared" si="202"/>
        <v>0</v>
      </c>
      <c r="AL173" s="56">
        <f t="shared" si="202"/>
        <v>0</v>
      </c>
      <c r="AM173" s="56">
        <f t="shared" si="202"/>
        <v>0</v>
      </c>
      <c r="AN173" s="56">
        <f t="shared" si="202"/>
        <v>0</v>
      </c>
      <c r="AO173" s="56">
        <f t="shared" si="202"/>
        <v>0</v>
      </c>
      <c r="AP173" s="56">
        <f t="shared" si="202"/>
        <v>0</v>
      </c>
      <c r="AQ173" s="56">
        <f t="shared" ref="AQ173:BV173" si="203">IF(AND(AQ$139&gt;=$B$82+$B$83,AQ$139&lt;=$B$82+$B$83+$B$84-1),$C120,0)</f>
        <v>0</v>
      </c>
      <c r="AR173" s="56">
        <f t="shared" si="203"/>
        <v>0</v>
      </c>
      <c r="AS173" s="56">
        <f t="shared" si="203"/>
        <v>0</v>
      </c>
      <c r="AT173" s="56">
        <f t="shared" si="203"/>
        <v>0</v>
      </c>
      <c r="AU173" s="56">
        <f t="shared" si="203"/>
        <v>0</v>
      </c>
      <c r="AV173" s="56">
        <f t="shared" si="203"/>
        <v>0</v>
      </c>
      <c r="AW173" s="56">
        <f t="shared" si="203"/>
        <v>0</v>
      </c>
      <c r="AX173" s="56">
        <f t="shared" si="203"/>
        <v>0</v>
      </c>
      <c r="AY173" s="56">
        <f t="shared" si="203"/>
        <v>0</v>
      </c>
      <c r="AZ173" s="56">
        <f t="shared" si="203"/>
        <v>0</v>
      </c>
      <c r="BA173" s="56">
        <f t="shared" si="203"/>
        <v>0</v>
      </c>
      <c r="BB173" s="56">
        <f t="shared" si="203"/>
        <v>0</v>
      </c>
      <c r="BC173" s="56">
        <f t="shared" si="203"/>
        <v>0</v>
      </c>
      <c r="BD173" s="56">
        <f t="shared" si="203"/>
        <v>0</v>
      </c>
      <c r="BE173" s="56">
        <f t="shared" si="203"/>
        <v>0</v>
      </c>
      <c r="BF173" s="56">
        <f t="shared" si="203"/>
        <v>0</v>
      </c>
      <c r="BG173" s="56">
        <f t="shared" si="203"/>
        <v>0</v>
      </c>
      <c r="BH173" s="56">
        <f t="shared" si="203"/>
        <v>0</v>
      </c>
      <c r="BI173" s="56">
        <f t="shared" si="203"/>
        <v>0</v>
      </c>
      <c r="BJ173" s="56">
        <f t="shared" si="203"/>
        <v>0</v>
      </c>
      <c r="BK173" s="56">
        <f t="shared" si="203"/>
        <v>0</v>
      </c>
      <c r="BL173" s="56">
        <f t="shared" si="203"/>
        <v>0</v>
      </c>
      <c r="BM173" s="56">
        <f t="shared" si="203"/>
        <v>0</v>
      </c>
      <c r="BN173" s="56">
        <f t="shared" si="203"/>
        <v>0</v>
      </c>
      <c r="BO173" s="56">
        <f t="shared" si="203"/>
        <v>0</v>
      </c>
      <c r="BP173" s="56">
        <f t="shared" si="203"/>
        <v>0</v>
      </c>
      <c r="BQ173" s="56">
        <f t="shared" si="203"/>
        <v>0</v>
      </c>
      <c r="BR173" s="56">
        <f t="shared" si="203"/>
        <v>0</v>
      </c>
      <c r="BS173" s="56">
        <f t="shared" si="203"/>
        <v>0</v>
      </c>
      <c r="BT173" s="56">
        <f t="shared" si="203"/>
        <v>0</v>
      </c>
      <c r="BU173" s="56">
        <f t="shared" si="203"/>
        <v>0</v>
      </c>
      <c r="BV173" s="56">
        <f t="shared" si="203"/>
        <v>0</v>
      </c>
      <c r="BW173" s="56">
        <f t="shared" ref="BW173:DB173" si="204">IF(AND(BW$139&gt;=$B$82+$B$83,BW$139&lt;=$B$82+$B$83+$B$84-1),$C120,0)</f>
        <v>0</v>
      </c>
      <c r="BX173" s="56">
        <f t="shared" si="204"/>
        <v>0</v>
      </c>
      <c r="BY173" s="56">
        <f t="shared" si="204"/>
        <v>0</v>
      </c>
      <c r="BZ173" s="56">
        <f t="shared" si="204"/>
        <v>0</v>
      </c>
      <c r="CA173" s="56">
        <f t="shared" si="204"/>
        <v>0</v>
      </c>
      <c r="CB173" s="56">
        <f t="shared" si="204"/>
        <v>0</v>
      </c>
      <c r="CC173" s="56">
        <f t="shared" si="204"/>
        <v>0</v>
      </c>
      <c r="CD173" s="56">
        <f t="shared" si="204"/>
        <v>0</v>
      </c>
      <c r="CE173" s="56">
        <f t="shared" si="204"/>
        <v>0</v>
      </c>
      <c r="CF173" s="56">
        <f t="shared" si="204"/>
        <v>0</v>
      </c>
      <c r="CG173" s="56">
        <f t="shared" si="204"/>
        <v>0</v>
      </c>
      <c r="CH173" s="56">
        <f t="shared" si="204"/>
        <v>0</v>
      </c>
      <c r="CI173" s="56">
        <f t="shared" si="204"/>
        <v>0</v>
      </c>
      <c r="CJ173" s="56">
        <f t="shared" si="204"/>
        <v>0</v>
      </c>
      <c r="CK173" s="56">
        <f t="shared" ca="1" si="204"/>
        <v>9.7263157894736842</v>
      </c>
      <c r="CL173" s="56">
        <f t="shared" ca="1" si="204"/>
        <v>9.7263157894736842</v>
      </c>
      <c r="CM173" s="56">
        <f t="shared" ca="1" si="204"/>
        <v>9.7263157894736842</v>
      </c>
      <c r="CN173" s="56">
        <f t="shared" ca="1" si="204"/>
        <v>9.7263157894736842</v>
      </c>
      <c r="CO173" s="56">
        <f t="shared" ca="1" si="204"/>
        <v>9.7263157894736842</v>
      </c>
      <c r="CP173" s="56">
        <f t="shared" ca="1" si="204"/>
        <v>9.7263157894736842</v>
      </c>
      <c r="CQ173" s="56">
        <f t="shared" ca="1" si="204"/>
        <v>9.7263157894736842</v>
      </c>
      <c r="CR173" s="56">
        <f t="shared" ca="1" si="204"/>
        <v>9.7263157894736842</v>
      </c>
      <c r="CS173" s="56">
        <f t="shared" ca="1" si="204"/>
        <v>9.7263157894736842</v>
      </c>
      <c r="CT173" s="56">
        <f t="shared" ca="1" si="204"/>
        <v>9.7263157894736842</v>
      </c>
      <c r="CU173" s="56">
        <f t="shared" ca="1" si="204"/>
        <v>9.7263157894736842</v>
      </c>
      <c r="CV173" s="56">
        <f t="shared" ca="1" si="204"/>
        <v>9.7263157894736842</v>
      </c>
      <c r="CW173" s="56">
        <f t="shared" ca="1" si="204"/>
        <v>9.7263157894736842</v>
      </c>
      <c r="CX173" s="56">
        <f t="shared" ca="1" si="204"/>
        <v>9.7263157894736842</v>
      </c>
      <c r="CY173" s="56">
        <f t="shared" ca="1" si="204"/>
        <v>9.7263157894736842</v>
      </c>
      <c r="CZ173" s="56">
        <f t="shared" ca="1" si="204"/>
        <v>9.7263157894736842</v>
      </c>
      <c r="DA173" s="56">
        <f t="shared" ca="1" si="204"/>
        <v>9.7263157894736842</v>
      </c>
      <c r="DB173" s="56">
        <f t="shared" ca="1" si="204"/>
        <v>9.7263157894736842</v>
      </c>
      <c r="DC173" s="56">
        <f t="shared" ref="DC173:EH173" ca="1" si="205">IF(AND(DC$139&gt;=$B$82+$B$83,DC$139&lt;=$B$82+$B$83+$B$84-1),$C120,0)</f>
        <v>9.7263157894736842</v>
      </c>
      <c r="DD173" s="56">
        <f t="shared" ca="1" si="205"/>
        <v>9.7263157894736842</v>
      </c>
      <c r="DE173" s="56">
        <f t="shared" ca="1" si="205"/>
        <v>9.7263157894736842</v>
      </c>
      <c r="DF173" s="56">
        <f t="shared" ca="1" si="205"/>
        <v>9.7263157894736842</v>
      </c>
      <c r="DG173" s="56">
        <f t="shared" ca="1" si="205"/>
        <v>9.7263157894736842</v>
      </c>
      <c r="DH173" s="56">
        <f t="shared" ca="1" si="205"/>
        <v>9.7263157894736842</v>
      </c>
      <c r="DI173" s="56">
        <f t="shared" ca="1" si="205"/>
        <v>9.7263157894736842</v>
      </c>
      <c r="DJ173" s="56">
        <f t="shared" ca="1" si="205"/>
        <v>9.7263157894736842</v>
      </c>
      <c r="DK173" s="56">
        <f t="shared" ca="1" si="205"/>
        <v>9.7263157894736842</v>
      </c>
      <c r="DL173" s="56">
        <f t="shared" ca="1" si="205"/>
        <v>9.7263157894736842</v>
      </c>
      <c r="DM173" s="56">
        <f t="shared" ca="1" si="205"/>
        <v>9.7263157894736842</v>
      </c>
      <c r="DN173" s="56">
        <f t="shared" ca="1" si="205"/>
        <v>9.7263157894736842</v>
      </c>
      <c r="DO173" s="56">
        <f t="shared" ca="1" si="205"/>
        <v>9.7263157894736842</v>
      </c>
      <c r="DP173" s="56">
        <f t="shared" ca="1" si="205"/>
        <v>9.7263157894736842</v>
      </c>
      <c r="DQ173" s="56">
        <f t="shared" si="205"/>
        <v>0</v>
      </c>
      <c r="DR173" s="56">
        <f t="shared" si="205"/>
        <v>0</v>
      </c>
      <c r="DS173" s="56">
        <f t="shared" si="205"/>
        <v>0</v>
      </c>
      <c r="DT173" s="56">
        <f t="shared" si="205"/>
        <v>0</v>
      </c>
      <c r="DU173" s="56">
        <f t="shared" si="205"/>
        <v>0</v>
      </c>
      <c r="DV173" s="56">
        <f t="shared" si="205"/>
        <v>0</v>
      </c>
      <c r="DW173" s="56">
        <f t="shared" si="205"/>
        <v>0</v>
      </c>
      <c r="DX173" s="56">
        <f t="shared" si="205"/>
        <v>0</v>
      </c>
      <c r="DY173" s="56">
        <f t="shared" si="205"/>
        <v>0</v>
      </c>
      <c r="DZ173" s="56">
        <f t="shared" si="205"/>
        <v>0</v>
      </c>
      <c r="EA173" s="56">
        <f t="shared" si="205"/>
        <v>0</v>
      </c>
      <c r="EB173" s="56">
        <f t="shared" si="205"/>
        <v>0</v>
      </c>
      <c r="EC173" s="56">
        <f t="shared" si="205"/>
        <v>0</v>
      </c>
      <c r="ED173" s="56">
        <f t="shared" si="205"/>
        <v>0</v>
      </c>
      <c r="EE173" s="56">
        <f t="shared" si="205"/>
        <v>0</v>
      </c>
      <c r="EF173" s="56">
        <f t="shared" si="205"/>
        <v>0</v>
      </c>
      <c r="EG173" s="56">
        <f t="shared" si="205"/>
        <v>0</v>
      </c>
      <c r="EH173" s="56">
        <f t="shared" si="205"/>
        <v>0</v>
      </c>
      <c r="EI173" s="56">
        <f t="shared" ref="EI173:FN173" si="206">IF(AND(EI$139&gt;=$B$82+$B$83,EI$139&lt;=$B$82+$B$83+$B$84-1),$C120,0)</f>
        <v>0</v>
      </c>
      <c r="EJ173" s="56">
        <f t="shared" si="206"/>
        <v>0</v>
      </c>
      <c r="EK173" s="56">
        <f t="shared" si="206"/>
        <v>0</v>
      </c>
      <c r="EL173" s="56">
        <f t="shared" si="206"/>
        <v>0</v>
      </c>
      <c r="EM173" s="56">
        <f t="shared" si="206"/>
        <v>0</v>
      </c>
      <c r="EN173" s="56">
        <f t="shared" si="206"/>
        <v>0</v>
      </c>
      <c r="EO173" s="56">
        <f t="shared" si="206"/>
        <v>0</v>
      </c>
      <c r="EP173" s="56">
        <f t="shared" si="206"/>
        <v>0</v>
      </c>
      <c r="EQ173" s="56">
        <f t="shared" si="206"/>
        <v>0</v>
      </c>
      <c r="ER173" s="56">
        <f t="shared" si="206"/>
        <v>0</v>
      </c>
      <c r="ES173" s="56">
        <f t="shared" si="206"/>
        <v>0</v>
      </c>
      <c r="ET173" s="56">
        <f t="shared" si="206"/>
        <v>0</v>
      </c>
      <c r="EU173" s="56">
        <f t="shared" si="206"/>
        <v>0</v>
      </c>
      <c r="EV173" s="56">
        <f t="shared" si="206"/>
        <v>0</v>
      </c>
      <c r="EW173" s="56">
        <f t="shared" si="206"/>
        <v>0</v>
      </c>
      <c r="EX173" s="56">
        <f t="shared" si="206"/>
        <v>0</v>
      </c>
      <c r="EY173" s="56">
        <f t="shared" si="206"/>
        <v>0</v>
      </c>
      <c r="EZ173" s="56">
        <f t="shared" si="206"/>
        <v>0</v>
      </c>
      <c r="FA173" s="56">
        <f t="shared" si="206"/>
        <v>0</v>
      </c>
      <c r="FB173" s="56">
        <f t="shared" si="206"/>
        <v>0</v>
      </c>
      <c r="FC173" s="56">
        <f t="shared" si="206"/>
        <v>0</v>
      </c>
      <c r="FD173" s="56">
        <f t="shared" si="206"/>
        <v>0</v>
      </c>
      <c r="FE173" s="56">
        <f t="shared" si="206"/>
        <v>0</v>
      </c>
      <c r="FF173" s="56">
        <f t="shared" si="206"/>
        <v>0</v>
      </c>
      <c r="FG173" s="56">
        <f t="shared" si="206"/>
        <v>0</v>
      </c>
      <c r="FH173" s="56">
        <f t="shared" si="206"/>
        <v>0</v>
      </c>
      <c r="FI173" s="56">
        <f t="shared" si="206"/>
        <v>0</v>
      </c>
      <c r="FJ173" s="56">
        <f t="shared" si="206"/>
        <v>0</v>
      </c>
      <c r="FK173" s="56">
        <f t="shared" si="206"/>
        <v>0</v>
      </c>
      <c r="FL173" s="56">
        <f t="shared" si="206"/>
        <v>0</v>
      </c>
      <c r="FM173" s="56">
        <f t="shared" si="206"/>
        <v>0</v>
      </c>
      <c r="FN173" s="56">
        <f t="shared" si="206"/>
        <v>0</v>
      </c>
      <c r="FO173" s="56">
        <f t="shared" ref="FO173:GP173" si="207">IF(AND(FO$139&gt;=$B$82+$B$83,FO$139&lt;=$B$82+$B$83+$B$84-1),$C120,0)</f>
        <v>0</v>
      </c>
      <c r="FP173" s="56">
        <f t="shared" si="207"/>
        <v>0</v>
      </c>
      <c r="FQ173" s="56">
        <f t="shared" si="207"/>
        <v>0</v>
      </c>
      <c r="FR173" s="56">
        <f t="shared" si="207"/>
        <v>0</v>
      </c>
      <c r="FS173" s="56">
        <f t="shared" si="207"/>
        <v>0</v>
      </c>
      <c r="FT173" s="56">
        <f t="shared" si="207"/>
        <v>0</v>
      </c>
      <c r="FU173" s="56">
        <f t="shared" si="207"/>
        <v>0</v>
      </c>
      <c r="FV173" s="56">
        <f t="shared" si="207"/>
        <v>0</v>
      </c>
      <c r="FW173" s="56">
        <f t="shared" si="207"/>
        <v>0</v>
      </c>
      <c r="FX173" s="56">
        <f t="shared" si="207"/>
        <v>0</v>
      </c>
      <c r="FY173" s="56">
        <f t="shared" si="207"/>
        <v>0</v>
      </c>
      <c r="FZ173" s="56">
        <f t="shared" si="207"/>
        <v>0</v>
      </c>
      <c r="GA173" s="56">
        <f t="shared" si="207"/>
        <v>0</v>
      </c>
      <c r="GB173" s="56">
        <f t="shared" si="207"/>
        <v>0</v>
      </c>
      <c r="GC173" s="56">
        <f t="shared" si="207"/>
        <v>0</v>
      </c>
      <c r="GD173" s="56">
        <f t="shared" si="207"/>
        <v>0</v>
      </c>
      <c r="GE173" s="56">
        <f t="shared" si="207"/>
        <v>0</v>
      </c>
      <c r="GF173" s="56">
        <f t="shared" si="207"/>
        <v>0</v>
      </c>
      <c r="GG173" s="56">
        <f t="shared" si="207"/>
        <v>0</v>
      </c>
      <c r="GH173" s="56">
        <f t="shared" si="207"/>
        <v>0</v>
      </c>
      <c r="GI173" s="56">
        <f t="shared" si="207"/>
        <v>0</v>
      </c>
      <c r="GJ173" s="56">
        <f t="shared" si="207"/>
        <v>0</v>
      </c>
      <c r="GK173" s="56">
        <f t="shared" si="207"/>
        <v>0</v>
      </c>
      <c r="GL173" s="56">
        <f t="shared" si="207"/>
        <v>0</v>
      </c>
      <c r="GM173" s="56">
        <f t="shared" si="207"/>
        <v>0</v>
      </c>
      <c r="GN173" s="56">
        <f t="shared" si="207"/>
        <v>0</v>
      </c>
      <c r="GO173" s="56">
        <f t="shared" si="207"/>
        <v>0</v>
      </c>
      <c r="GP173" s="56">
        <f t="shared" si="207"/>
        <v>0</v>
      </c>
    </row>
    <row r="174" spans="1:198" x14ac:dyDescent="0.35">
      <c r="A174" s="55" t="str">
        <f t="shared" si="165"/>
        <v>Available now &gt; TriNet</v>
      </c>
      <c r="B174" s="55" t="s">
        <v>297</v>
      </c>
      <c r="K174" s="56">
        <f t="shared" ref="K174:AP174" si="208">IF(K$139&gt;=$B$88,$C121,0)</f>
        <v>0</v>
      </c>
      <c r="L174" s="56">
        <f t="shared" si="208"/>
        <v>0</v>
      </c>
      <c r="M174" s="56">
        <f t="shared" si="208"/>
        <v>0</v>
      </c>
      <c r="N174" s="56">
        <f t="shared" si="208"/>
        <v>0</v>
      </c>
      <c r="O174" s="56">
        <f t="shared" si="208"/>
        <v>0</v>
      </c>
      <c r="P174" s="56">
        <f t="shared" si="208"/>
        <v>0</v>
      </c>
      <c r="Q174" s="56">
        <f t="shared" si="208"/>
        <v>0</v>
      </c>
      <c r="R174" s="56">
        <f t="shared" si="208"/>
        <v>0</v>
      </c>
      <c r="S174" s="56">
        <f t="shared" si="208"/>
        <v>0</v>
      </c>
      <c r="T174" s="56">
        <f t="shared" si="208"/>
        <v>0</v>
      </c>
      <c r="U174" s="56">
        <f t="shared" si="208"/>
        <v>0</v>
      </c>
      <c r="V174" s="56">
        <f t="shared" si="208"/>
        <v>0</v>
      </c>
      <c r="W174" s="56">
        <f t="shared" si="208"/>
        <v>0</v>
      </c>
      <c r="X174" s="56">
        <f t="shared" si="208"/>
        <v>0</v>
      </c>
      <c r="Y174" s="56">
        <f t="shared" si="208"/>
        <v>0</v>
      </c>
      <c r="Z174" s="56">
        <f t="shared" si="208"/>
        <v>0</v>
      </c>
      <c r="AA174" s="56">
        <f t="shared" si="208"/>
        <v>0</v>
      </c>
      <c r="AB174" s="56">
        <f t="shared" si="208"/>
        <v>0</v>
      </c>
      <c r="AC174" s="56">
        <f t="shared" si="208"/>
        <v>0</v>
      </c>
      <c r="AD174" s="56">
        <f t="shared" si="208"/>
        <v>0</v>
      </c>
      <c r="AE174" s="56">
        <f t="shared" si="208"/>
        <v>0</v>
      </c>
      <c r="AF174" s="56">
        <f t="shared" si="208"/>
        <v>0</v>
      </c>
      <c r="AG174" s="56">
        <f t="shared" si="208"/>
        <v>0</v>
      </c>
      <c r="AH174" s="56">
        <f t="shared" si="208"/>
        <v>0</v>
      </c>
      <c r="AI174" s="56">
        <f t="shared" si="208"/>
        <v>0</v>
      </c>
      <c r="AJ174" s="56">
        <f t="shared" si="208"/>
        <v>0</v>
      </c>
      <c r="AK174" s="56">
        <f t="shared" si="208"/>
        <v>0</v>
      </c>
      <c r="AL174" s="56">
        <f t="shared" si="208"/>
        <v>0</v>
      </c>
      <c r="AM174" s="56">
        <f t="shared" si="208"/>
        <v>0</v>
      </c>
      <c r="AN174" s="56">
        <f t="shared" si="208"/>
        <v>0</v>
      </c>
      <c r="AO174" s="56">
        <f t="shared" si="208"/>
        <v>0</v>
      </c>
      <c r="AP174" s="56">
        <f t="shared" si="208"/>
        <v>0</v>
      </c>
      <c r="AQ174" s="56">
        <f t="shared" ref="AQ174:BV174" si="209">IF(AQ$139&gt;=$B$88,$C121,0)</f>
        <v>0</v>
      </c>
      <c r="AR174" s="56">
        <f t="shared" si="209"/>
        <v>0</v>
      </c>
      <c r="AS174" s="56">
        <f t="shared" si="209"/>
        <v>0</v>
      </c>
      <c r="AT174" s="56">
        <f t="shared" si="209"/>
        <v>0</v>
      </c>
      <c r="AU174" s="56">
        <f t="shared" si="209"/>
        <v>0</v>
      </c>
      <c r="AV174" s="56">
        <f t="shared" si="209"/>
        <v>0</v>
      </c>
      <c r="AW174" s="56">
        <f t="shared" si="209"/>
        <v>0</v>
      </c>
      <c r="AX174" s="56">
        <f t="shared" si="209"/>
        <v>0</v>
      </c>
      <c r="AY174" s="56">
        <f t="shared" si="209"/>
        <v>0</v>
      </c>
      <c r="AZ174" s="56">
        <f t="shared" si="209"/>
        <v>0</v>
      </c>
      <c r="BA174" s="56">
        <f t="shared" si="209"/>
        <v>0</v>
      </c>
      <c r="BB174" s="56">
        <f t="shared" si="209"/>
        <v>0</v>
      </c>
      <c r="BC174" s="56">
        <f t="shared" si="209"/>
        <v>0</v>
      </c>
      <c r="BD174" s="56">
        <f t="shared" si="209"/>
        <v>0</v>
      </c>
      <c r="BE174" s="56">
        <f t="shared" si="209"/>
        <v>0</v>
      </c>
      <c r="BF174" s="56">
        <f t="shared" si="209"/>
        <v>0</v>
      </c>
      <c r="BG174" s="56">
        <f t="shared" si="209"/>
        <v>0</v>
      </c>
      <c r="BH174" s="56">
        <f t="shared" si="209"/>
        <v>0</v>
      </c>
      <c r="BI174" s="56">
        <f t="shared" si="209"/>
        <v>0</v>
      </c>
      <c r="BJ174" s="56">
        <f t="shared" si="209"/>
        <v>0</v>
      </c>
      <c r="BK174" s="56">
        <f t="shared" si="209"/>
        <v>0</v>
      </c>
      <c r="BL174" s="56">
        <f t="shared" si="209"/>
        <v>0</v>
      </c>
      <c r="BM174" s="56">
        <f t="shared" si="209"/>
        <v>0</v>
      </c>
      <c r="BN174" s="56">
        <f t="shared" si="209"/>
        <v>0</v>
      </c>
      <c r="BO174" s="56">
        <f t="shared" si="209"/>
        <v>0</v>
      </c>
      <c r="BP174" s="56">
        <f t="shared" si="209"/>
        <v>0</v>
      </c>
      <c r="BQ174" s="56">
        <f t="shared" si="209"/>
        <v>0</v>
      </c>
      <c r="BR174" s="56">
        <f t="shared" si="209"/>
        <v>0</v>
      </c>
      <c r="BS174" s="56">
        <f t="shared" si="209"/>
        <v>0</v>
      </c>
      <c r="BT174" s="56">
        <f t="shared" si="209"/>
        <v>0</v>
      </c>
      <c r="BU174" s="56">
        <f t="shared" si="209"/>
        <v>0</v>
      </c>
      <c r="BV174" s="56">
        <f t="shared" si="209"/>
        <v>0</v>
      </c>
      <c r="BW174" s="56">
        <f t="shared" ref="BW174:DB174" si="210">IF(BW$139&gt;=$B$88,$C121,0)</f>
        <v>0</v>
      </c>
      <c r="BX174" s="56">
        <f t="shared" si="210"/>
        <v>0</v>
      </c>
      <c r="BY174" s="56">
        <f t="shared" si="210"/>
        <v>0</v>
      </c>
      <c r="BZ174" s="56">
        <f t="shared" si="210"/>
        <v>0</v>
      </c>
      <c r="CA174" s="56">
        <f t="shared" si="210"/>
        <v>0</v>
      </c>
      <c r="CB174" s="56">
        <f t="shared" si="210"/>
        <v>0</v>
      </c>
      <c r="CC174" s="56">
        <f t="shared" si="210"/>
        <v>0</v>
      </c>
      <c r="CD174" s="56">
        <f t="shared" si="210"/>
        <v>0</v>
      </c>
      <c r="CE174" s="56">
        <f t="shared" si="210"/>
        <v>0</v>
      </c>
      <c r="CF174" s="56">
        <f t="shared" si="210"/>
        <v>0</v>
      </c>
      <c r="CG174" s="56">
        <f t="shared" si="210"/>
        <v>0</v>
      </c>
      <c r="CH174" s="56">
        <f t="shared" si="210"/>
        <v>0</v>
      </c>
      <c r="CI174" s="56">
        <f t="shared" si="210"/>
        <v>0</v>
      </c>
      <c r="CJ174" s="56">
        <f t="shared" si="210"/>
        <v>0</v>
      </c>
      <c r="CK174" s="56">
        <f t="shared" si="210"/>
        <v>0</v>
      </c>
      <c r="CL174" s="56">
        <f t="shared" si="210"/>
        <v>0</v>
      </c>
      <c r="CM174" s="56">
        <f t="shared" si="210"/>
        <v>0</v>
      </c>
      <c r="CN174" s="56">
        <f t="shared" si="210"/>
        <v>0</v>
      </c>
      <c r="CO174" s="56">
        <f t="shared" si="210"/>
        <v>0</v>
      </c>
      <c r="CP174" s="56">
        <f t="shared" si="210"/>
        <v>0</v>
      </c>
      <c r="CQ174" s="56">
        <f t="shared" si="210"/>
        <v>0</v>
      </c>
      <c r="CR174" s="56">
        <f t="shared" si="210"/>
        <v>0</v>
      </c>
      <c r="CS174" s="56">
        <f t="shared" si="210"/>
        <v>0</v>
      </c>
      <c r="CT174" s="56">
        <f t="shared" si="210"/>
        <v>0</v>
      </c>
      <c r="CU174" s="56">
        <f t="shared" si="210"/>
        <v>0</v>
      </c>
      <c r="CV174" s="56">
        <f t="shared" si="210"/>
        <v>0</v>
      </c>
      <c r="CW174" s="56">
        <f t="shared" si="210"/>
        <v>0</v>
      </c>
      <c r="CX174" s="56">
        <f t="shared" si="210"/>
        <v>0</v>
      </c>
      <c r="CY174" s="56">
        <f t="shared" si="210"/>
        <v>0</v>
      </c>
      <c r="CZ174" s="56">
        <f t="shared" si="210"/>
        <v>0</v>
      </c>
      <c r="DA174" s="56">
        <f t="shared" si="210"/>
        <v>0</v>
      </c>
      <c r="DB174" s="56">
        <f t="shared" si="210"/>
        <v>0</v>
      </c>
      <c r="DC174" s="56">
        <f t="shared" ref="DC174:EH174" si="211">IF(DC$139&gt;=$B$88,$C121,0)</f>
        <v>0</v>
      </c>
      <c r="DD174" s="56">
        <f t="shared" si="211"/>
        <v>0</v>
      </c>
      <c r="DE174" s="56">
        <f t="shared" si="211"/>
        <v>0</v>
      </c>
      <c r="DF174" s="56">
        <f t="shared" si="211"/>
        <v>0</v>
      </c>
      <c r="DG174" s="56">
        <f t="shared" si="211"/>
        <v>0</v>
      </c>
      <c r="DH174" s="56">
        <f t="shared" si="211"/>
        <v>0</v>
      </c>
      <c r="DI174" s="56">
        <f t="shared" si="211"/>
        <v>0</v>
      </c>
      <c r="DJ174" s="56">
        <f t="shared" si="211"/>
        <v>0</v>
      </c>
      <c r="DK174" s="56">
        <f t="shared" si="211"/>
        <v>0</v>
      </c>
      <c r="DL174" s="56">
        <f t="shared" si="211"/>
        <v>0</v>
      </c>
      <c r="DM174" s="56">
        <f t="shared" si="211"/>
        <v>0</v>
      </c>
      <c r="DN174" s="56">
        <f t="shared" si="211"/>
        <v>0</v>
      </c>
      <c r="DO174" s="56">
        <f t="shared" si="211"/>
        <v>0</v>
      </c>
      <c r="DP174" s="56">
        <f t="shared" si="211"/>
        <v>0</v>
      </c>
      <c r="DQ174" s="56">
        <f t="shared" ca="1" si="211"/>
        <v>3.2421052631578946</v>
      </c>
      <c r="DR174" s="56">
        <f t="shared" ca="1" si="211"/>
        <v>3.2421052631578946</v>
      </c>
      <c r="DS174" s="56">
        <f t="shared" ca="1" si="211"/>
        <v>3.2421052631578946</v>
      </c>
      <c r="DT174" s="56">
        <f t="shared" ca="1" si="211"/>
        <v>3.2421052631578946</v>
      </c>
      <c r="DU174" s="56">
        <f t="shared" ca="1" si="211"/>
        <v>3.2421052631578946</v>
      </c>
      <c r="DV174" s="56">
        <f t="shared" ca="1" si="211"/>
        <v>3.2421052631578946</v>
      </c>
      <c r="DW174" s="56">
        <f t="shared" ca="1" si="211"/>
        <v>3.2421052631578946</v>
      </c>
      <c r="DX174" s="56">
        <f t="shared" ca="1" si="211"/>
        <v>3.2421052631578946</v>
      </c>
      <c r="DY174" s="56">
        <f t="shared" ca="1" si="211"/>
        <v>3.2421052631578946</v>
      </c>
      <c r="DZ174" s="56">
        <f t="shared" ca="1" si="211"/>
        <v>3.2421052631578946</v>
      </c>
      <c r="EA174" s="56">
        <f t="shared" ca="1" si="211"/>
        <v>3.2421052631578946</v>
      </c>
      <c r="EB174" s="56">
        <f t="shared" ca="1" si="211"/>
        <v>3.2421052631578946</v>
      </c>
      <c r="EC174" s="56">
        <f t="shared" ca="1" si="211"/>
        <v>3.2421052631578946</v>
      </c>
      <c r="ED174" s="56">
        <f t="shared" ca="1" si="211"/>
        <v>3.2421052631578946</v>
      </c>
      <c r="EE174" s="56">
        <f t="shared" ca="1" si="211"/>
        <v>3.2421052631578946</v>
      </c>
      <c r="EF174" s="56">
        <f t="shared" ca="1" si="211"/>
        <v>3.2421052631578946</v>
      </c>
      <c r="EG174" s="56">
        <f t="shared" ca="1" si="211"/>
        <v>3.2421052631578946</v>
      </c>
      <c r="EH174" s="56">
        <f t="shared" ca="1" si="211"/>
        <v>3.2421052631578946</v>
      </c>
      <c r="EI174" s="56">
        <f t="shared" ref="EI174:FN174" ca="1" si="212">IF(EI$139&gt;=$B$88,$C121,0)</f>
        <v>3.2421052631578946</v>
      </c>
      <c r="EJ174" s="56">
        <f t="shared" ca="1" si="212"/>
        <v>3.2421052631578946</v>
      </c>
      <c r="EK174" s="56">
        <f t="shared" ca="1" si="212"/>
        <v>3.2421052631578946</v>
      </c>
      <c r="EL174" s="56">
        <f t="shared" ca="1" si="212"/>
        <v>3.2421052631578946</v>
      </c>
      <c r="EM174" s="56">
        <f t="shared" ca="1" si="212"/>
        <v>3.2421052631578946</v>
      </c>
      <c r="EN174" s="56">
        <f t="shared" ca="1" si="212"/>
        <v>3.2421052631578946</v>
      </c>
      <c r="EO174" s="56">
        <f t="shared" ca="1" si="212"/>
        <v>3.2421052631578946</v>
      </c>
      <c r="EP174" s="56">
        <f t="shared" ca="1" si="212"/>
        <v>3.2421052631578946</v>
      </c>
      <c r="EQ174" s="56">
        <f t="shared" ca="1" si="212"/>
        <v>3.2421052631578946</v>
      </c>
      <c r="ER174" s="56">
        <f t="shared" ca="1" si="212"/>
        <v>3.2421052631578946</v>
      </c>
      <c r="ES174" s="56">
        <f t="shared" ca="1" si="212"/>
        <v>3.2421052631578946</v>
      </c>
      <c r="ET174" s="56">
        <f t="shared" ca="1" si="212"/>
        <v>3.2421052631578946</v>
      </c>
      <c r="EU174" s="56">
        <f t="shared" ca="1" si="212"/>
        <v>3.2421052631578946</v>
      </c>
      <c r="EV174" s="56">
        <f t="shared" ca="1" si="212"/>
        <v>3.2421052631578946</v>
      </c>
      <c r="EW174" s="56">
        <f t="shared" ca="1" si="212"/>
        <v>3.2421052631578946</v>
      </c>
      <c r="EX174" s="56">
        <f t="shared" ca="1" si="212"/>
        <v>3.2421052631578946</v>
      </c>
      <c r="EY174" s="56">
        <f t="shared" ca="1" si="212"/>
        <v>3.2421052631578946</v>
      </c>
      <c r="EZ174" s="56">
        <f t="shared" ca="1" si="212"/>
        <v>3.2421052631578946</v>
      </c>
      <c r="FA174" s="56">
        <f t="shared" ca="1" si="212"/>
        <v>3.2421052631578946</v>
      </c>
      <c r="FB174" s="56">
        <f t="shared" ca="1" si="212"/>
        <v>3.2421052631578946</v>
      </c>
      <c r="FC174" s="56">
        <f t="shared" ca="1" si="212"/>
        <v>3.2421052631578946</v>
      </c>
      <c r="FD174" s="56">
        <f t="shared" ca="1" si="212"/>
        <v>3.2421052631578946</v>
      </c>
      <c r="FE174" s="56">
        <f t="shared" ca="1" si="212"/>
        <v>3.2421052631578946</v>
      </c>
      <c r="FF174" s="56">
        <f t="shared" ca="1" si="212"/>
        <v>3.2421052631578946</v>
      </c>
      <c r="FG174" s="56">
        <f t="shared" ca="1" si="212"/>
        <v>3.2421052631578946</v>
      </c>
      <c r="FH174" s="56">
        <f t="shared" ca="1" si="212"/>
        <v>3.2421052631578946</v>
      </c>
      <c r="FI174" s="56">
        <f t="shared" ca="1" si="212"/>
        <v>3.2421052631578946</v>
      </c>
      <c r="FJ174" s="56">
        <f t="shared" ca="1" si="212"/>
        <v>3.2421052631578946</v>
      </c>
      <c r="FK174" s="56">
        <f t="shared" ca="1" si="212"/>
        <v>3.2421052631578946</v>
      </c>
      <c r="FL174" s="56">
        <f t="shared" ca="1" si="212"/>
        <v>3.2421052631578946</v>
      </c>
      <c r="FM174" s="56">
        <f t="shared" ca="1" si="212"/>
        <v>3.2421052631578946</v>
      </c>
      <c r="FN174" s="56">
        <f t="shared" ca="1" si="212"/>
        <v>3.2421052631578946</v>
      </c>
      <c r="FO174" s="56">
        <f t="shared" ref="FO174:GP174" ca="1" si="213">IF(FO$139&gt;=$B$88,$C121,0)</f>
        <v>3.2421052631578946</v>
      </c>
      <c r="FP174" s="56">
        <f t="shared" ca="1" si="213"/>
        <v>3.2421052631578946</v>
      </c>
      <c r="FQ174" s="56">
        <f t="shared" ca="1" si="213"/>
        <v>3.2421052631578946</v>
      </c>
      <c r="FR174" s="56">
        <f t="shared" ca="1" si="213"/>
        <v>3.2421052631578946</v>
      </c>
      <c r="FS174" s="56">
        <f t="shared" ca="1" si="213"/>
        <v>3.2421052631578946</v>
      </c>
      <c r="FT174" s="56">
        <f t="shared" ca="1" si="213"/>
        <v>3.2421052631578946</v>
      </c>
      <c r="FU174" s="56">
        <f t="shared" ca="1" si="213"/>
        <v>3.2421052631578946</v>
      </c>
      <c r="FV174" s="56">
        <f t="shared" ca="1" si="213"/>
        <v>3.2421052631578946</v>
      </c>
      <c r="FW174" s="56">
        <f t="shared" ca="1" si="213"/>
        <v>3.2421052631578946</v>
      </c>
      <c r="FX174" s="56">
        <f t="shared" ca="1" si="213"/>
        <v>3.2421052631578946</v>
      </c>
      <c r="FY174" s="56">
        <f t="shared" ca="1" si="213"/>
        <v>3.2421052631578946</v>
      </c>
      <c r="FZ174" s="56">
        <f t="shared" ca="1" si="213"/>
        <v>3.2421052631578946</v>
      </c>
      <c r="GA174" s="56">
        <f t="shared" ca="1" si="213"/>
        <v>3.2421052631578946</v>
      </c>
      <c r="GB174" s="56">
        <f t="shared" ca="1" si="213"/>
        <v>3.2421052631578946</v>
      </c>
      <c r="GC174" s="56">
        <f t="shared" ca="1" si="213"/>
        <v>3.2421052631578946</v>
      </c>
      <c r="GD174" s="56">
        <f t="shared" ca="1" si="213"/>
        <v>3.2421052631578946</v>
      </c>
      <c r="GE174" s="56">
        <f t="shared" ca="1" si="213"/>
        <v>3.2421052631578946</v>
      </c>
      <c r="GF174" s="56">
        <f t="shared" ca="1" si="213"/>
        <v>3.2421052631578946</v>
      </c>
      <c r="GG174" s="56">
        <f t="shared" ca="1" si="213"/>
        <v>3.2421052631578946</v>
      </c>
      <c r="GH174" s="56">
        <f t="shared" ca="1" si="213"/>
        <v>3.2421052631578946</v>
      </c>
      <c r="GI174" s="56">
        <f t="shared" ca="1" si="213"/>
        <v>3.2421052631578946</v>
      </c>
      <c r="GJ174" s="56">
        <f t="shared" ca="1" si="213"/>
        <v>3.2421052631578946</v>
      </c>
      <c r="GK174" s="56">
        <f t="shared" ca="1" si="213"/>
        <v>3.2421052631578946</v>
      </c>
      <c r="GL174" s="56">
        <f t="shared" ca="1" si="213"/>
        <v>3.2421052631578946</v>
      </c>
      <c r="GM174" s="56">
        <f t="shared" ca="1" si="213"/>
        <v>3.2421052631578946</v>
      </c>
      <c r="GN174" s="56">
        <f t="shared" ca="1" si="213"/>
        <v>3.2421052631578946</v>
      </c>
      <c r="GO174" s="56">
        <f t="shared" ca="1" si="213"/>
        <v>3.2421052631578946</v>
      </c>
      <c r="GP174" s="56">
        <f t="shared" ca="1" si="213"/>
        <v>3.2421052631578946</v>
      </c>
    </row>
    <row r="175" spans="1:198" x14ac:dyDescent="0.35">
      <c r="A175" s="55" t="str">
        <f t="shared" si="165"/>
        <v>Available now &gt; PMI</v>
      </c>
      <c r="B175" s="55" t="s">
        <v>297</v>
      </c>
      <c r="K175" s="56">
        <f t="shared" ref="K175:AP175" si="214">IF(K$139&gt;=$B$88,$C122,0)</f>
        <v>0</v>
      </c>
      <c r="L175" s="56">
        <f t="shared" si="214"/>
        <v>0</v>
      </c>
      <c r="M175" s="56">
        <f t="shared" si="214"/>
        <v>0</v>
      </c>
      <c r="N175" s="56">
        <f t="shared" si="214"/>
        <v>0</v>
      </c>
      <c r="O175" s="56">
        <f t="shared" si="214"/>
        <v>0</v>
      </c>
      <c r="P175" s="56">
        <f t="shared" si="214"/>
        <v>0</v>
      </c>
      <c r="Q175" s="56">
        <f t="shared" si="214"/>
        <v>0</v>
      </c>
      <c r="R175" s="56">
        <f t="shared" si="214"/>
        <v>0</v>
      </c>
      <c r="S175" s="56">
        <f t="shared" si="214"/>
        <v>0</v>
      </c>
      <c r="T175" s="56">
        <f t="shared" si="214"/>
        <v>0</v>
      </c>
      <c r="U175" s="56">
        <f t="shared" si="214"/>
        <v>0</v>
      </c>
      <c r="V175" s="56">
        <f t="shared" si="214"/>
        <v>0</v>
      </c>
      <c r="W175" s="56">
        <f t="shared" si="214"/>
        <v>0</v>
      </c>
      <c r="X175" s="56">
        <f t="shared" si="214"/>
        <v>0</v>
      </c>
      <c r="Y175" s="56">
        <f t="shared" si="214"/>
        <v>0</v>
      </c>
      <c r="Z175" s="56">
        <f t="shared" si="214"/>
        <v>0</v>
      </c>
      <c r="AA175" s="56">
        <f t="shared" si="214"/>
        <v>0</v>
      </c>
      <c r="AB175" s="56">
        <f t="shared" si="214"/>
        <v>0</v>
      </c>
      <c r="AC175" s="56">
        <f t="shared" si="214"/>
        <v>0</v>
      </c>
      <c r="AD175" s="56">
        <f t="shared" si="214"/>
        <v>0</v>
      </c>
      <c r="AE175" s="56">
        <f t="shared" si="214"/>
        <v>0</v>
      </c>
      <c r="AF175" s="56">
        <f t="shared" si="214"/>
        <v>0</v>
      </c>
      <c r="AG175" s="56">
        <f t="shared" si="214"/>
        <v>0</v>
      </c>
      <c r="AH175" s="56">
        <f t="shared" si="214"/>
        <v>0</v>
      </c>
      <c r="AI175" s="56">
        <f t="shared" si="214"/>
        <v>0</v>
      </c>
      <c r="AJ175" s="56">
        <f t="shared" si="214"/>
        <v>0</v>
      </c>
      <c r="AK175" s="56">
        <f t="shared" si="214"/>
        <v>0</v>
      </c>
      <c r="AL175" s="56">
        <f t="shared" si="214"/>
        <v>0</v>
      </c>
      <c r="AM175" s="56">
        <f t="shared" si="214"/>
        <v>0</v>
      </c>
      <c r="AN175" s="56">
        <f t="shared" si="214"/>
        <v>0</v>
      </c>
      <c r="AO175" s="56">
        <f t="shared" si="214"/>
        <v>0</v>
      </c>
      <c r="AP175" s="56">
        <f t="shared" si="214"/>
        <v>0</v>
      </c>
      <c r="AQ175" s="56">
        <f t="shared" ref="AQ175:BV175" si="215">IF(AQ$139&gt;=$B$88,$C122,0)</f>
        <v>0</v>
      </c>
      <c r="AR175" s="56">
        <f t="shared" si="215"/>
        <v>0</v>
      </c>
      <c r="AS175" s="56">
        <f t="shared" si="215"/>
        <v>0</v>
      </c>
      <c r="AT175" s="56">
        <f t="shared" si="215"/>
        <v>0</v>
      </c>
      <c r="AU175" s="56">
        <f t="shared" si="215"/>
        <v>0</v>
      </c>
      <c r="AV175" s="56">
        <f t="shared" si="215"/>
        <v>0</v>
      </c>
      <c r="AW175" s="56">
        <f t="shared" si="215"/>
        <v>0</v>
      </c>
      <c r="AX175" s="56">
        <f t="shared" si="215"/>
        <v>0</v>
      </c>
      <c r="AY175" s="56">
        <f t="shared" si="215"/>
        <v>0</v>
      </c>
      <c r="AZ175" s="56">
        <f t="shared" si="215"/>
        <v>0</v>
      </c>
      <c r="BA175" s="56">
        <f t="shared" si="215"/>
        <v>0</v>
      </c>
      <c r="BB175" s="56">
        <f t="shared" si="215"/>
        <v>0</v>
      </c>
      <c r="BC175" s="56">
        <f t="shared" si="215"/>
        <v>0</v>
      </c>
      <c r="BD175" s="56">
        <f t="shared" si="215"/>
        <v>0</v>
      </c>
      <c r="BE175" s="56">
        <f t="shared" si="215"/>
        <v>0</v>
      </c>
      <c r="BF175" s="56">
        <f t="shared" si="215"/>
        <v>0</v>
      </c>
      <c r="BG175" s="56">
        <f t="shared" si="215"/>
        <v>0</v>
      </c>
      <c r="BH175" s="56">
        <f t="shared" si="215"/>
        <v>0</v>
      </c>
      <c r="BI175" s="56">
        <f t="shared" si="215"/>
        <v>0</v>
      </c>
      <c r="BJ175" s="56">
        <f t="shared" si="215"/>
        <v>0</v>
      </c>
      <c r="BK175" s="56">
        <f t="shared" si="215"/>
        <v>0</v>
      </c>
      <c r="BL175" s="56">
        <f t="shared" si="215"/>
        <v>0</v>
      </c>
      <c r="BM175" s="56">
        <f t="shared" si="215"/>
        <v>0</v>
      </c>
      <c r="BN175" s="56">
        <f t="shared" si="215"/>
        <v>0</v>
      </c>
      <c r="BO175" s="56">
        <f t="shared" si="215"/>
        <v>0</v>
      </c>
      <c r="BP175" s="56">
        <f t="shared" si="215"/>
        <v>0</v>
      </c>
      <c r="BQ175" s="56">
        <f t="shared" si="215"/>
        <v>0</v>
      </c>
      <c r="BR175" s="56">
        <f t="shared" si="215"/>
        <v>0</v>
      </c>
      <c r="BS175" s="56">
        <f t="shared" si="215"/>
        <v>0</v>
      </c>
      <c r="BT175" s="56">
        <f t="shared" si="215"/>
        <v>0</v>
      </c>
      <c r="BU175" s="56">
        <f t="shared" si="215"/>
        <v>0</v>
      </c>
      <c r="BV175" s="56">
        <f t="shared" si="215"/>
        <v>0</v>
      </c>
      <c r="BW175" s="56">
        <f t="shared" ref="BW175:DB175" si="216">IF(BW$139&gt;=$B$88,$C122,0)</f>
        <v>0</v>
      </c>
      <c r="BX175" s="56">
        <f t="shared" si="216"/>
        <v>0</v>
      </c>
      <c r="BY175" s="56">
        <f t="shared" si="216"/>
        <v>0</v>
      </c>
      <c r="BZ175" s="56">
        <f t="shared" si="216"/>
        <v>0</v>
      </c>
      <c r="CA175" s="56">
        <f t="shared" si="216"/>
        <v>0</v>
      </c>
      <c r="CB175" s="56">
        <f t="shared" si="216"/>
        <v>0</v>
      </c>
      <c r="CC175" s="56">
        <f t="shared" si="216"/>
        <v>0</v>
      </c>
      <c r="CD175" s="56">
        <f t="shared" si="216"/>
        <v>0</v>
      </c>
      <c r="CE175" s="56">
        <f t="shared" si="216"/>
        <v>0</v>
      </c>
      <c r="CF175" s="56">
        <f t="shared" si="216"/>
        <v>0</v>
      </c>
      <c r="CG175" s="56">
        <f t="shared" si="216"/>
        <v>0</v>
      </c>
      <c r="CH175" s="56">
        <f t="shared" si="216"/>
        <v>0</v>
      </c>
      <c r="CI175" s="56">
        <f t="shared" si="216"/>
        <v>0</v>
      </c>
      <c r="CJ175" s="56">
        <f t="shared" si="216"/>
        <v>0</v>
      </c>
      <c r="CK175" s="56">
        <f t="shared" si="216"/>
        <v>0</v>
      </c>
      <c r="CL175" s="56">
        <f t="shared" si="216"/>
        <v>0</v>
      </c>
      <c r="CM175" s="56">
        <f t="shared" si="216"/>
        <v>0</v>
      </c>
      <c r="CN175" s="56">
        <f t="shared" si="216"/>
        <v>0</v>
      </c>
      <c r="CO175" s="56">
        <f t="shared" si="216"/>
        <v>0</v>
      </c>
      <c r="CP175" s="56">
        <f t="shared" si="216"/>
        <v>0</v>
      </c>
      <c r="CQ175" s="56">
        <f t="shared" si="216"/>
        <v>0</v>
      </c>
      <c r="CR175" s="56">
        <f t="shared" si="216"/>
        <v>0</v>
      </c>
      <c r="CS175" s="56">
        <f t="shared" si="216"/>
        <v>0</v>
      </c>
      <c r="CT175" s="56">
        <f t="shared" si="216"/>
        <v>0</v>
      </c>
      <c r="CU175" s="56">
        <f t="shared" si="216"/>
        <v>0</v>
      </c>
      <c r="CV175" s="56">
        <f t="shared" si="216"/>
        <v>0</v>
      </c>
      <c r="CW175" s="56">
        <f t="shared" si="216"/>
        <v>0</v>
      </c>
      <c r="CX175" s="56">
        <f t="shared" si="216"/>
        <v>0</v>
      </c>
      <c r="CY175" s="56">
        <f t="shared" si="216"/>
        <v>0</v>
      </c>
      <c r="CZ175" s="56">
        <f t="shared" si="216"/>
        <v>0</v>
      </c>
      <c r="DA175" s="56">
        <f t="shared" si="216"/>
        <v>0</v>
      </c>
      <c r="DB175" s="56">
        <f t="shared" si="216"/>
        <v>0</v>
      </c>
      <c r="DC175" s="56">
        <f t="shared" ref="DC175:EH175" si="217">IF(DC$139&gt;=$B$88,$C122,0)</f>
        <v>0</v>
      </c>
      <c r="DD175" s="56">
        <f t="shared" si="217"/>
        <v>0</v>
      </c>
      <c r="DE175" s="56">
        <f t="shared" si="217"/>
        <v>0</v>
      </c>
      <c r="DF175" s="56">
        <f t="shared" si="217"/>
        <v>0</v>
      </c>
      <c r="DG175" s="56">
        <f t="shared" si="217"/>
        <v>0</v>
      </c>
      <c r="DH175" s="56">
        <f t="shared" si="217"/>
        <v>0</v>
      </c>
      <c r="DI175" s="56">
        <f t="shared" si="217"/>
        <v>0</v>
      </c>
      <c r="DJ175" s="56">
        <f t="shared" si="217"/>
        <v>0</v>
      </c>
      <c r="DK175" s="56">
        <f t="shared" si="217"/>
        <v>0</v>
      </c>
      <c r="DL175" s="56">
        <f t="shared" si="217"/>
        <v>0</v>
      </c>
      <c r="DM175" s="56">
        <f t="shared" si="217"/>
        <v>0</v>
      </c>
      <c r="DN175" s="56">
        <f t="shared" si="217"/>
        <v>0</v>
      </c>
      <c r="DO175" s="56">
        <f t="shared" si="217"/>
        <v>0</v>
      </c>
      <c r="DP175" s="56">
        <f t="shared" si="217"/>
        <v>0</v>
      </c>
      <c r="DQ175" s="56">
        <f t="shared" ca="1" si="217"/>
        <v>0.81052631578947365</v>
      </c>
      <c r="DR175" s="56">
        <f t="shared" ca="1" si="217"/>
        <v>0.81052631578947365</v>
      </c>
      <c r="DS175" s="56">
        <f t="shared" ca="1" si="217"/>
        <v>0.81052631578947365</v>
      </c>
      <c r="DT175" s="56">
        <f t="shared" ca="1" si="217"/>
        <v>0.81052631578947365</v>
      </c>
      <c r="DU175" s="56">
        <f t="shared" ca="1" si="217"/>
        <v>0.81052631578947365</v>
      </c>
      <c r="DV175" s="56">
        <f t="shared" ca="1" si="217"/>
        <v>0.81052631578947365</v>
      </c>
      <c r="DW175" s="56">
        <f t="shared" ca="1" si="217"/>
        <v>0.81052631578947365</v>
      </c>
      <c r="DX175" s="56">
        <f t="shared" ca="1" si="217"/>
        <v>0.81052631578947365</v>
      </c>
      <c r="DY175" s="56">
        <f t="shared" ca="1" si="217"/>
        <v>0.81052631578947365</v>
      </c>
      <c r="DZ175" s="56">
        <f t="shared" ca="1" si="217"/>
        <v>0.81052631578947365</v>
      </c>
      <c r="EA175" s="56">
        <f t="shared" ca="1" si="217"/>
        <v>0.81052631578947365</v>
      </c>
      <c r="EB175" s="56">
        <f t="shared" ca="1" si="217"/>
        <v>0.81052631578947365</v>
      </c>
      <c r="EC175" s="56">
        <f t="shared" ca="1" si="217"/>
        <v>0.81052631578947365</v>
      </c>
      <c r="ED175" s="56">
        <f t="shared" ca="1" si="217"/>
        <v>0.81052631578947365</v>
      </c>
      <c r="EE175" s="56">
        <f t="shared" ca="1" si="217"/>
        <v>0.81052631578947365</v>
      </c>
      <c r="EF175" s="56">
        <f t="shared" ca="1" si="217"/>
        <v>0.81052631578947365</v>
      </c>
      <c r="EG175" s="56">
        <f t="shared" ca="1" si="217"/>
        <v>0.81052631578947365</v>
      </c>
      <c r="EH175" s="56">
        <f t="shared" ca="1" si="217"/>
        <v>0.81052631578947365</v>
      </c>
      <c r="EI175" s="56">
        <f t="shared" ref="EI175:FN175" ca="1" si="218">IF(EI$139&gt;=$B$88,$C122,0)</f>
        <v>0.81052631578947365</v>
      </c>
      <c r="EJ175" s="56">
        <f t="shared" ca="1" si="218"/>
        <v>0.81052631578947365</v>
      </c>
      <c r="EK175" s="56">
        <f t="shared" ca="1" si="218"/>
        <v>0.81052631578947365</v>
      </c>
      <c r="EL175" s="56">
        <f t="shared" ca="1" si="218"/>
        <v>0.81052631578947365</v>
      </c>
      <c r="EM175" s="56">
        <f t="shared" ca="1" si="218"/>
        <v>0.81052631578947365</v>
      </c>
      <c r="EN175" s="56">
        <f t="shared" ca="1" si="218"/>
        <v>0.81052631578947365</v>
      </c>
      <c r="EO175" s="56">
        <f t="shared" ca="1" si="218"/>
        <v>0.81052631578947365</v>
      </c>
      <c r="EP175" s="56">
        <f t="shared" ca="1" si="218"/>
        <v>0.81052631578947365</v>
      </c>
      <c r="EQ175" s="56">
        <f t="shared" ca="1" si="218"/>
        <v>0.81052631578947365</v>
      </c>
      <c r="ER175" s="56">
        <f t="shared" ca="1" si="218"/>
        <v>0.81052631578947365</v>
      </c>
      <c r="ES175" s="56">
        <f t="shared" ca="1" si="218"/>
        <v>0.81052631578947365</v>
      </c>
      <c r="ET175" s="56">
        <f t="shared" ca="1" si="218"/>
        <v>0.81052631578947365</v>
      </c>
      <c r="EU175" s="56">
        <f t="shared" ca="1" si="218"/>
        <v>0.81052631578947365</v>
      </c>
      <c r="EV175" s="56">
        <f t="shared" ca="1" si="218"/>
        <v>0.81052631578947365</v>
      </c>
      <c r="EW175" s="56">
        <f t="shared" ca="1" si="218"/>
        <v>0.81052631578947365</v>
      </c>
      <c r="EX175" s="56">
        <f t="shared" ca="1" si="218"/>
        <v>0.81052631578947365</v>
      </c>
      <c r="EY175" s="56">
        <f t="shared" ca="1" si="218"/>
        <v>0.81052631578947365</v>
      </c>
      <c r="EZ175" s="56">
        <f t="shared" ca="1" si="218"/>
        <v>0.81052631578947365</v>
      </c>
      <c r="FA175" s="56">
        <f t="shared" ca="1" si="218"/>
        <v>0.81052631578947365</v>
      </c>
      <c r="FB175" s="56">
        <f t="shared" ca="1" si="218"/>
        <v>0.81052631578947365</v>
      </c>
      <c r="FC175" s="56">
        <f t="shared" ca="1" si="218"/>
        <v>0.81052631578947365</v>
      </c>
      <c r="FD175" s="56">
        <f t="shared" ca="1" si="218"/>
        <v>0.81052631578947365</v>
      </c>
      <c r="FE175" s="56">
        <f t="shared" ca="1" si="218"/>
        <v>0.81052631578947365</v>
      </c>
      <c r="FF175" s="56">
        <f t="shared" ca="1" si="218"/>
        <v>0.81052631578947365</v>
      </c>
      <c r="FG175" s="56">
        <f t="shared" ca="1" si="218"/>
        <v>0.81052631578947365</v>
      </c>
      <c r="FH175" s="56">
        <f t="shared" ca="1" si="218"/>
        <v>0.81052631578947365</v>
      </c>
      <c r="FI175" s="56">
        <f t="shared" ca="1" si="218"/>
        <v>0.81052631578947365</v>
      </c>
      <c r="FJ175" s="56">
        <f t="shared" ca="1" si="218"/>
        <v>0.81052631578947365</v>
      </c>
      <c r="FK175" s="56">
        <f t="shared" ca="1" si="218"/>
        <v>0.81052631578947365</v>
      </c>
      <c r="FL175" s="56">
        <f t="shared" ca="1" si="218"/>
        <v>0.81052631578947365</v>
      </c>
      <c r="FM175" s="56">
        <f t="shared" ca="1" si="218"/>
        <v>0.81052631578947365</v>
      </c>
      <c r="FN175" s="56">
        <f t="shared" ca="1" si="218"/>
        <v>0.81052631578947365</v>
      </c>
      <c r="FO175" s="56">
        <f t="shared" ref="FO175:GP175" ca="1" si="219">IF(FO$139&gt;=$B$88,$C122,0)</f>
        <v>0.81052631578947365</v>
      </c>
      <c r="FP175" s="56">
        <f t="shared" ca="1" si="219"/>
        <v>0.81052631578947365</v>
      </c>
      <c r="FQ175" s="56">
        <f t="shared" ca="1" si="219"/>
        <v>0.81052631578947365</v>
      </c>
      <c r="FR175" s="56">
        <f t="shared" ca="1" si="219"/>
        <v>0.81052631578947365</v>
      </c>
      <c r="FS175" s="56">
        <f t="shared" ca="1" si="219"/>
        <v>0.81052631578947365</v>
      </c>
      <c r="FT175" s="56">
        <f t="shared" ca="1" si="219"/>
        <v>0.81052631578947365</v>
      </c>
      <c r="FU175" s="56">
        <f t="shared" ca="1" si="219"/>
        <v>0.81052631578947365</v>
      </c>
      <c r="FV175" s="56">
        <f t="shared" ca="1" si="219"/>
        <v>0.81052631578947365</v>
      </c>
      <c r="FW175" s="56">
        <f t="shared" ca="1" si="219"/>
        <v>0.81052631578947365</v>
      </c>
      <c r="FX175" s="56">
        <f t="shared" ca="1" si="219"/>
        <v>0.81052631578947365</v>
      </c>
      <c r="FY175" s="56">
        <f t="shared" ca="1" si="219"/>
        <v>0.81052631578947365</v>
      </c>
      <c r="FZ175" s="56">
        <f t="shared" ca="1" si="219"/>
        <v>0.81052631578947365</v>
      </c>
      <c r="GA175" s="56">
        <f t="shared" ca="1" si="219"/>
        <v>0.81052631578947365</v>
      </c>
      <c r="GB175" s="56">
        <f t="shared" ca="1" si="219"/>
        <v>0.81052631578947365</v>
      </c>
      <c r="GC175" s="56">
        <f t="shared" ca="1" si="219"/>
        <v>0.81052631578947365</v>
      </c>
      <c r="GD175" s="56">
        <f t="shared" ca="1" si="219"/>
        <v>0.81052631578947365</v>
      </c>
      <c r="GE175" s="56">
        <f t="shared" ca="1" si="219"/>
        <v>0.81052631578947365</v>
      </c>
      <c r="GF175" s="56">
        <f t="shared" ca="1" si="219"/>
        <v>0.81052631578947365</v>
      </c>
      <c r="GG175" s="56">
        <f t="shared" ca="1" si="219"/>
        <v>0.81052631578947365</v>
      </c>
      <c r="GH175" s="56">
        <f t="shared" ca="1" si="219"/>
        <v>0.81052631578947365</v>
      </c>
      <c r="GI175" s="56">
        <f t="shared" ca="1" si="219"/>
        <v>0.81052631578947365</v>
      </c>
      <c r="GJ175" s="56">
        <f t="shared" ca="1" si="219"/>
        <v>0.81052631578947365</v>
      </c>
      <c r="GK175" s="56">
        <f t="shared" ca="1" si="219"/>
        <v>0.81052631578947365</v>
      </c>
      <c r="GL175" s="56">
        <f t="shared" ca="1" si="219"/>
        <v>0.81052631578947365</v>
      </c>
      <c r="GM175" s="56">
        <f t="shared" ca="1" si="219"/>
        <v>0.81052631578947365</v>
      </c>
      <c r="GN175" s="56">
        <f t="shared" ca="1" si="219"/>
        <v>0.81052631578947365</v>
      </c>
      <c r="GO175" s="56">
        <f t="shared" ca="1" si="219"/>
        <v>0.81052631578947365</v>
      </c>
      <c r="GP175" s="56">
        <f t="shared" ca="1" si="219"/>
        <v>0.81052631578947365</v>
      </c>
    </row>
    <row r="176" spans="1:198" x14ac:dyDescent="0.35">
      <c r="A176" s="55" t="str">
        <f t="shared" si="165"/>
        <v>Available now &gt; Hiscox</v>
      </c>
      <c r="B176" s="55" t="s">
        <v>297</v>
      </c>
      <c r="K176" s="56">
        <f t="shared" ref="K176:AP176" si="220">IF(K$139&gt;=$B$88,$C123,0)</f>
        <v>0</v>
      </c>
      <c r="L176" s="56">
        <f t="shared" si="220"/>
        <v>0</v>
      </c>
      <c r="M176" s="56">
        <f t="shared" si="220"/>
        <v>0</v>
      </c>
      <c r="N176" s="56">
        <f t="shared" si="220"/>
        <v>0</v>
      </c>
      <c r="O176" s="56">
        <f t="shared" si="220"/>
        <v>0</v>
      </c>
      <c r="P176" s="56">
        <f t="shared" si="220"/>
        <v>0</v>
      </c>
      <c r="Q176" s="56">
        <f t="shared" si="220"/>
        <v>0</v>
      </c>
      <c r="R176" s="56">
        <f t="shared" si="220"/>
        <v>0</v>
      </c>
      <c r="S176" s="56">
        <f t="shared" si="220"/>
        <v>0</v>
      </c>
      <c r="T176" s="56">
        <f t="shared" si="220"/>
        <v>0</v>
      </c>
      <c r="U176" s="56">
        <f t="shared" si="220"/>
        <v>0</v>
      </c>
      <c r="V176" s="56">
        <f t="shared" si="220"/>
        <v>0</v>
      </c>
      <c r="W176" s="56">
        <f t="shared" si="220"/>
        <v>0</v>
      </c>
      <c r="X176" s="56">
        <f t="shared" si="220"/>
        <v>0</v>
      </c>
      <c r="Y176" s="56">
        <f t="shared" si="220"/>
        <v>0</v>
      </c>
      <c r="Z176" s="56">
        <f t="shared" si="220"/>
        <v>0</v>
      </c>
      <c r="AA176" s="56">
        <f t="shared" si="220"/>
        <v>0</v>
      </c>
      <c r="AB176" s="56">
        <f t="shared" si="220"/>
        <v>0</v>
      </c>
      <c r="AC176" s="56">
        <f t="shared" si="220"/>
        <v>0</v>
      </c>
      <c r="AD176" s="56">
        <f t="shared" si="220"/>
        <v>0</v>
      </c>
      <c r="AE176" s="56">
        <f t="shared" si="220"/>
        <v>0</v>
      </c>
      <c r="AF176" s="56">
        <f t="shared" si="220"/>
        <v>0</v>
      </c>
      <c r="AG176" s="56">
        <f t="shared" si="220"/>
        <v>0</v>
      </c>
      <c r="AH176" s="56">
        <f t="shared" si="220"/>
        <v>0</v>
      </c>
      <c r="AI176" s="56">
        <f t="shared" si="220"/>
        <v>0</v>
      </c>
      <c r="AJ176" s="56">
        <f t="shared" si="220"/>
        <v>0</v>
      </c>
      <c r="AK176" s="56">
        <f t="shared" si="220"/>
        <v>0</v>
      </c>
      <c r="AL176" s="56">
        <f t="shared" si="220"/>
        <v>0</v>
      </c>
      <c r="AM176" s="56">
        <f t="shared" si="220"/>
        <v>0</v>
      </c>
      <c r="AN176" s="56">
        <f t="shared" si="220"/>
        <v>0</v>
      </c>
      <c r="AO176" s="56">
        <f t="shared" si="220"/>
        <v>0</v>
      </c>
      <c r="AP176" s="56">
        <f t="shared" si="220"/>
        <v>0</v>
      </c>
      <c r="AQ176" s="56">
        <f t="shared" ref="AQ176:BV176" si="221">IF(AQ$139&gt;=$B$88,$C123,0)</f>
        <v>0</v>
      </c>
      <c r="AR176" s="56">
        <f t="shared" si="221"/>
        <v>0</v>
      </c>
      <c r="AS176" s="56">
        <f t="shared" si="221"/>
        <v>0</v>
      </c>
      <c r="AT176" s="56">
        <f t="shared" si="221"/>
        <v>0</v>
      </c>
      <c r="AU176" s="56">
        <f t="shared" si="221"/>
        <v>0</v>
      </c>
      <c r="AV176" s="56">
        <f t="shared" si="221"/>
        <v>0</v>
      </c>
      <c r="AW176" s="56">
        <f t="shared" si="221"/>
        <v>0</v>
      </c>
      <c r="AX176" s="56">
        <f t="shared" si="221"/>
        <v>0</v>
      </c>
      <c r="AY176" s="56">
        <f t="shared" si="221"/>
        <v>0</v>
      </c>
      <c r="AZ176" s="56">
        <f t="shared" si="221"/>
        <v>0</v>
      </c>
      <c r="BA176" s="56">
        <f t="shared" si="221"/>
        <v>0</v>
      </c>
      <c r="BB176" s="56">
        <f t="shared" si="221"/>
        <v>0</v>
      </c>
      <c r="BC176" s="56">
        <f t="shared" si="221"/>
        <v>0</v>
      </c>
      <c r="BD176" s="56">
        <f t="shared" si="221"/>
        <v>0</v>
      </c>
      <c r="BE176" s="56">
        <f t="shared" si="221"/>
        <v>0</v>
      </c>
      <c r="BF176" s="56">
        <f t="shared" si="221"/>
        <v>0</v>
      </c>
      <c r="BG176" s="56">
        <f t="shared" si="221"/>
        <v>0</v>
      </c>
      <c r="BH176" s="56">
        <f t="shared" si="221"/>
        <v>0</v>
      </c>
      <c r="BI176" s="56">
        <f t="shared" si="221"/>
        <v>0</v>
      </c>
      <c r="BJ176" s="56">
        <f t="shared" si="221"/>
        <v>0</v>
      </c>
      <c r="BK176" s="56">
        <f t="shared" si="221"/>
        <v>0</v>
      </c>
      <c r="BL176" s="56">
        <f t="shared" si="221"/>
        <v>0</v>
      </c>
      <c r="BM176" s="56">
        <f t="shared" si="221"/>
        <v>0</v>
      </c>
      <c r="BN176" s="56">
        <f t="shared" si="221"/>
        <v>0</v>
      </c>
      <c r="BO176" s="56">
        <f t="shared" si="221"/>
        <v>0</v>
      </c>
      <c r="BP176" s="56">
        <f t="shared" si="221"/>
        <v>0</v>
      </c>
      <c r="BQ176" s="56">
        <f t="shared" si="221"/>
        <v>0</v>
      </c>
      <c r="BR176" s="56">
        <f t="shared" si="221"/>
        <v>0</v>
      </c>
      <c r="BS176" s="56">
        <f t="shared" si="221"/>
        <v>0</v>
      </c>
      <c r="BT176" s="56">
        <f t="shared" si="221"/>
        <v>0</v>
      </c>
      <c r="BU176" s="56">
        <f t="shared" si="221"/>
        <v>0</v>
      </c>
      <c r="BV176" s="56">
        <f t="shared" si="221"/>
        <v>0</v>
      </c>
      <c r="BW176" s="56">
        <f t="shared" ref="BW176:DB176" si="222">IF(BW$139&gt;=$B$88,$C123,0)</f>
        <v>0</v>
      </c>
      <c r="BX176" s="56">
        <f t="shared" si="222"/>
        <v>0</v>
      </c>
      <c r="BY176" s="56">
        <f t="shared" si="222"/>
        <v>0</v>
      </c>
      <c r="BZ176" s="56">
        <f t="shared" si="222"/>
        <v>0</v>
      </c>
      <c r="CA176" s="56">
        <f t="shared" si="222"/>
        <v>0</v>
      </c>
      <c r="CB176" s="56">
        <f t="shared" si="222"/>
        <v>0</v>
      </c>
      <c r="CC176" s="56">
        <f t="shared" si="222"/>
        <v>0</v>
      </c>
      <c r="CD176" s="56">
        <f t="shared" si="222"/>
        <v>0</v>
      </c>
      <c r="CE176" s="56">
        <f t="shared" si="222"/>
        <v>0</v>
      </c>
      <c r="CF176" s="56">
        <f t="shared" si="222"/>
        <v>0</v>
      </c>
      <c r="CG176" s="56">
        <f t="shared" si="222"/>
        <v>0</v>
      </c>
      <c r="CH176" s="56">
        <f t="shared" si="222"/>
        <v>0</v>
      </c>
      <c r="CI176" s="56">
        <f t="shared" si="222"/>
        <v>0</v>
      </c>
      <c r="CJ176" s="56">
        <f t="shared" si="222"/>
        <v>0</v>
      </c>
      <c r="CK176" s="56">
        <f t="shared" si="222"/>
        <v>0</v>
      </c>
      <c r="CL176" s="56">
        <f t="shared" si="222"/>
        <v>0</v>
      </c>
      <c r="CM176" s="56">
        <f t="shared" si="222"/>
        <v>0</v>
      </c>
      <c r="CN176" s="56">
        <f t="shared" si="222"/>
        <v>0</v>
      </c>
      <c r="CO176" s="56">
        <f t="shared" si="222"/>
        <v>0</v>
      </c>
      <c r="CP176" s="56">
        <f t="shared" si="222"/>
        <v>0</v>
      </c>
      <c r="CQ176" s="56">
        <f t="shared" si="222"/>
        <v>0</v>
      </c>
      <c r="CR176" s="56">
        <f t="shared" si="222"/>
        <v>0</v>
      </c>
      <c r="CS176" s="56">
        <f t="shared" si="222"/>
        <v>0</v>
      </c>
      <c r="CT176" s="56">
        <f t="shared" si="222"/>
        <v>0</v>
      </c>
      <c r="CU176" s="56">
        <f t="shared" si="222"/>
        <v>0</v>
      </c>
      <c r="CV176" s="56">
        <f t="shared" si="222"/>
        <v>0</v>
      </c>
      <c r="CW176" s="56">
        <f t="shared" si="222"/>
        <v>0</v>
      </c>
      <c r="CX176" s="56">
        <f t="shared" si="222"/>
        <v>0</v>
      </c>
      <c r="CY176" s="56">
        <f t="shared" si="222"/>
        <v>0</v>
      </c>
      <c r="CZ176" s="56">
        <f t="shared" si="222"/>
        <v>0</v>
      </c>
      <c r="DA176" s="56">
        <f t="shared" si="222"/>
        <v>0</v>
      </c>
      <c r="DB176" s="56">
        <f t="shared" si="222"/>
        <v>0</v>
      </c>
      <c r="DC176" s="56">
        <f t="shared" ref="DC176:EH176" si="223">IF(DC$139&gt;=$B$88,$C123,0)</f>
        <v>0</v>
      </c>
      <c r="DD176" s="56">
        <f t="shared" si="223"/>
        <v>0</v>
      </c>
      <c r="DE176" s="56">
        <f t="shared" si="223"/>
        <v>0</v>
      </c>
      <c r="DF176" s="56">
        <f t="shared" si="223"/>
        <v>0</v>
      </c>
      <c r="DG176" s="56">
        <f t="shared" si="223"/>
        <v>0</v>
      </c>
      <c r="DH176" s="56">
        <f t="shared" si="223"/>
        <v>0</v>
      </c>
      <c r="DI176" s="56">
        <f t="shared" si="223"/>
        <v>0</v>
      </c>
      <c r="DJ176" s="56">
        <f t="shared" si="223"/>
        <v>0</v>
      </c>
      <c r="DK176" s="56">
        <f t="shared" si="223"/>
        <v>0</v>
      </c>
      <c r="DL176" s="56">
        <f t="shared" si="223"/>
        <v>0</v>
      </c>
      <c r="DM176" s="56">
        <f t="shared" si="223"/>
        <v>0</v>
      </c>
      <c r="DN176" s="56">
        <f t="shared" si="223"/>
        <v>0</v>
      </c>
      <c r="DO176" s="56">
        <f t="shared" si="223"/>
        <v>0</v>
      </c>
      <c r="DP176" s="56">
        <f t="shared" si="223"/>
        <v>0</v>
      </c>
      <c r="DQ176" s="56">
        <f t="shared" ca="1" si="223"/>
        <v>0.81052631578947365</v>
      </c>
      <c r="DR176" s="56">
        <f t="shared" ca="1" si="223"/>
        <v>0.81052631578947365</v>
      </c>
      <c r="DS176" s="56">
        <f t="shared" ca="1" si="223"/>
        <v>0.81052631578947365</v>
      </c>
      <c r="DT176" s="56">
        <f t="shared" ca="1" si="223"/>
        <v>0.81052631578947365</v>
      </c>
      <c r="DU176" s="56">
        <f t="shared" ca="1" si="223"/>
        <v>0.81052631578947365</v>
      </c>
      <c r="DV176" s="56">
        <f t="shared" ca="1" si="223"/>
        <v>0.81052631578947365</v>
      </c>
      <c r="DW176" s="56">
        <f t="shared" ca="1" si="223"/>
        <v>0.81052631578947365</v>
      </c>
      <c r="DX176" s="56">
        <f t="shared" ca="1" si="223"/>
        <v>0.81052631578947365</v>
      </c>
      <c r="DY176" s="56">
        <f t="shared" ca="1" si="223"/>
        <v>0.81052631578947365</v>
      </c>
      <c r="DZ176" s="56">
        <f t="shared" ca="1" si="223"/>
        <v>0.81052631578947365</v>
      </c>
      <c r="EA176" s="56">
        <f t="shared" ca="1" si="223"/>
        <v>0.81052631578947365</v>
      </c>
      <c r="EB176" s="56">
        <f t="shared" ca="1" si="223"/>
        <v>0.81052631578947365</v>
      </c>
      <c r="EC176" s="56">
        <f t="shared" ca="1" si="223"/>
        <v>0.81052631578947365</v>
      </c>
      <c r="ED176" s="56">
        <f t="shared" ca="1" si="223"/>
        <v>0.81052631578947365</v>
      </c>
      <c r="EE176" s="56">
        <f t="shared" ca="1" si="223"/>
        <v>0.81052631578947365</v>
      </c>
      <c r="EF176" s="56">
        <f t="shared" ca="1" si="223"/>
        <v>0.81052631578947365</v>
      </c>
      <c r="EG176" s="56">
        <f t="shared" ca="1" si="223"/>
        <v>0.81052631578947365</v>
      </c>
      <c r="EH176" s="56">
        <f t="shared" ca="1" si="223"/>
        <v>0.81052631578947365</v>
      </c>
      <c r="EI176" s="56">
        <f t="shared" ref="EI176:FN176" ca="1" si="224">IF(EI$139&gt;=$B$88,$C123,0)</f>
        <v>0.81052631578947365</v>
      </c>
      <c r="EJ176" s="56">
        <f t="shared" ca="1" si="224"/>
        <v>0.81052631578947365</v>
      </c>
      <c r="EK176" s="56">
        <f t="shared" ca="1" si="224"/>
        <v>0.81052631578947365</v>
      </c>
      <c r="EL176" s="56">
        <f t="shared" ca="1" si="224"/>
        <v>0.81052631578947365</v>
      </c>
      <c r="EM176" s="56">
        <f t="shared" ca="1" si="224"/>
        <v>0.81052631578947365</v>
      </c>
      <c r="EN176" s="56">
        <f t="shared" ca="1" si="224"/>
        <v>0.81052631578947365</v>
      </c>
      <c r="EO176" s="56">
        <f t="shared" ca="1" si="224"/>
        <v>0.81052631578947365</v>
      </c>
      <c r="EP176" s="56">
        <f t="shared" ca="1" si="224"/>
        <v>0.81052631578947365</v>
      </c>
      <c r="EQ176" s="56">
        <f t="shared" ca="1" si="224"/>
        <v>0.81052631578947365</v>
      </c>
      <c r="ER176" s="56">
        <f t="shared" ca="1" si="224"/>
        <v>0.81052631578947365</v>
      </c>
      <c r="ES176" s="56">
        <f t="shared" ca="1" si="224"/>
        <v>0.81052631578947365</v>
      </c>
      <c r="ET176" s="56">
        <f t="shared" ca="1" si="224"/>
        <v>0.81052631578947365</v>
      </c>
      <c r="EU176" s="56">
        <f t="shared" ca="1" si="224"/>
        <v>0.81052631578947365</v>
      </c>
      <c r="EV176" s="56">
        <f t="shared" ca="1" si="224"/>
        <v>0.81052631578947365</v>
      </c>
      <c r="EW176" s="56">
        <f t="shared" ca="1" si="224"/>
        <v>0.81052631578947365</v>
      </c>
      <c r="EX176" s="56">
        <f t="shared" ca="1" si="224"/>
        <v>0.81052631578947365</v>
      </c>
      <c r="EY176" s="56">
        <f t="shared" ca="1" si="224"/>
        <v>0.81052631578947365</v>
      </c>
      <c r="EZ176" s="56">
        <f t="shared" ca="1" si="224"/>
        <v>0.81052631578947365</v>
      </c>
      <c r="FA176" s="56">
        <f t="shared" ca="1" si="224"/>
        <v>0.81052631578947365</v>
      </c>
      <c r="FB176" s="56">
        <f t="shared" ca="1" si="224"/>
        <v>0.81052631578947365</v>
      </c>
      <c r="FC176" s="56">
        <f t="shared" ca="1" si="224"/>
        <v>0.81052631578947365</v>
      </c>
      <c r="FD176" s="56">
        <f t="shared" ca="1" si="224"/>
        <v>0.81052631578947365</v>
      </c>
      <c r="FE176" s="56">
        <f t="shared" ca="1" si="224"/>
        <v>0.81052631578947365</v>
      </c>
      <c r="FF176" s="56">
        <f t="shared" ca="1" si="224"/>
        <v>0.81052631578947365</v>
      </c>
      <c r="FG176" s="56">
        <f t="shared" ca="1" si="224"/>
        <v>0.81052631578947365</v>
      </c>
      <c r="FH176" s="56">
        <f t="shared" ca="1" si="224"/>
        <v>0.81052631578947365</v>
      </c>
      <c r="FI176" s="56">
        <f t="shared" ca="1" si="224"/>
        <v>0.81052631578947365</v>
      </c>
      <c r="FJ176" s="56">
        <f t="shared" ca="1" si="224"/>
        <v>0.81052631578947365</v>
      </c>
      <c r="FK176" s="56">
        <f t="shared" ca="1" si="224"/>
        <v>0.81052631578947365</v>
      </c>
      <c r="FL176" s="56">
        <f t="shared" ca="1" si="224"/>
        <v>0.81052631578947365</v>
      </c>
      <c r="FM176" s="56">
        <f t="shared" ca="1" si="224"/>
        <v>0.81052631578947365</v>
      </c>
      <c r="FN176" s="56">
        <f t="shared" ca="1" si="224"/>
        <v>0.81052631578947365</v>
      </c>
      <c r="FO176" s="56">
        <f t="shared" ref="FO176:GP176" ca="1" si="225">IF(FO$139&gt;=$B$88,$C123,0)</f>
        <v>0.81052631578947365</v>
      </c>
      <c r="FP176" s="56">
        <f t="shared" ca="1" si="225"/>
        <v>0.81052631578947365</v>
      </c>
      <c r="FQ176" s="56">
        <f t="shared" ca="1" si="225"/>
        <v>0.81052631578947365</v>
      </c>
      <c r="FR176" s="56">
        <f t="shared" ca="1" si="225"/>
        <v>0.81052631578947365</v>
      </c>
      <c r="FS176" s="56">
        <f t="shared" ca="1" si="225"/>
        <v>0.81052631578947365</v>
      </c>
      <c r="FT176" s="56">
        <f t="shared" ca="1" si="225"/>
        <v>0.81052631578947365</v>
      </c>
      <c r="FU176" s="56">
        <f t="shared" ca="1" si="225"/>
        <v>0.81052631578947365</v>
      </c>
      <c r="FV176" s="56">
        <f t="shared" ca="1" si="225"/>
        <v>0.81052631578947365</v>
      </c>
      <c r="FW176" s="56">
        <f t="shared" ca="1" si="225"/>
        <v>0.81052631578947365</v>
      </c>
      <c r="FX176" s="56">
        <f t="shared" ca="1" si="225"/>
        <v>0.81052631578947365</v>
      </c>
      <c r="FY176" s="56">
        <f t="shared" ca="1" si="225"/>
        <v>0.81052631578947365</v>
      </c>
      <c r="FZ176" s="56">
        <f t="shared" ca="1" si="225"/>
        <v>0.81052631578947365</v>
      </c>
      <c r="GA176" s="56">
        <f t="shared" ca="1" si="225"/>
        <v>0.81052631578947365</v>
      </c>
      <c r="GB176" s="56">
        <f t="shared" ca="1" si="225"/>
        <v>0.81052631578947365</v>
      </c>
      <c r="GC176" s="56">
        <f t="shared" ca="1" si="225"/>
        <v>0.81052631578947365</v>
      </c>
      <c r="GD176" s="56">
        <f t="shared" ca="1" si="225"/>
        <v>0.81052631578947365</v>
      </c>
      <c r="GE176" s="56">
        <f t="shared" ca="1" si="225"/>
        <v>0.81052631578947365</v>
      </c>
      <c r="GF176" s="56">
        <f t="shared" ca="1" si="225"/>
        <v>0.81052631578947365</v>
      </c>
      <c r="GG176" s="56">
        <f t="shared" ca="1" si="225"/>
        <v>0.81052631578947365</v>
      </c>
      <c r="GH176" s="56">
        <f t="shared" ca="1" si="225"/>
        <v>0.81052631578947365</v>
      </c>
      <c r="GI176" s="56">
        <f t="shared" ca="1" si="225"/>
        <v>0.81052631578947365</v>
      </c>
      <c r="GJ176" s="56">
        <f t="shared" ca="1" si="225"/>
        <v>0.81052631578947365</v>
      </c>
      <c r="GK176" s="56">
        <f t="shared" ca="1" si="225"/>
        <v>0.81052631578947365</v>
      </c>
      <c r="GL176" s="56">
        <f t="shared" ca="1" si="225"/>
        <v>0.81052631578947365</v>
      </c>
      <c r="GM176" s="56">
        <f t="shared" ca="1" si="225"/>
        <v>0.81052631578947365</v>
      </c>
      <c r="GN176" s="56">
        <f t="shared" ca="1" si="225"/>
        <v>0.81052631578947365</v>
      </c>
      <c r="GO176" s="56">
        <f t="shared" ca="1" si="225"/>
        <v>0.81052631578947365</v>
      </c>
      <c r="GP176" s="56">
        <f t="shared" ca="1" si="225"/>
        <v>0.81052631578947365</v>
      </c>
    </row>
    <row r="177" spans="1:198" x14ac:dyDescent="0.35">
      <c r="A177" s="55" t="str">
        <f t="shared" si="165"/>
        <v>Available now &gt; SEI</v>
      </c>
      <c r="B177" s="55" t="s">
        <v>297</v>
      </c>
      <c r="K177" s="56">
        <f t="shared" ref="K177:AP177" si="226">IF(K$139&gt;=$B$88,$C124,0)</f>
        <v>0</v>
      </c>
      <c r="L177" s="56">
        <f t="shared" si="226"/>
        <v>0</v>
      </c>
      <c r="M177" s="56">
        <f t="shared" si="226"/>
        <v>0</v>
      </c>
      <c r="N177" s="56">
        <f t="shared" si="226"/>
        <v>0</v>
      </c>
      <c r="O177" s="56">
        <f t="shared" si="226"/>
        <v>0</v>
      </c>
      <c r="P177" s="56">
        <f t="shared" si="226"/>
        <v>0</v>
      </c>
      <c r="Q177" s="56">
        <f t="shared" si="226"/>
        <v>0</v>
      </c>
      <c r="R177" s="56">
        <f t="shared" si="226"/>
        <v>0</v>
      </c>
      <c r="S177" s="56">
        <f t="shared" si="226"/>
        <v>0</v>
      </c>
      <c r="T177" s="56">
        <f t="shared" si="226"/>
        <v>0</v>
      </c>
      <c r="U177" s="56">
        <f t="shared" si="226"/>
        <v>0</v>
      </c>
      <c r="V177" s="56">
        <f t="shared" si="226"/>
        <v>0</v>
      </c>
      <c r="W177" s="56">
        <f t="shared" si="226"/>
        <v>0</v>
      </c>
      <c r="X177" s="56">
        <f t="shared" si="226"/>
        <v>0</v>
      </c>
      <c r="Y177" s="56">
        <f t="shared" si="226"/>
        <v>0</v>
      </c>
      <c r="Z177" s="56">
        <f t="shared" si="226"/>
        <v>0</v>
      </c>
      <c r="AA177" s="56">
        <f t="shared" si="226"/>
        <v>0</v>
      </c>
      <c r="AB177" s="56">
        <f t="shared" si="226"/>
        <v>0</v>
      </c>
      <c r="AC177" s="56">
        <f t="shared" si="226"/>
        <v>0</v>
      </c>
      <c r="AD177" s="56">
        <f t="shared" si="226"/>
        <v>0</v>
      </c>
      <c r="AE177" s="56">
        <f t="shared" si="226"/>
        <v>0</v>
      </c>
      <c r="AF177" s="56">
        <f t="shared" si="226"/>
        <v>0</v>
      </c>
      <c r="AG177" s="56">
        <f t="shared" si="226"/>
        <v>0</v>
      </c>
      <c r="AH177" s="56">
        <f t="shared" si="226"/>
        <v>0</v>
      </c>
      <c r="AI177" s="56">
        <f t="shared" si="226"/>
        <v>0</v>
      </c>
      <c r="AJ177" s="56">
        <f t="shared" si="226"/>
        <v>0</v>
      </c>
      <c r="AK177" s="56">
        <f t="shared" si="226"/>
        <v>0</v>
      </c>
      <c r="AL177" s="56">
        <f t="shared" si="226"/>
        <v>0</v>
      </c>
      <c r="AM177" s="56">
        <f t="shared" si="226"/>
        <v>0</v>
      </c>
      <c r="AN177" s="56">
        <f t="shared" si="226"/>
        <v>0</v>
      </c>
      <c r="AO177" s="56">
        <f t="shared" si="226"/>
        <v>0</v>
      </c>
      <c r="AP177" s="56">
        <f t="shared" si="226"/>
        <v>0</v>
      </c>
      <c r="AQ177" s="56">
        <f t="shared" ref="AQ177:BV177" si="227">IF(AQ$139&gt;=$B$88,$C124,0)</f>
        <v>0</v>
      </c>
      <c r="AR177" s="56">
        <f t="shared" si="227"/>
        <v>0</v>
      </c>
      <c r="AS177" s="56">
        <f t="shared" si="227"/>
        <v>0</v>
      </c>
      <c r="AT177" s="56">
        <f t="shared" si="227"/>
        <v>0</v>
      </c>
      <c r="AU177" s="56">
        <f t="shared" si="227"/>
        <v>0</v>
      </c>
      <c r="AV177" s="56">
        <f t="shared" si="227"/>
        <v>0</v>
      </c>
      <c r="AW177" s="56">
        <f t="shared" si="227"/>
        <v>0</v>
      </c>
      <c r="AX177" s="56">
        <f t="shared" si="227"/>
        <v>0</v>
      </c>
      <c r="AY177" s="56">
        <f t="shared" si="227"/>
        <v>0</v>
      </c>
      <c r="AZ177" s="56">
        <f t="shared" si="227"/>
        <v>0</v>
      </c>
      <c r="BA177" s="56">
        <f t="shared" si="227"/>
        <v>0</v>
      </c>
      <c r="BB177" s="56">
        <f t="shared" si="227"/>
        <v>0</v>
      </c>
      <c r="BC177" s="56">
        <f t="shared" si="227"/>
        <v>0</v>
      </c>
      <c r="BD177" s="56">
        <f t="shared" si="227"/>
        <v>0</v>
      </c>
      <c r="BE177" s="56">
        <f t="shared" si="227"/>
        <v>0</v>
      </c>
      <c r="BF177" s="56">
        <f t="shared" si="227"/>
        <v>0</v>
      </c>
      <c r="BG177" s="56">
        <f t="shared" si="227"/>
        <v>0</v>
      </c>
      <c r="BH177" s="56">
        <f t="shared" si="227"/>
        <v>0</v>
      </c>
      <c r="BI177" s="56">
        <f t="shared" si="227"/>
        <v>0</v>
      </c>
      <c r="BJ177" s="56">
        <f t="shared" si="227"/>
        <v>0</v>
      </c>
      <c r="BK177" s="56">
        <f t="shared" si="227"/>
        <v>0</v>
      </c>
      <c r="BL177" s="56">
        <f t="shared" si="227"/>
        <v>0</v>
      </c>
      <c r="BM177" s="56">
        <f t="shared" si="227"/>
        <v>0</v>
      </c>
      <c r="BN177" s="56">
        <f t="shared" si="227"/>
        <v>0</v>
      </c>
      <c r="BO177" s="56">
        <f t="shared" si="227"/>
        <v>0</v>
      </c>
      <c r="BP177" s="56">
        <f t="shared" si="227"/>
        <v>0</v>
      </c>
      <c r="BQ177" s="56">
        <f t="shared" si="227"/>
        <v>0</v>
      </c>
      <c r="BR177" s="56">
        <f t="shared" si="227"/>
        <v>0</v>
      </c>
      <c r="BS177" s="56">
        <f t="shared" si="227"/>
        <v>0</v>
      </c>
      <c r="BT177" s="56">
        <f t="shared" si="227"/>
        <v>0</v>
      </c>
      <c r="BU177" s="56">
        <f t="shared" si="227"/>
        <v>0</v>
      </c>
      <c r="BV177" s="56">
        <f t="shared" si="227"/>
        <v>0</v>
      </c>
      <c r="BW177" s="56">
        <f t="shared" ref="BW177:DB177" si="228">IF(BW$139&gt;=$B$88,$C124,0)</f>
        <v>0</v>
      </c>
      <c r="BX177" s="56">
        <f t="shared" si="228"/>
        <v>0</v>
      </c>
      <c r="BY177" s="56">
        <f t="shared" si="228"/>
        <v>0</v>
      </c>
      <c r="BZ177" s="56">
        <f t="shared" si="228"/>
        <v>0</v>
      </c>
      <c r="CA177" s="56">
        <f t="shared" si="228"/>
        <v>0</v>
      </c>
      <c r="CB177" s="56">
        <f t="shared" si="228"/>
        <v>0</v>
      </c>
      <c r="CC177" s="56">
        <f t="shared" si="228"/>
        <v>0</v>
      </c>
      <c r="CD177" s="56">
        <f t="shared" si="228"/>
        <v>0</v>
      </c>
      <c r="CE177" s="56">
        <f t="shared" si="228"/>
        <v>0</v>
      </c>
      <c r="CF177" s="56">
        <f t="shared" si="228"/>
        <v>0</v>
      </c>
      <c r="CG177" s="56">
        <f t="shared" si="228"/>
        <v>0</v>
      </c>
      <c r="CH177" s="56">
        <f t="shared" si="228"/>
        <v>0</v>
      </c>
      <c r="CI177" s="56">
        <f t="shared" si="228"/>
        <v>0</v>
      </c>
      <c r="CJ177" s="56">
        <f t="shared" si="228"/>
        <v>0</v>
      </c>
      <c r="CK177" s="56">
        <f t="shared" si="228"/>
        <v>0</v>
      </c>
      <c r="CL177" s="56">
        <f t="shared" si="228"/>
        <v>0</v>
      </c>
      <c r="CM177" s="56">
        <f t="shared" si="228"/>
        <v>0</v>
      </c>
      <c r="CN177" s="56">
        <f t="shared" si="228"/>
        <v>0</v>
      </c>
      <c r="CO177" s="56">
        <f t="shared" si="228"/>
        <v>0</v>
      </c>
      <c r="CP177" s="56">
        <f t="shared" si="228"/>
        <v>0</v>
      </c>
      <c r="CQ177" s="56">
        <f t="shared" si="228"/>
        <v>0</v>
      </c>
      <c r="CR177" s="56">
        <f t="shared" si="228"/>
        <v>0</v>
      </c>
      <c r="CS177" s="56">
        <f t="shared" si="228"/>
        <v>0</v>
      </c>
      <c r="CT177" s="56">
        <f t="shared" si="228"/>
        <v>0</v>
      </c>
      <c r="CU177" s="56">
        <f t="shared" si="228"/>
        <v>0</v>
      </c>
      <c r="CV177" s="56">
        <f t="shared" si="228"/>
        <v>0</v>
      </c>
      <c r="CW177" s="56">
        <f t="shared" si="228"/>
        <v>0</v>
      </c>
      <c r="CX177" s="56">
        <f t="shared" si="228"/>
        <v>0</v>
      </c>
      <c r="CY177" s="56">
        <f t="shared" si="228"/>
        <v>0</v>
      </c>
      <c r="CZ177" s="56">
        <f t="shared" si="228"/>
        <v>0</v>
      </c>
      <c r="DA177" s="56">
        <f t="shared" si="228"/>
        <v>0</v>
      </c>
      <c r="DB177" s="56">
        <f t="shared" si="228"/>
        <v>0</v>
      </c>
      <c r="DC177" s="56">
        <f t="shared" ref="DC177:EH177" si="229">IF(DC$139&gt;=$B$88,$C124,0)</f>
        <v>0</v>
      </c>
      <c r="DD177" s="56">
        <f t="shared" si="229"/>
        <v>0</v>
      </c>
      <c r="DE177" s="56">
        <f t="shared" si="229"/>
        <v>0</v>
      </c>
      <c r="DF177" s="56">
        <f t="shared" si="229"/>
        <v>0</v>
      </c>
      <c r="DG177" s="56">
        <f t="shared" si="229"/>
        <v>0</v>
      </c>
      <c r="DH177" s="56">
        <f t="shared" si="229"/>
        <v>0</v>
      </c>
      <c r="DI177" s="56">
        <f t="shared" si="229"/>
        <v>0</v>
      </c>
      <c r="DJ177" s="56">
        <f t="shared" si="229"/>
        <v>0</v>
      </c>
      <c r="DK177" s="56">
        <f t="shared" si="229"/>
        <v>0</v>
      </c>
      <c r="DL177" s="56">
        <f t="shared" si="229"/>
        <v>0</v>
      </c>
      <c r="DM177" s="56">
        <f t="shared" si="229"/>
        <v>0</v>
      </c>
      <c r="DN177" s="56">
        <f t="shared" si="229"/>
        <v>0</v>
      </c>
      <c r="DO177" s="56">
        <f t="shared" si="229"/>
        <v>0</v>
      </c>
      <c r="DP177" s="56">
        <f t="shared" si="229"/>
        <v>0</v>
      </c>
      <c r="DQ177" s="56">
        <f t="shared" ca="1" si="229"/>
        <v>1.6210526315789473</v>
      </c>
      <c r="DR177" s="56">
        <f t="shared" ca="1" si="229"/>
        <v>1.6210526315789473</v>
      </c>
      <c r="DS177" s="56">
        <f t="shared" ca="1" si="229"/>
        <v>1.6210526315789473</v>
      </c>
      <c r="DT177" s="56">
        <f t="shared" ca="1" si="229"/>
        <v>1.6210526315789473</v>
      </c>
      <c r="DU177" s="56">
        <f t="shared" ca="1" si="229"/>
        <v>1.6210526315789473</v>
      </c>
      <c r="DV177" s="56">
        <f t="shared" ca="1" si="229"/>
        <v>1.6210526315789473</v>
      </c>
      <c r="DW177" s="56">
        <f t="shared" ca="1" si="229"/>
        <v>1.6210526315789473</v>
      </c>
      <c r="DX177" s="56">
        <f t="shared" ca="1" si="229"/>
        <v>1.6210526315789473</v>
      </c>
      <c r="DY177" s="56">
        <f t="shared" ca="1" si="229"/>
        <v>1.6210526315789473</v>
      </c>
      <c r="DZ177" s="56">
        <f t="shared" ca="1" si="229"/>
        <v>1.6210526315789473</v>
      </c>
      <c r="EA177" s="56">
        <f t="shared" ca="1" si="229"/>
        <v>1.6210526315789473</v>
      </c>
      <c r="EB177" s="56">
        <f t="shared" ca="1" si="229"/>
        <v>1.6210526315789473</v>
      </c>
      <c r="EC177" s="56">
        <f t="shared" ca="1" si="229"/>
        <v>1.6210526315789473</v>
      </c>
      <c r="ED177" s="56">
        <f t="shared" ca="1" si="229"/>
        <v>1.6210526315789473</v>
      </c>
      <c r="EE177" s="56">
        <f t="shared" ca="1" si="229"/>
        <v>1.6210526315789473</v>
      </c>
      <c r="EF177" s="56">
        <f t="shared" ca="1" si="229"/>
        <v>1.6210526315789473</v>
      </c>
      <c r="EG177" s="56">
        <f t="shared" ca="1" si="229"/>
        <v>1.6210526315789473</v>
      </c>
      <c r="EH177" s="56">
        <f t="shared" ca="1" si="229"/>
        <v>1.6210526315789473</v>
      </c>
      <c r="EI177" s="56">
        <f t="shared" ref="EI177:FN177" ca="1" si="230">IF(EI$139&gt;=$B$88,$C124,0)</f>
        <v>1.6210526315789473</v>
      </c>
      <c r="EJ177" s="56">
        <f t="shared" ca="1" si="230"/>
        <v>1.6210526315789473</v>
      </c>
      <c r="EK177" s="56">
        <f t="shared" ca="1" si="230"/>
        <v>1.6210526315789473</v>
      </c>
      <c r="EL177" s="56">
        <f t="shared" ca="1" si="230"/>
        <v>1.6210526315789473</v>
      </c>
      <c r="EM177" s="56">
        <f t="shared" ca="1" si="230"/>
        <v>1.6210526315789473</v>
      </c>
      <c r="EN177" s="56">
        <f t="shared" ca="1" si="230"/>
        <v>1.6210526315789473</v>
      </c>
      <c r="EO177" s="56">
        <f t="shared" ca="1" si="230"/>
        <v>1.6210526315789473</v>
      </c>
      <c r="EP177" s="56">
        <f t="shared" ca="1" si="230"/>
        <v>1.6210526315789473</v>
      </c>
      <c r="EQ177" s="56">
        <f t="shared" ca="1" si="230"/>
        <v>1.6210526315789473</v>
      </c>
      <c r="ER177" s="56">
        <f t="shared" ca="1" si="230"/>
        <v>1.6210526315789473</v>
      </c>
      <c r="ES177" s="56">
        <f t="shared" ca="1" si="230"/>
        <v>1.6210526315789473</v>
      </c>
      <c r="ET177" s="56">
        <f t="shared" ca="1" si="230"/>
        <v>1.6210526315789473</v>
      </c>
      <c r="EU177" s="56">
        <f t="shared" ca="1" si="230"/>
        <v>1.6210526315789473</v>
      </c>
      <c r="EV177" s="56">
        <f t="shared" ca="1" si="230"/>
        <v>1.6210526315789473</v>
      </c>
      <c r="EW177" s="56">
        <f t="shared" ca="1" si="230"/>
        <v>1.6210526315789473</v>
      </c>
      <c r="EX177" s="56">
        <f t="shared" ca="1" si="230"/>
        <v>1.6210526315789473</v>
      </c>
      <c r="EY177" s="56">
        <f t="shared" ca="1" si="230"/>
        <v>1.6210526315789473</v>
      </c>
      <c r="EZ177" s="56">
        <f t="shared" ca="1" si="230"/>
        <v>1.6210526315789473</v>
      </c>
      <c r="FA177" s="56">
        <f t="shared" ca="1" si="230"/>
        <v>1.6210526315789473</v>
      </c>
      <c r="FB177" s="56">
        <f t="shared" ca="1" si="230"/>
        <v>1.6210526315789473</v>
      </c>
      <c r="FC177" s="56">
        <f t="shared" ca="1" si="230"/>
        <v>1.6210526315789473</v>
      </c>
      <c r="FD177" s="56">
        <f t="shared" ca="1" si="230"/>
        <v>1.6210526315789473</v>
      </c>
      <c r="FE177" s="56">
        <f t="shared" ca="1" si="230"/>
        <v>1.6210526315789473</v>
      </c>
      <c r="FF177" s="56">
        <f t="shared" ca="1" si="230"/>
        <v>1.6210526315789473</v>
      </c>
      <c r="FG177" s="56">
        <f t="shared" ca="1" si="230"/>
        <v>1.6210526315789473</v>
      </c>
      <c r="FH177" s="56">
        <f t="shared" ca="1" si="230"/>
        <v>1.6210526315789473</v>
      </c>
      <c r="FI177" s="56">
        <f t="shared" ca="1" si="230"/>
        <v>1.6210526315789473</v>
      </c>
      <c r="FJ177" s="56">
        <f t="shared" ca="1" si="230"/>
        <v>1.6210526315789473</v>
      </c>
      <c r="FK177" s="56">
        <f t="shared" ca="1" si="230"/>
        <v>1.6210526315789473</v>
      </c>
      <c r="FL177" s="56">
        <f t="shared" ca="1" si="230"/>
        <v>1.6210526315789473</v>
      </c>
      <c r="FM177" s="56">
        <f t="shared" ca="1" si="230"/>
        <v>1.6210526315789473</v>
      </c>
      <c r="FN177" s="56">
        <f t="shared" ca="1" si="230"/>
        <v>1.6210526315789473</v>
      </c>
      <c r="FO177" s="56">
        <f t="shared" ref="FO177:GP177" ca="1" si="231">IF(FO$139&gt;=$B$88,$C124,0)</f>
        <v>1.6210526315789473</v>
      </c>
      <c r="FP177" s="56">
        <f t="shared" ca="1" si="231"/>
        <v>1.6210526315789473</v>
      </c>
      <c r="FQ177" s="56">
        <f t="shared" ca="1" si="231"/>
        <v>1.6210526315789473</v>
      </c>
      <c r="FR177" s="56">
        <f t="shared" ca="1" si="231"/>
        <v>1.6210526315789473</v>
      </c>
      <c r="FS177" s="56">
        <f t="shared" ca="1" si="231"/>
        <v>1.6210526315789473</v>
      </c>
      <c r="FT177" s="56">
        <f t="shared" ca="1" si="231"/>
        <v>1.6210526315789473</v>
      </c>
      <c r="FU177" s="56">
        <f t="shared" ca="1" si="231"/>
        <v>1.6210526315789473</v>
      </c>
      <c r="FV177" s="56">
        <f t="shared" ca="1" si="231"/>
        <v>1.6210526315789473</v>
      </c>
      <c r="FW177" s="56">
        <f t="shared" ca="1" si="231"/>
        <v>1.6210526315789473</v>
      </c>
      <c r="FX177" s="56">
        <f t="shared" ca="1" si="231"/>
        <v>1.6210526315789473</v>
      </c>
      <c r="FY177" s="56">
        <f t="shared" ca="1" si="231"/>
        <v>1.6210526315789473</v>
      </c>
      <c r="FZ177" s="56">
        <f t="shared" ca="1" si="231"/>
        <v>1.6210526315789473</v>
      </c>
      <c r="GA177" s="56">
        <f t="shared" ca="1" si="231"/>
        <v>1.6210526315789473</v>
      </c>
      <c r="GB177" s="56">
        <f t="shared" ca="1" si="231"/>
        <v>1.6210526315789473</v>
      </c>
      <c r="GC177" s="56">
        <f t="shared" ca="1" si="231"/>
        <v>1.6210526315789473</v>
      </c>
      <c r="GD177" s="56">
        <f t="shared" ca="1" si="231"/>
        <v>1.6210526315789473</v>
      </c>
      <c r="GE177" s="56">
        <f t="shared" ca="1" si="231"/>
        <v>1.6210526315789473</v>
      </c>
      <c r="GF177" s="56">
        <f t="shared" ca="1" si="231"/>
        <v>1.6210526315789473</v>
      </c>
      <c r="GG177" s="56">
        <f t="shared" ca="1" si="231"/>
        <v>1.6210526315789473</v>
      </c>
      <c r="GH177" s="56">
        <f t="shared" ca="1" si="231"/>
        <v>1.6210526315789473</v>
      </c>
      <c r="GI177" s="56">
        <f t="shared" ca="1" si="231"/>
        <v>1.6210526315789473</v>
      </c>
      <c r="GJ177" s="56">
        <f t="shared" ca="1" si="231"/>
        <v>1.6210526315789473</v>
      </c>
      <c r="GK177" s="56">
        <f t="shared" ca="1" si="231"/>
        <v>1.6210526315789473</v>
      </c>
      <c r="GL177" s="56">
        <f t="shared" ca="1" si="231"/>
        <v>1.6210526315789473</v>
      </c>
      <c r="GM177" s="56">
        <f t="shared" ca="1" si="231"/>
        <v>1.6210526315789473</v>
      </c>
      <c r="GN177" s="56">
        <f t="shared" ca="1" si="231"/>
        <v>1.6210526315789473</v>
      </c>
      <c r="GO177" s="56">
        <f t="shared" ca="1" si="231"/>
        <v>1.6210526315789473</v>
      </c>
      <c r="GP177" s="56">
        <f t="shared" ca="1" si="231"/>
        <v>1.6210526315789473</v>
      </c>
    </row>
    <row r="178" spans="1:198" x14ac:dyDescent="0.35">
      <c r="A178" s="55" t="str">
        <f t="shared" si="165"/>
        <v>Available now &gt; M&amp;T Bank</v>
      </c>
      <c r="B178" s="55" t="s">
        <v>297</v>
      </c>
      <c r="K178" s="56">
        <f t="shared" ref="K178:AP178" si="232">IF(K$139&gt;=$B$88,$C125,0)</f>
        <v>0</v>
      </c>
      <c r="L178" s="56">
        <f t="shared" si="232"/>
        <v>0</v>
      </c>
      <c r="M178" s="56">
        <f t="shared" si="232"/>
        <v>0</v>
      </c>
      <c r="N178" s="56">
        <f t="shared" si="232"/>
        <v>0</v>
      </c>
      <c r="O178" s="56">
        <f t="shared" si="232"/>
        <v>0</v>
      </c>
      <c r="P178" s="56">
        <f t="shared" si="232"/>
        <v>0</v>
      </c>
      <c r="Q178" s="56">
        <f t="shared" si="232"/>
        <v>0</v>
      </c>
      <c r="R178" s="56">
        <f t="shared" si="232"/>
        <v>0</v>
      </c>
      <c r="S178" s="56">
        <f t="shared" si="232"/>
        <v>0</v>
      </c>
      <c r="T178" s="56">
        <f t="shared" si="232"/>
        <v>0</v>
      </c>
      <c r="U178" s="56">
        <f t="shared" si="232"/>
        <v>0</v>
      </c>
      <c r="V178" s="56">
        <f t="shared" si="232"/>
        <v>0</v>
      </c>
      <c r="W178" s="56">
        <f t="shared" si="232"/>
        <v>0</v>
      </c>
      <c r="X178" s="56">
        <f t="shared" si="232"/>
        <v>0</v>
      </c>
      <c r="Y178" s="56">
        <f t="shared" si="232"/>
        <v>0</v>
      </c>
      <c r="Z178" s="56">
        <f t="shared" si="232"/>
        <v>0</v>
      </c>
      <c r="AA178" s="56">
        <f t="shared" si="232"/>
        <v>0</v>
      </c>
      <c r="AB178" s="56">
        <f t="shared" si="232"/>
        <v>0</v>
      </c>
      <c r="AC178" s="56">
        <f t="shared" si="232"/>
        <v>0</v>
      </c>
      <c r="AD178" s="56">
        <f t="shared" si="232"/>
        <v>0</v>
      </c>
      <c r="AE178" s="56">
        <f t="shared" si="232"/>
        <v>0</v>
      </c>
      <c r="AF178" s="56">
        <f t="shared" si="232"/>
        <v>0</v>
      </c>
      <c r="AG178" s="56">
        <f t="shared" si="232"/>
        <v>0</v>
      </c>
      <c r="AH178" s="56">
        <f t="shared" si="232"/>
        <v>0</v>
      </c>
      <c r="AI178" s="56">
        <f t="shared" si="232"/>
        <v>0</v>
      </c>
      <c r="AJ178" s="56">
        <f t="shared" si="232"/>
        <v>0</v>
      </c>
      <c r="AK178" s="56">
        <f t="shared" si="232"/>
        <v>0</v>
      </c>
      <c r="AL178" s="56">
        <f t="shared" si="232"/>
        <v>0</v>
      </c>
      <c r="AM178" s="56">
        <f t="shared" si="232"/>
        <v>0</v>
      </c>
      <c r="AN178" s="56">
        <f t="shared" si="232"/>
        <v>0</v>
      </c>
      <c r="AO178" s="56">
        <f t="shared" si="232"/>
        <v>0</v>
      </c>
      <c r="AP178" s="56">
        <f t="shared" si="232"/>
        <v>0</v>
      </c>
      <c r="AQ178" s="56">
        <f t="shared" ref="AQ178:BV178" si="233">IF(AQ$139&gt;=$B$88,$C125,0)</f>
        <v>0</v>
      </c>
      <c r="AR178" s="56">
        <f t="shared" si="233"/>
        <v>0</v>
      </c>
      <c r="AS178" s="56">
        <f t="shared" si="233"/>
        <v>0</v>
      </c>
      <c r="AT178" s="56">
        <f t="shared" si="233"/>
        <v>0</v>
      </c>
      <c r="AU178" s="56">
        <f t="shared" si="233"/>
        <v>0</v>
      </c>
      <c r="AV178" s="56">
        <f t="shared" si="233"/>
        <v>0</v>
      </c>
      <c r="AW178" s="56">
        <f t="shared" si="233"/>
        <v>0</v>
      </c>
      <c r="AX178" s="56">
        <f t="shared" si="233"/>
        <v>0</v>
      </c>
      <c r="AY178" s="56">
        <f t="shared" si="233"/>
        <v>0</v>
      </c>
      <c r="AZ178" s="56">
        <f t="shared" si="233"/>
        <v>0</v>
      </c>
      <c r="BA178" s="56">
        <f t="shared" si="233"/>
        <v>0</v>
      </c>
      <c r="BB178" s="56">
        <f t="shared" si="233"/>
        <v>0</v>
      </c>
      <c r="BC178" s="56">
        <f t="shared" si="233"/>
        <v>0</v>
      </c>
      <c r="BD178" s="56">
        <f t="shared" si="233"/>
        <v>0</v>
      </c>
      <c r="BE178" s="56">
        <f t="shared" si="233"/>
        <v>0</v>
      </c>
      <c r="BF178" s="56">
        <f t="shared" si="233"/>
        <v>0</v>
      </c>
      <c r="BG178" s="56">
        <f t="shared" si="233"/>
        <v>0</v>
      </c>
      <c r="BH178" s="56">
        <f t="shared" si="233"/>
        <v>0</v>
      </c>
      <c r="BI178" s="56">
        <f t="shared" si="233"/>
        <v>0</v>
      </c>
      <c r="BJ178" s="56">
        <f t="shared" si="233"/>
        <v>0</v>
      </c>
      <c r="BK178" s="56">
        <f t="shared" si="233"/>
        <v>0</v>
      </c>
      <c r="BL178" s="56">
        <f t="shared" si="233"/>
        <v>0</v>
      </c>
      <c r="BM178" s="56">
        <f t="shared" si="233"/>
        <v>0</v>
      </c>
      <c r="BN178" s="56">
        <f t="shared" si="233"/>
        <v>0</v>
      </c>
      <c r="BO178" s="56">
        <f t="shared" si="233"/>
        <v>0</v>
      </c>
      <c r="BP178" s="56">
        <f t="shared" si="233"/>
        <v>0</v>
      </c>
      <c r="BQ178" s="56">
        <f t="shared" si="233"/>
        <v>0</v>
      </c>
      <c r="BR178" s="56">
        <f t="shared" si="233"/>
        <v>0</v>
      </c>
      <c r="BS178" s="56">
        <f t="shared" si="233"/>
        <v>0</v>
      </c>
      <c r="BT178" s="56">
        <f t="shared" si="233"/>
        <v>0</v>
      </c>
      <c r="BU178" s="56">
        <f t="shared" si="233"/>
        <v>0</v>
      </c>
      <c r="BV178" s="56">
        <f t="shared" si="233"/>
        <v>0</v>
      </c>
      <c r="BW178" s="56">
        <f t="shared" ref="BW178:DB178" si="234">IF(BW$139&gt;=$B$88,$C125,0)</f>
        <v>0</v>
      </c>
      <c r="BX178" s="56">
        <f t="shared" si="234"/>
        <v>0</v>
      </c>
      <c r="BY178" s="56">
        <f t="shared" si="234"/>
        <v>0</v>
      </c>
      <c r="BZ178" s="56">
        <f t="shared" si="234"/>
        <v>0</v>
      </c>
      <c r="CA178" s="56">
        <f t="shared" si="234"/>
        <v>0</v>
      </c>
      <c r="CB178" s="56">
        <f t="shared" si="234"/>
        <v>0</v>
      </c>
      <c r="CC178" s="56">
        <f t="shared" si="234"/>
        <v>0</v>
      </c>
      <c r="CD178" s="56">
        <f t="shared" si="234"/>
        <v>0</v>
      </c>
      <c r="CE178" s="56">
        <f t="shared" si="234"/>
        <v>0</v>
      </c>
      <c r="CF178" s="56">
        <f t="shared" si="234"/>
        <v>0</v>
      </c>
      <c r="CG178" s="56">
        <f t="shared" si="234"/>
        <v>0</v>
      </c>
      <c r="CH178" s="56">
        <f t="shared" si="234"/>
        <v>0</v>
      </c>
      <c r="CI178" s="56">
        <f t="shared" si="234"/>
        <v>0</v>
      </c>
      <c r="CJ178" s="56">
        <f t="shared" si="234"/>
        <v>0</v>
      </c>
      <c r="CK178" s="56">
        <f t="shared" si="234"/>
        <v>0</v>
      </c>
      <c r="CL178" s="56">
        <f t="shared" si="234"/>
        <v>0</v>
      </c>
      <c r="CM178" s="56">
        <f t="shared" si="234"/>
        <v>0</v>
      </c>
      <c r="CN178" s="56">
        <f t="shared" si="234"/>
        <v>0</v>
      </c>
      <c r="CO178" s="56">
        <f t="shared" si="234"/>
        <v>0</v>
      </c>
      <c r="CP178" s="56">
        <f t="shared" si="234"/>
        <v>0</v>
      </c>
      <c r="CQ178" s="56">
        <f t="shared" si="234"/>
        <v>0</v>
      </c>
      <c r="CR178" s="56">
        <f t="shared" si="234"/>
        <v>0</v>
      </c>
      <c r="CS178" s="56">
        <f t="shared" si="234"/>
        <v>0</v>
      </c>
      <c r="CT178" s="56">
        <f t="shared" si="234"/>
        <v>0</v>
      </c>
      <c r="CU178" s="56">
        <f t="shared" si="234"/>
        <v>0</v>
      </c>
      <c r="CV178" s="56">
        <f t="shared" si="234"/>
        <v>0</v>
      </c>
      <c r="CW178" s="56">
        <f t="shared" si="234"/>
        <v>0</v>
      </c>
      <c r="CX178" s="56">
        <f t="shared" si="234"/>
        <v>0</v>
      </c>
      <c r="CY178" s="56">
        <f t="shared" si="234"/>
        <v>0</v>
      </c>
      <c r="CZ178" s="56">
        <f t="shared" si="234"/>
        <v>0</v>
      </c>
      <c r="DA178" s="56">
        <f t="shared" si="234"/>
        <v>0</v>
      </c>
      <c r="DB178" s="56">
        <f t="shared" si="234"/>
        <v>0</v>
      </c>
      <c r="DC178" s="56">
        <f t="shared" ref="DC178:EH178" si="235">IF(DC$139&gt;=$B$88,$C125,0)</f>
        <v>0</v>
      </c>
      <c r="DD178" s="56">
        <f t="shared" si="235"/>
        <v>0</v>
      </c>
      <c r="DE178" s="56">
        <f t="shared" si="235"/>
        <v>0</v>
      </c>
      <c r="DF178" s="56">
        <f t="shared" si="235"/>
        <v>0</v>
      </c>
      <c r="DG178" s="56">
        <f t="shared" si="235"/>
        <v>0</v>
      </c>
      <c r="DH178" s="56">
        <f t="shared" si="235"/>
        <v>0</v>
      </c>
      <c r="DI178" s="56">
        <f t="shared" si="235"/>
        <v>0</v>
      </c>
      <c r="DJ178" s="56">
        <f t="shared" si="235"/>
        <v>0</v>
      </c>
      <c r="DK178" s="56">
        <f t="shared" si="235"/>
        <v>0</v>
      </c>
      <c r="DL178" s="56">
        <f t="shared" si="235"/>
        <v>0</v>
      </c>
      <c r="DM178" s="56">
        <f t="shared" si="235"/>
        <v>0</v>
      </c>
      <c r="DN178" s="56">
        <f t="shared" si="235"/>
        <v>0</v>
      </c>
      <c r="DO178" s="56">
        <f t="shared" si="235"/>
        <v>0</v>
      </c>
      <c r="DP178" s="56">
        <f t="shared" si="235"/>
        <v>0</v>
      </c>
      <c r="DQ178" s="56">
        <f t="shared" ca="1" si="235"/>
        <v>0.81052631578947365</v>
      </c>
      <c r="DR178" s="56">
        <f t="shared" ca="1" si="235"/>
        <v>0.81052631578947365</v>
      </c>
      <c r="DS178" s="56">
        <f t="shared" ca="1" si="235"/>
        <v>0.81052631578947365</v>
      </c>
      <c r="DT178" s="56">
        <f t="shared" ca="1" si="235"/>
        <v>0.81052631578947365</v>
      </c>
      <c r="DU178" s="56">
        <f t="shared" ca="1" si="235"/>
        <v>0.81052631578947365</v>
      </c>
      <c r="DV178" s="56">
        <f t="shared" ca="1" si="235"/>
        <v>0.81052631578947365</v>
      </c>
      <c r="DW178" s="56">
        <f t="shared" ca="1" si="235"/>
        <v>0.81052631578947365</v>
      </c>
      <c r="DX178" s="56">
        <f t="shared" ca="1" si="235"/>
        <v>0.81052631578947365</v>
      </c>
      <c r="DY178" s="56">
        <f t="shared" ca="1" si="235"/>
        <v>0.81052631578947365</v>
      </c>
      <c r="DZ178" s="56">
        <f t="shared" ca="1" si="235"/>
        <v>0.81052631578947365</v>
      </c>
      <c r="EA178" s="56">
        <f t="shared" ca="1" si="235"/>
        <v>0.81052631578947365</v>
      </c>
      <c r="EB178" s="56">
        <f t="shared" ca="1" si="235"/>
        <v>0.81052631578947365</v>
      </c>
      <c r="EC178" s="56">
        <f t="shared" ca="1" si="235"/>
        <v>0.81052631578947365</v>
      </c>
      <c r="ED178" s="56">
        <f t="shared" ca="1" si="235"/>
        <v>0.81052631578947365</v>
      </c>
      <c r="EE178" s="56">
        <f t="shared" ca="1" si="235"/>
        <v>0.81052631578947365</v>
      </c>
      <c r="EF178" s="56">
        <f t="shared" ca="1" si="235"/>
        <v>0.81052631578947365</v>
      </c>
      <c r="EG178" s="56">
        <f t="shared" ca="1" si="235"/>
        <v>0.81052631578947365</v>
      </c>
      <c r="EH178" s="56">
        <f t="shared" ca="1" si="235"/>
        <v>0.81052631578947365</v>
      </c>
      <c r="EI178" s="56">
        <f t="shared" ref="EI178:FN178" ca="1" si="236">IF(EI$139&gt;=$B$88,$C125,0)</f>
        <v>0.81052631578947365</v>
      </c>
      <c r="EJ178" s="56">
        <f t="shared" ca="1" si="236"/>
        <v>0.81052631578947365</v>
      </c>
      <c r="EK178" s="56">
        <f t="shared" ca="1" si="236"/>
        <v>0.81052631578947365</v>
      </c>
      <c r="EL178" s="56">
        <f t="shared" ca="1" si="236"/>
        <v>0.81052631578947365</v>
      </c>
      <c r="EM178" s="56">
        <f t="shared" ca="1" si="236"/>
        <v>0.81052631578947365</v>
      </c>
      <c r="EN178" s="56">
        <f t="shared" ca="1" si="236"/>
        <v>0.81052631578947365</v>
      </c>
      <c r="EO178" s="56">
        <f t="shared" ca="1" si="236"/>
        <v>0.81052631578947365</v>
      </c>
      <c r="EP178" s="56">
        <f t="shared" ca="1" si="236"/>
        <v>0.81052631578947365</v>
      </c>
      <c r="EQ178" s="56">
        <f t="shared" ca="1" si="236"/>
        <v>0.81052631578947365</v>
      </c>
      <c r="ER178" s="56">
        <f t="shared" ca="1" si="236"/>
        <v>0.81052631578947365</v>
      </c>
      <c r="ES178" s="56">
        <f t="shared" ca="1" si="236"/>
        <v>0.81052631578947365</v>
      </c>
      <c r="ET178" s="56">
        <f t="shared" ca="1" si="236"/>
        <v>0.81052631578947365</v>
      </c>
      <c r="EU178" s="56">
        <f t="shared" ca="1" si="236"/>
        <v>0.81052631578947365</v>
      </c>
      <c r="EV178" s="56">
        <f t="shared" ca="1" si="236"/>
        <v>0.81052631578947365</v>
      </c>
      <c r="EW178" s="56">
        <f t="shared" ca="1" si="236"/>
        <v>0.81052631578947365</v>
      </c>
      <c r="EX178" s="56">
        <f t="shared" ca="1" si="236"/>
        <v>0.81052631578947365</v>
      </c>
      <c r="EY178" s="56">
        <f t="shared" ca="1" si="236"/>
        <v>0.81052631578947365</v>
      </c>
      <c r="EZ178" s="56">
        <f t="shared" ca="1" si="236"/>
        <v>0.81052631578947365</v>
      </c>
      <c r="FA178" s="56">
        <f t="shared" ca="1" si="236"/>
        <v>0.81052631578947365</v>
      </c>
      <c r="FB178" s="56">
        <f t="shared" ca="1" si="236"/>
        <v>0.81052631578947365</v>
      </c>
      <c r="FC178" s="56">
        <f t="shared" ca="1" si="236"/>
        <v>0.81052631578947365</v>
      </c>
      <c r="FD178" s="56">
        <f t="shared" ca="1" si="236"/>
        <v>0.81052631578947365</v>
      </c>
      <c r="FE178" s="56">
        <f t="shared" ca="1" si="236"/>
        <v>0.81052631578947365</v>
      </c>
      <c r="FF178" s="56">
        <f t="shared" ca="1" si="236"/>
        <v>0.81052631578947365</v>
      </c>
      <c r="FG178" s="56">
        <f t="shared" ca="1" si="236"/>
        <v>0.81052631578947365</v>
      </c>
      <c r="FH178" s="56">
        <f t="shared" ca="1" si="236"/>
        <v>0.81052631578947365</v>
      </c>
      <c r="FI178" s="56">
        <f t="shared" ca="1" si="236"/>
        <v>0.81052631578947365</v>
      </c>
      <c r="FJ178" s="56">
        <f t="shared" ca="1" si="236"/>
        <v>0.81052631578947365</v>
      </c>
      <c r="FK178" s="56">
        <f t="shared" ca="1" si="236"/>
        <v>0.81052631578947365</v>
      </c>
      <c r="FL178" s="56">
        <f t="shared" ca="1" si="236"/>
        <v>0.81052631578947365</v>
      </c>
      <c r="FM178" s="56">
        <f t="shared" ca="1" si="236"/>
        <v>0.81052631578947365</v>
      </c>
      <c r="FN178" s="56">
        <f t="shared" ca="1" si="236"/>
        <v>0.81052631578947365</v>
      </c>
      <c r="FO178" s="56">
        <f t="shared" ref="FO178:GP178" ca="1" si="237">IF(FO$139&gt;=$B$88,$C125,0)</f>
        <v>0.81052631578947365</v>
      </c>
      <c r="FP178" s="56">
        <f t="shared" ca="1" si="237"/>
        <v>0.81052631578947365</v>
      </c>
      <c r="FQ178" s="56">
        <f t="shared" ca="1" si="237"/>
        <v>0.81052631578947365</v>
      </c>
      <c r="FR178" s="56">
        <f t="shared" ca="1" si="237"/>
        <v>0.81052631578947365</v>
      </c>
      <c r="FS178" s="56">
        <f t="shared" ca="1" si="237"/>
        <v>0.81052631578947365</v>
      </c>
      <c r="FT178" s="56">
        <f t="shared" ca="1" si="237"/>
        <v>0.81052631578947365</v>
      </c>
      <c r="FU178" s="56">
        <f t="shared" ca="1" si="237"/>
        <v>0.81052631578947365</v>
      </c>
      <c r="FV178" s="56">
        <f t="shared" ca="1" si="237"/>
        <v>0.81052631578947365</v>
      </c>
      <c r="FW178" s="56">
        <f t="shared" ca="1" si="237"/>
        <v>0.81052631578947365</v>
      </c>
      <c r="FX178" s="56">
        <f t="shared" ca="1" si="237"/>
        <v>0.81052631578947365</v>
      </c>
      <c r="FY178" s="56">
        <f t="shared" ca="1" si="237"/>
        <v>0.81052631578947365</v>
      </c>
      <c r="FZ178" s="56">
        <f t="shared" ca="1" si="237"/>
        <v>0.81052631578947365</v>
      </c>
      <c r="GA178" s="56">
        <f t="shared" ca="1" si="237"/>
        <v>0.81052631578947365</v>
      </c>
      <c r="GB178" s="56">
        <f t="shared" ca="1" si="237"/>
        <v>0.81052631578947365</v>
      </c>
      <c r="GC178" s="56">
        <f t="shared" ca="1" si="237"/>
        <v>0.81052631578947365</v>
      </c>
      <c r="GD178" s="56">
        <f t="shared" ca="1" si="237"/>
        <v>0.81052631578947365</v>
      </c>
      <c r="GE178" s="56">
        <f t="shared" ca="1" si="237"/>
        <v>0.81052631578947365</v>
      </c>
      <c r="GF178" s="56">
        <f t="shared" ca="1" si="237"/>
        <v>0.81052631578947365</v>
      </c>
      <c r="GG178" s="56">
        <f t="shared" ca="1" si="237"/>
        <v>0.81052631578947365</v>
      </c>
      <c r="GH178" s="56">
        <f t="shared" ca="1" si="237"/>
        <v>0.81052631578947365</v>
      </c>
      <c r="GI178" s="56">
        <f t="shared" ca="1" si="237"/>
        <v>0.81052631578947365</v>
      </c>
      <c r="GJ178" s="56">
        <f t="shared" ca="1" si="237"/>
        <v>0.81052631578947365</v>
      </c>
      <c r="GK178" s="56">
        <f t="shared" ca="1" si="237"/>
        <v>0.81052631578947365</v>
      </c>
      <c r="GL178" s="56">
        <f t="shared" ca="1" si="237"/>
        <v>0.81052631578947365</v>
      </c>
      <c r="GM178" s="56">
        <f t="shared" ca="1" si="237"/>
        <v>0.81052631578947365</v>
      </c>
      <c r="GN178" s="56">
        <f t="shared" ca="1" si="237"/>
        <v>0.81052631578947365</v>
      </c>
      <c r="GO178" s="56">
        <f t="shared" ca="1" si="237"/>
        <v>0.81052631578947365</v>
      </c>
      <c r="GP178" s="56">
        <f t="shared" ca="1" si="237"/>
        <v>0.81052631578947365</v>
      </c>
    </row>
    <row r="179" spans="1:198" x14ac:dyDescent="0.35">
      <c r="A179" s="55" t="str">
        <f t="shared" si="165"/>
        <v>Available now &gt; Peabody</v>
      </c>
      <c r="B179" s="55" t="s">
        <v>297</v>
      </c>
      <c r="K179" s="56">
        <f t="shared" ref="K179:AP179" si="238">IF(K$139&gt;=$B$88,$C126,0)</f>
        <v>0</v>
      </c>
      <c r="L179" s="56">
        <f t="shared" si="238"/>
        <v>0</v>
      </c>
      <c r="M179" s="56">
        <f t="shared" si="238"/>
        <v>0</v>
      </c>
      <c r="N179" s="56">
        <f t="shared" si="238"/>
        <v>0</v>
      </c>
      <c r="O179" s="56">
        <f t="shared" si="238"/>
        <v>0</v>
      </c>
      <c r="P179" s="56">
        <f t="shared" si="238"/>
        <v>0</v>
      </c>
      <c r="Q179" s="56">
        <f t="shared" si="238"/>
        <v>0</v>
      </c>
      <c r="R179" s="56">
        <f t="shared" si="238"/>
        <v>0</v>
      </c>
      <c r="S179" s="56">
        <f t="shared" si="238"/>
        <v>0</v>
      </c>
      <c r="T179" s="56">
        <f t="shared" si="238"/>
        <v>0</v>
      </c>
      <c r="U179" s="56">
        <f t="shared" si="238"/>
        <v>0</v>
      </c>
      <c r="V179" s="56">
        <f t="shared" si="238"/>
        <v>0</v>
      </c>
      <c r="W179" s="56">
        <f t="shared" si="238"/>
        <v>0</v>
      </c>
      <c r="X179" s="56">
        <f t="shared" si="238"/>
        <v>0</v>
      </c>
      <c r="Y179" s="56">
        <f t="shared" si="238"/>
        <v>0</v>
      </c>
      <c r="Z179" s="56">
        <f t="shared" si="238"/>
        <v>0</v>
      </c>
      <c r="AA179" s="56">
        <f t="shared" si="238"/>
        <v>0</v>
      </c>
      <c r="AB179" s="56">
        <f t="shared" si="238"/>
        <v>0</v>
      </c>
      <c r="AC179" s="56">
        <f t="shared" si="238"/>
        <v>0</v>
      </c>
      <c r="AD179" s="56">
        <f t="shared" si="238"/>
        <v>0</v>
      </c>
      <c r="AE179" s="56">
        <f t="shared" si="238"/>
        <v>0</v>
      </c>
      <c r="AF179" s="56">
        <f t="shared" si="238"/>
        <v>0</v>
      </c>
      <c r="AG179" s="56">
        <f t="shared" si="238"/>
        <v>0</v>
      </c>
      <c r="AH179" s="56">
        <f t="shared" si="238"/>
        <v>0</v>
      </c>
      <c r="AI179" s="56">
        <f t="shared" si="238"/>
        <v>0</v>
      </c>
      <c r="AJ179" s="56">
        <f t="shared" si="238"/>
        <v>0</v>
      </c>
      <c r="AK179" s="56">
        <f t="shared" si="238"/>
        <v>0</v>
      </c>
      <c r="AL179" s="56">
        <f t="shared" si="238"/>
        <v>0</v>
      </c>
      <c r="AM179" s="56">
        <f t="shared" si="238"/>
        <v>0</v>
      </c>
      <c r="AN179" s="56">
        <f t="shared" si="238"/>
        <v>0</v>
      </c>
      <c r="AO179" s="56">
        <f t="shared" si="238"/>
        <v>0</v>
      </c>
      <c r="AP179" s="56">
        <f t="shared" si="238"/>
        <v>0</v>
      </c>
      <c r="AQ179" s="56">
        <f t="shared" ref="AQ179:BV179" si="239">IF(AQ$139&gt;=$B$88,$C126,0)</f>
        <v>0</v>
      </c>
      <c r="AR179" s="56">
        <f t="shared" si="239"/>
        <v>0</v>
      </c>
      <c r="AS179" s="56">
        <f t="shared" si="239"/>
        <v>0</v>
      </c>
      <c r="AT179" s="56">
        <f t="shared" si="239"/>
        <v>0</v>
      </c>
      <c r="AU179" s="56">
        <f t="shared" si="239"/>
        <v>0</v>
      </c>
      <c r="AV179" s="56">
        <f t="shared" si="239"/>
        <v>0</v>
      </c>
      <c r="AW179" s="56">
        <f t="shared" si="239"/>
        <v>0</v>
      </c>
      <c r="AX179" s="56">
        <f t="shared" si="239"/>
        <v>0</v>
      </c>
      <c r="AY179" s="56">
        <f t="shared" si="239"/>
        <v>0</v>
      </c>
      <c r="AZ179" s="56">
        <f t="shared" si="239"/>
        <v>0</v>
      </c>
      <c r="BA179" s="56">
        <f t="shared" si="239"/>
        <v>0</v>
      </c>
      <c r="BB179" s="56">
        <f t="shared" si="239"/>
        <v>0</v>
      </c>
      <c r="BC179" s="56">
        <f t="shared" si="239"/>
        <v>0</v>
      </c>
      <c r="BD179" s="56">
        <f t="shared" si="239"/>
        <v>0</v>
      </c>
      <c r="BE179" s="56">
        <f t="shared" si="239"/>
        <v>0</v>
      </c>
      <c r="BF179" s="56">
        <f t="shared" si="239"/>
        <v>0</v>
      </c>
      <c r="BG179" s="56">
        <f t="shared" si="239"/>
        <v>0</v>
      </c>
      <c r="BH179" s="56">
        <f t="shared" si="239"/>
        <v>0</v>
      </c>
      <c r="BI179" s="56">
        <f t="shared" si="239"/>
        <v>0</v>
      </c>
      <c r="BJ179" s="56">
        <f t="shared" si="239"/>
        <v>0</v>
      </c>
      <c r="BK179" s="56">
        <f t="shared" si="239"/>
        <v>0</v>
      </c>
      <c r="BL179" s="56">
        <f t="shared" si="239"/>
        <v>0</v>
      </c>
      <c r="BM179" s="56">
        <f t="shared" si="239"/>
        <v>0</v>
      </c>
      <c r="BN179" s="56">
        <f t="shared" si="239"/>
        <v>0</v>
      </c>
      <c r="BO179" s="56">
        <f t="shared" si="239"/>
        <v>0</v>
      </c>
      <c r="BP179" s="56">
        <f t="shared" si="239"/>
        <v>0</v>
      </c>
      <c r="BQ179" s="56">
        <f t="shared" si="239"/>
        <v>0</v>
      </c>
      <c r="BR179" s="56">
        <f t="shared" si="239"/>
        <v>0</v>
      </c>
      <c r="BS179" s="56">
        <f t="shared" si="239"/>
        <v>0</v>
      </c>
      <c r="BT179" s="56">
        <f t="shared" si="239"/>
        <v>0</v>
      </c>
      <c r="BU179" s="56">
        <f t="shared" si="239"/>
        <v>0</v>
      </c>
      <c r="BV179" s="56">
        <f t="shared" si="239"/>
        <v>0</v>
      </c>
      <c r="BW179" s="56">
        <f t="shared" ref="BW179:DB179" si="240">IF(BW$139&gt;=$B$88,$C126,0)</f>
        <v>0</v>
      </c>
      <c r="BX179" s="56">
        <f t="shared" si="240"/>
        <v>0</v>
      </c>
      <c r="BY179" s="56">
        <f t="shared" si="240"/>
        <v>0</v>
      </c>
      <c r="BZ179" s="56">
        <f t="shared" si="240"/>
        <v>0</v>
      </c>
      <c r="CA179" s="56">
        <f t="shared" si="240"/>
        <v>0</v>
      </c>
      <c r="CB179" s="56">
        <f t="shared" si="240"/>
        <v>0</v>
      </c>
      <c r="CC179" s="56">
        <f t="shared" si="240"/>
        <v>0</v>
      </c>
      <c r="CD179" s="56">
        <f t="shared" si="240"/>
        <v>0</v>
      </c>
      <c r="CE179" s="56">
        <f t="shared" si="240"/>
        <v>0</v>
      </c>
      <c r="CF179" s="56">
        <f t="shared" si="240"/>
        <v>0</v>
      </c>
      <c r="CG179" s="56">
        <f t="shared" si="240"/>
        <v>0</v>
      </c>
      <c r="CH179" s="56">
        <f t="shared" si="240"/>
        <v>0</v>
      </c>
      <c r="CI179" s="56">
        <f t="shared" si="240"/>
        <v>0</v>
      </c>
      <c r="CJ179" s="56">
        <f t="shared" si="240"/>
        <v>0</v>
      </c>
      <c r="CK179" s="56">
        <f t="shared" si="240"/>
        <v>0</v>
      </c>
      <c r="CL179" s="56">
        <f t="shared" si="240"/>
        <v>0</v>
      </c>
      <c r="CM179" s="56">
        <f t="shared" si="240"/>
        <v>0</v>
      </c>
      <c r="CN179" s="56">
        <f t="shared" si="240"/>
        <v>0</v>
      </c>
      <c r="CO179" s="56">
        <f t="shared" si="240"/>
        <v>0</v>
      </c>
      <c r="CP179" s="56">
        <f t="shared" si="240"/>
        <v>0</v>
      </c>
      <c r="CQ179" s="56">
        <f t="shared" si="240"/>
        <v>0</v>
      </c>
      <c r="CR179" s="56">
        <f t="shared" si="240"/>
        <v>0</v>
      </c>
      <c r="CS179" s="56">
        <f t="shared" si="240"/>
        <v>0</v>
      </c>
      <c r="CT179" s="56">
        <f t="shared" si="240"/>
        <v>0</v>
      </c>
      <c r="CU179" s="56">
        <f t="shared" si="240"/>
        <v>0</v>
      </c>
      <c r="CV179" s="56">
        <f t="shared" si="240"/>
        <v>0</v>
      </c>
      <c r="CW179" s="56">
        <f t="shared" si="240"/>
        <v>0</v>
      </c>
      <c r="CX179" s="56">
        <f t="shared" si="240"/>
        <v>0</v>
      </c>
      <c r="CY179" s="56">
        <f t="shared" si="240"/>
        <v>0</v>
      </c>
      <c r="CZ179" s="56">
        <f t="shared" si="240"/>
        <v>0</v>
      </c>
      <c r="DA179" s="56">
        <f t="shared" si="240"/>
        <v>0</v>
      </c>
      <c r="DB179" s="56">
        <f t="shared" si="240"/>
        <v>0</v>
      </c>
      <c r="DC179" s="56">
        <f t="shared" ref="DC179:EH179" si="241">IF(DC$139&gt;=$B$88,$C126,0)</f>
        <v>0</v>
      </c>
      <c r="DD179" s="56">
        <f t="shared" si="241"/>
        <v>0</v>
      </c>
      <c r="DE179" s="56">
        <f t="shared" si="241"/>
        <v>0</v>
      </c>
      <c r="DF179" s="56">
        <f t="shared" si="241"/>
        <v>0</v>
      </c>
      <c r="DG179" s="56">
        <f t="shared" si="241"/>
        <v>0</v>
      </c>
      <c r="DH179" s="56">
        <f t="shared" si="241"/>
        <v>0</v>
      </c>
      <c r="DI179" s="56">
        <f t="shared" si="241"/>
        <v>0</v>
      </c>
      <c r="DJ179" s="56">
        <f t="shared" si="241"/>
        <v>0</v>
      </c>
      <c r="DK179" s="56">
        <f t="shared" si="241"/>
        <v>0</v>
      </c>
      <c r="DL179" s="56">
        <f t="shared" si="241"/>
        <v>0</v>
      </c>
      <c r="DM179" s="56">
        <f t="shared" si="241"/>
        <v>0</v>
      </c>
      <c r="DN179" s="56">
        <f t="shared" si="241"/>
        <v>0</v>
      </c>
      <c r="DO179" s="56">
        <f t="shared" si="241"/>
        <v>0</v>
      </c>
      <c r="DP179" s="56">
        <f t="shared" si="241"/>
        <v>0</v>
      </c>
      <c r="DQ179" s="56">
        <f t="shared" ca="1" si="241"/>
        <v>0.81052631578947365</v>
      </c>
      <c r="DR179" s="56">
        <f t="shared" ca="1" si="241"/>
        <v>0.81052631578947365</v>
      </c>
      <c r="DS179" s="56">
        <f t="shared" ca="1" si="241"/>
        <v>0.81052631578947365</v>
      </c>
      <c r="DT179" s="56">
        <f t="shared" ca="1" si="241"/>
        <v>0.81052631578947365</v>
      </c>
      <c r="DU179" s="56">
        <f t="shared" ca="1" si="241"/>
        <v>0.81052631578947365</v>
      </c>
      <c r="DV179" s="56">
        <f t="shared" ca="1" si="241"/>
        <v>0.81052631578947365</v>
      </c>
      <c r="DW179" s="56">
        <f t="shared" ca="1" si="241"/>
        <v>0.81052631578947365</v>
      </c>
      <c r="DX179" s="56">
        <f t="shared" ca="1" si="241"/>
        <v>0.81052631578947365</v>
      </c>
      <c r="DY179" s="56">
        <f t="shared" ca="1" si="241"/>
        <v>0.81052631578947365</v>
      </c>
      <c r="DZ179" s="56">
        <f t="shared" ca="1" si="241"/>
        <v>0.81052631578947365</v>
      </c>
      <c r="EA179" s="56">
        <f t="shared" ca="1" si="241"/>
        <v>0.81052631578947365</v>
      </c>
      <c r="EB179" s="56">
        <f t="shared" ca="1" si="241"/>
        <v>0.81052631578947365</v>
      </c>
      <c r="EC179" s="56">
        <f t="shared" ca="1" si="241"/>
        <v>0.81052631578947365</v>
      </c>
      <c r="ED179" s="56">
        <f t="shared" ca="1" si="241"/>
        <v>0.81052631578947365</v>
      </c>
      <c r="EE179" s="56">
        <f t="shared" ca="1" si="241"/>
        <v>0.81052631578947365</v>
      </c>
      <c r="EF179" s="56">
        <f t="shared" ca="1" si="241"/>
        <v>0.81052631578947365</v>
      </c>
      <c r="EG179" s="56">
        <f t="shared" ca="1" si="241"/>
        <v>0.81052631578947365</v>
      </c>
      <c r="EH179" s="56">
        <f t="shared" ca="1" si="241"/>
        <v>0.81052631578947365</v>
      </c>
      <c r="EI179" s="56">
        <f t="shared" ref="EI179:FN179" ca="1" si="242">IF(EI$139&gt;=$B$88,$C126,0)</f>
        <v>0.81052631578947365</v>
      </c>
      <c r="EJ179" s="56">
        <f t="shared" ca="1" si="242"/>
        <v>0.81052631578947365</v>
      </c>
      <c r="EK179" s="56">
        <f t="shared" ca="1" si="242"/>
        <v>0.81052631578947365</v>
      </c>
      <c r="EL179" s="56">
        <f t="shared" ca="1" si="242"/>
        <v>0.81052631578947365</v>
      </c>
      <c r="EM179" s="56">
        <f t="shared" ca="1" si="242"/>
        <v>0.81052631578947365</v>
      </c>
      <c r="EN179" s="56">
        <f t="shared" ca="1" si="242"/>
        <v>0.81052631578947365</v>
      </c>
      <c r="EO179" s="56">
        <f t="shared" ca="1" si="242"/>
        <v>0.81052631578947365</v>
      </c>
      <c r="EP179" s="56">
        <f t="shared" ca="1" si="242"/>
        <v>0.81052631578947365</v>
      </c>
      <c r="EQ179" s="56">
        <f t="shared" ca="1" si="242"/>
        <v>0.81052631578947365</v>
      </c>
      <c r="ER179" s="56">
        <f t="shared" ca="1" si="242"/>
        <v>0.81052631578947365</v>
      </c>
      <c r="ES179" s="56">
        <f t="shared" ca="1" si="242"/>
        <v>0.81052631578947365</v>
      </c>
      <c r="ET179" s="56">
        <f t="shared" ca="1" si="242"/>
        <v>0.81052631578947365</v>
      </c>
      <c r="EU179" s="56">
        <f t="shared" ca="1" si="242"/>
        <v>0.81052631578947365</v>
      </c>
      <c r="EV179" s="56">
        <f t="shared" ca="1" si="242"/>
        <v>0.81052631578947365</v>
      </c>
      <c r="EW179" s="56">
        <f t="shared" ca="1" si="242"/>
        <v>0.81052631578947365</v>
      </c>
      <c r="EX179" s="56">
        <f t="shared" ca="1" si="242"/>
        <v>0.81052631578947365</v>
      </c>
      <c r="EY179" s="56">
        <f t="shared" ca="1" si="242"/>
        <v>0.81052631578947365</v>
      </c>
      <c r="EZ179" s="56">
        <f t="shared" ca="1" si="242"/>
        <v>0.81052631578947365</v>
      </c>
      <c r="FA179" s="56">
        <f t="shared" ca="1" si="242"/>
        <v>0.81052631578947365</v>
      </c>
      <c r="FB179" s="56">
        <f t="shared" ca="1" si="242"/>
        <v>0.81052631578947365</v>
      </c>
      <c r="FC179" s="56">
        <f t="shared" ca="1" si="242"/>
        <v>0.81052631578947365</v>
      </c>
      <c r="FD179" s="56">
        <f t="shared" ca="1" si="242"/>
        <v>0.81052631578947365</v>
      </c>
      <c r="FE179" s="56">
        <f t="shared" ca="1" si="242"/>
        <v>0.81052631578947365</v>
      </c>
      <c r="FF179" s="56">
        <f t="shared" ca="1" si="242"/>
        <v>0.81052631578947365</v>
      </c>
      <c r="FG179" s="56">
        <f t="shared" ca="1" si="242"/>
        <v>0.81052631578947365</v>
      </c>
      <c r="FH179" s="56">
        <f t="shared" ca="1" si="242"/>
        <v>0.81052631578947365</v>
      </c>
      <c r="FI179" s="56">
        <f t="shared" ca="1" si="242"/>
        <v>0.81052631578947365</v>
      </c>
      <c r="FJ179" s="56">
        <f t="shared" ca="1" si="242"/>
        <v>0.81052631578947365</v>
      </c>
      <c r="FK179" s="56">
        <f t="shared" ca="1" si="242"/>
        <v>0.81052631578947365</v>
      </c>
      <c r="FL179" s="56">
        <f t="shared" ca="1" si="242"/>
        <v>0.81052631578947365</v>
      </c>
      <c r="FM179" s="56">
        <f t="shared" ca="1" si="242"/>
        <v>0.81052631578947365</v>
      </c>
      <c r="FN179" s="56">
        <f t="shared" ca="1" si="242"/>
        <v>0.81052631578947365</v>
      </c>
      <c r="FO179" s="56">
        <f t="shared" ref="FO179:GP179" ca="1" si="243">IF(FO$139&gt;=$B$88,$C126,0)</f>
        <v>0.81052631578947365</v>
      </c>
      <c r="FP179" s="56">
        <f t="shared" ca="1" si="243"/>
        <v>0.81052631578947365</v>
      </c>
      <c r="FQ179" s="56">
        <f t="shared" ca="1" si="243"/>
        <v>0.81052631578947365</v>
      </c>
      <c r="FR179" s="56">
        <f t="shared" ca="1" si="243"/>
        <v>0.81052631578947365</v>
      </c>
      <c r="FS179" s="56">
        <f t="shared" ca="1" si="243"/>
        <v>0.81052631578947365</v>
      </c>
      <c r="FT179" s="56">
        <f t="shared" ca="1" si="243"/>
        <v>0.81052631578947365</v>
      </c>
      <c r="FU179" s="56">
        <f t="shared" ca="1" si="243"/>
        <v>0.81052631578947365</v>
      </c>
      <c r="FV179" s="56">
        <f t="shared" ca="1" si="243"/>
        <v>0.81052631578947365</v>
      </c>
      <c r="FW179" s="56">
        <f t="shared" ca="1" si="243"/>
        <v>0.81052631578947365</v>
      </c>
      <c r="FX179" s="56">
        <f t="shared" ca="1" si="243"/>
        <v>0.81052631578947365</v>
      </c>
      <c r="FY179" s="56">
        <f t="shared" ca="1" si="243"/>
        <v>0.81052631578947365</v>
      </c>
      <c r="FZ179" s="56">
        <f t="shared" ca="1" si="243"/>
        <v>0.81052631578947365</v>
      </c>
      <c r="GA179" s="56">
        <f t="shared" ca="1" si="243"/>
        <v>0.81052631578947365</v>
      </c>
      <c r="GB179" s="56">
        <f t="shared" ca="1" si="243"/>
        <v>0.81052631578947365</v>
      </c>
      <c r="GC179" s="56">
        <f t="shared" ca="1" si="243"/>
        <v>0.81052631578947365</v>
      </c>
      <c r="GD179" s="56">
        <f t="shared" ca="1" si="243"/>
        <v>0.81052631578947365</v>
      </c>
      <c r="GE179" s="56">
        <f t="shared" ca="1" si="243"/>
        <v>0.81052631578947365</v>
      </c>
      <c r="GF179" s="56">
        <f t="shared" ca="1" si="243"/>
        <v>0.81052631578947365</v>
      </c>
      <c r="GG179" s="56">
        <f t="shared" ca="1" si="243"/>
        <v>0.81052631578947365</v>
      </c>
      <c r="GH179" s="56">
        <f t="shared" ca="1" si="243"/>
        <v>0.81052631578947365</v>
      </c>
      <c r="GI179" s="56">
        <f t="shared" ca="1" si="243"/>
        <v>0.81052631578947365</v>
      </c>
      <c r="GJ179" s="56">
        <f t="shared" ca="1" si="243"/>
        <v>0.81052631578947365</v>
      </c>
      <c r="GK179" s="56">
        <f t="shared" ca="1" si="243"/>
        <v>0.81052631578947365</v>
      </c>
      <c r="GL179" s="56">
        <f t="shared" ca="1" si="243"/>
        <v>0.81052631578947365</v>
      </c>
      <c r="GM179" s="56">
        <f t="shared" ca="1" si="243"/>
        <v>0.81052631578947365</v>
      </c>
      <c r="GN179" s="56">
        <f t="shared" ca="1" si="243"/>
        <v>0.81052631578947365</v>
      </c>
      <c r="GO179" s="56">
        <f t="shared" ca="1" si="243"/>
        <v>0.81052631578947365</v>
      </c>
      <c r="GP179" s="56">
        <f t="shared" ca="1" si="243"/>
        <v>0.81052631578947365</v>
      </c>
    </row>
    <row r="180" spans="1:198" x14ac:dyDescent="0.35">
      <c r="A180" s="55" t="str">
        <f t="shared" si="165"/>
        <v>Available now &gt; Other clients</v>
      </c>
      <c r="B180" s="55" t="s">
        <v>297</v>
      </c>
      <c r="K180" s="56">
        <f t="shared" ref="K180:AP180" si="244">IF(K$139&gt;=$B$88,$C127,0)</f>
        <v>0</v>
      </c>
      <c r="L180" s="56">
        <f t="shared" si="244"/>
        <v>0</v>
      </c>
      <c r="M180" s="56">
        <f t="shared" si="244"/>
        <v>0</v>
      </c>
      <c r="N180" s="56">
        <f t="shared" si="244"/>
        <v>0</v>
      </c>
      <c r="O180" s="56">
        <f t="shared" si="244"/>
        <v>0</v>
      </c>
      <c r="P180" s="56">
        <f t="shared" si="244"/>
        <v>0</v>
      </c>
      <c r="Q180" s="56">
        <f t="shared" si="244"/>
        <v>0</v>
      </c>
      <c r="R180" s="56">
        <f t="shared" si="244"/>
        <v>0</v>
      </c>
      <c r="S180" s="56">
        <f t="shared" si="244"/>
        <v>0</v>
      </c>
      <c r="T180" s="56">
        <f t="shared" si="244"/>
        <v>0</v>
      </c>
      <c r="U180" s="56">
        <f t="shared" si="244"/>
        <v>0</v>
      </c>
      <c r="V180" s="56">
        <f t="shared" si="244"/>
        <v>0</v>
      </c>
      <c r="W180" s="56">
        <f t="shared" si="244"/>
        <v>0</v>
      </c>
      <c r="X180" s="56">
        <f t="shared" si="244"/>
        <v>0</v>
      </c>
      <c r="Y180" s="56">
        <f t="shared" si="244"/>
        <v>0</v>
      </c>
      <c r="Z180" s="56">
        <f t="shared" si="244"/>
        <v>0</v>
      </c>
      <c r="AA180" s="56">
        <f t="shared" si="244"/>
        <v>0</v>
      </c>
      <c r="AB180" s="56">
        <f t="shared" si="244"/>
        <v>0</v>
      </c>
      <c r="AC180" s="56">
        <f t="shared" si="244"/>
        <v>0</v>
      </c>
      <c r="AD180" s="56">
        <f t="shared" si="244"/>
        <v>0</v>
      </c>
      <c r="AE180" s="56">
        <f t="shared" si="244"/>
        <v>0</v>
      </c>
      <c r="AF180" s="56">
        <f t="shared" si="244"/>
        <v>0</v>
      </c>
      <c r="AG180" s="56">
        <f t="shared" si="244"/>
        <v>0</v>
      </c>
      <c r="AH180" s="56">
        <f t="shared" si="244"/>
        <v>0</v>
      </c>
      <c r="AI180" s="56">
        <f t="shared" si="244"/>
        <v>0</v>
      </c>
      <c r="AJ180" s="56">
        <f t="shared" si="244"/>
        <v>0</v>
      </c>
      <c r="AK180" s="56">
        <f t="shared" si="244"/>
        <v>0</v>
      </c>
      <c r="AL180" s="56">
        <f t="shared" si="244"/>
        <v>0</v>
      </c>
      <c r="AM180" s="56">
        <f t="shared" si="244"/>
        <v>0</v>
      </c>
      <c r="AN180" s="56">
        <f t="shared" si="244"/>
        <v>0</v>
      </c>
      <c r="AO180" s="56">
        <f t="shared" si="244"/>
        <v>0</v>
      </c>
      <c r="AP180" s="56">
        <f t="shared" si="244"/>
        <v>0</v>
      </c>
      <c r="AQ180" s="56">
        <f t="shared" ref="AQ180:BV180" si="245">IF(AQ$139&gt;=$B$88,$C127,0)</f>
        <v>0</v>
      </c>
      <c r="AR180" s="56">
        <f t="shared" si="245"/>
        <v>0</v>
      </c>
      <c r="AS180" s="56">
        <f t="shared" si="245"/>
        <v>0</v>
      </c>
      <c r="AT180" s="56">
        <f t="shared" si="245"/>
        <v>0</v>
      </c>
      <c r="AU180" s="56">
        <f t="shared" si="245"/>
        <v>0</v>
      </c>
      <c r="AV180" s="56">
        <f t="shared" si="245"/>
        <v>0</v>
      </c>
      <c r="AW180" s="56">
        <f t="shared" si="245"/>
        <v>0</v>
      </c>
      <c r="AX180" s="56">
        <f t="shared" si="245"/>
        <v>0</v>
      </c>
      <c r="AY180" s="56">
        <f t="shared" si="245"/>
        <v>0</v>
      </c>
      <c r="AZ180" s="56">
        <f t="shared" si="245"/>
        <v>0</v>
      </c>
      <c r="BA180" s="56">
        <f t="shared" si="245"/>
        <v>0</v>
      </c>
      <c r="BB180" s="56">
        <f t="shared" si="245"/>
        <v>0</v>
      </c>
      <c r="BC180" s="56">
        <f t="shared" si="245"/>
        <v>0</v>
      </c>
      <c r="BD180" s="56">
        <f t="shared" si="245"/>
        <v>0</v>
      </c>
      <c r="BE180" s="56">
        <f t="shared" si="245"/>
        <v>0</v>
      </c>
      <c r="BF180" s="56">
        <f t="shared" si="245"/>
        <v>0</v>
      </c>
      <c r="BG180" s="56">
        <f t="shared" si="245"/>
        <v>0</v>
      </c>
      <c r="BH180" s="56">
        <f t="shared" si="245"/>
        <v>0</v>
      </c>
      <c r="BI180" s="56">
        <f t="shared" si="245"/>
        <v>0</v>
      </c>
      <c r="BJ180" s="56">
        <f t="shared" si="245"/>
        <v>0</v>
      </c>
      <c r="BK180" s="56">
        <f t="shared" si="245"/>
        <v>0</v>
      </c>
      <c r="BL180" s="56">
        <f t="shared" si="245"/>
        <v>0</v>
      </c>
      <c r="BM180" s="56">
        <f t="shared" si="245"/>
        <v>0</v>
      </c>
      <c r="BN180" s="56">
        <f t="shared" si="245"/>
        <v>0</v>
      </c>
      <c r="BO180" s="56">
        <f t="shared" si="245"/>
        <v>0</v>
      </c>
      <c r="BP180" s="56">
        <f t="shared" si="245"/>
        <v>0</v>
      </c>
      <c r="BQ180" s="56">
        <f t="shared" si="245"/>
        <v>0</v>
      </c>
      <c r="BR180" s="56">
        <f t="shared" si="245"/>
        <v>0</v>
      </c>
      <c r="BS180" s="56">
        <f t="shared" si="245"/>
        <v>0</v>
      </c>
      <c r="BT180" s="56">
        <f t="shared" si="245"/>
        <v>0</v>
      </c>
      <c r="BU180" s="56">
        <f t="shared" si="245"/>
        <v>0</v>
      </c>
      <c r="BV180" s="56">
        <f t="shared" si="245"/>
        <v>0</v>
      </c>
      <c r="BW180" s="56">
        <f t="shared" ref="BW180:DB180" si="246">IF(BW$139&gt;=$B$88,$C127,0)</f>
        <v>0</v>
      </c>
      <c r="BX180" s="56">
        <f t="shared" si="246"/>
        <v>0</v>
      </c>
      <c r="BY180" s="56">
        <f t="shared" si="246"/>
        <v>0</v>
      </c>
      <c r="BZ180" s="56">
        <f t="shared" si="246"/>
        <v>0</v>
      </c>
      <c r="CA180" s="56">
        <f t="shared" si="246"/>
        <v>0</v>
      </c>
      <c r="CB180" s="56">
        <f t="shared" si="246"/>
        <v>0</v>
      </c>
      <c r="CC180" s="56">
        <f t="shared" si="246"/>
        <v>0</v>
      </c>
      <c r="CD180" s="56">
        <f t="shared" si="246"/>
        <v>0</v>
      </c>
      <c r="CE180" s="56">
        <f t="shared" si="246"/>
        <v>0</v>
      </c>
      <c r="CF180" s="56">
        <f t="shared" si="246"/>
        <v>0</v>
      </c>
      <c r="CG180" s="56">
        <f t="shared" si="246"/>
        <v>0</v>
      </c>
      <c r="CH180" s="56">
        <f t="shared" si="246"/>
        <v>0</v>
      </c>
      <c r="CI180" s="56">
        <f t="shared" si="246"/>
        <v>0</v>
      </c>
      <c r="CJ180" s="56">
        <f t="shared" si="246"/>
        <v>0</v>
      </c>
      <c r="CK180" s="56">
        <f t="shared" si="246"/>
        <v>0</v>
      </c>
      <c r="CL180" s="56">
        <f t="shared" si="246"/>
        <v>0</v>
      </c>
      <c r="CM180" s="56">
        <f t="shared" si="246"/>
        <v>0</v>
      </c>
      <c r="CN180" s="56">
        <f t="shared" si="246"/>
        <v>0</v>
      </c>
      <c r="CO180" s="56">
        <f t="shared" si="246"/>
        <v>0</v>
      </c>
      <c r="CP180" s="56">
        <f t="shared" si="246"/>
        <v>0</v>
      </c>
      <c r="CQ180" s="56">
        <f t="shared" si="246"/>
        <v>0</v>
      </c>
      <c r="CR180" s="56">
        <f t="shared" si="246"/>
        <v>0</v>
      </c>
      <c r="CS180" s="56">
        <f t="shared" si="246"/>
        <v>0</v>
      </c>
      <c r="CT180" s="56">
        <f t="shared" si="246"/>
        <v>0</v>
      </c>
      <c r="CU180" s="56">
        <f t="shared" si="246"/>
        <v>0</v>
      </c>
      <c r="CV180" s="56">
        <f t="shared" si="246"/>
        <v>0</v>
      </c>
      <c r="CW180" s="56">
        <f t="shared" si="246"/>
        <v>0</v>
      </c>
      <c r="CX180" s="56">
        <f t="shared" si="246"/>
        <v>0</v>
      </c>
      <c r="CY180" s="56">
        <f t="shared" si="246"/>
        <v>0</v>
      </c>
      <c r="CZ180" s="56">
        <f t="shared" si="246"/>
        <v>0</v>
      </c>
      <c r="DA180" s="56">
        <f t="shared" si="246"/>
        <v>0</v>
      </c>
      <c r="DB180" s="56">
        <f t="shared" si="246"/>
        <v>0</v>
      </c>
      <c r="DC180" s="56">
        <f t="shared" ref="DC180:EH180" si="247">IF(DC$139&gt;=$B$88,$C127,0)</f>
        <v>0</v>
      </c>
      <c r="DD180" s="56">
        <f t="shared" si="247"/>
        <v>0</v>
      </c>
      <c r="DE180" s="56">
        <f t="shared" si="247"/>
        <v>0</v>
      </c>
      <c r="DF180" s="56">
        <f t="shared" si="247"/>
        <v>0</v>
      </c>
      <c r="DG180" s="56">
        <f t="shared" si="247"/>
        <v>0</v>
      </c>
      <c r="DH180" s="56">
        <f t="shared" si="247"/>
        <v>0</v>
      </c>
      <c r="DI180" s="56">
        <f t="shared" si="247"/>
        <v>0</v>
      </c>
      <c r="DJ180" s="56">
        <f t="shared" si="247"/>
        <v>0</v>
      </c>
      <c r="DK180" s="56">
        <f t="shared" si="247"/>
        <v>0</v>
      </c>
      <c r="DL180" s="56">
        <f t="shared" si="247"/>
        <v>0</v>
      </c>
      <c r="DM180" s="56">
        <f t="shared" si="247"/>
        <v>0</v>
      </c>
      <c r="DN180" s="56">
        <f t="shared" si="247"/>
        <v>0</v>
      </c>
      <c r="DO180" s="56">
        <f t="shared" si="247"/>
        <v>0</v>
      </c>
      <c r="DP180" s="56">
        <f t="shared" si="247"/>
        <v>0</v>
      </c>
      <c r="DQ180" s="56">
        <f t="shared" ca="1" si="247"/>
        <v>0</v>
      </c>
      <c r="DR180" s="56">
        <f t="shared" ca="1" si="247"/>
        <v>0</v>
      </c>
      <c r="DS180" s="56">
        <f t="shared" ca="1" si="247"/>
        <v>0</v>
      </c>
      <c r="DT180" s="56">
        <f t="shared" ca="1" si="247"/>
        <v>0</v>
      </c>
      <c r="DU180" s="56">
        <f t="shared" ca="1" si="247"/>
        <v>0</v>
      </c>
      <c r="DV180" s="56">
        <f t="shared" ca="1" si="247"/>
        <v>0</v>
      </c>
      <c r="DW180" s="56">
        <f t="shared" ca="1" si="247"/>
        <v>0</v>
      </c>
      <c r="DX180" s="56">
        <f t="shared" ca="1" si="247"/>
        <v>0</v>
      </c>
      <c r="DY180" s="56">
        <f t="shared" ca="1" si="247"/>
        <v>0</v>
      </c>
      <c r="DZ180" s="56">
        <f t="shared" ca="1" si="247"/>
        <v>0</v>
      </c>
      <c r="EA180" s="56">
        <f t="shared" ca="1" si="247"/>
        <v>0</v>
      </c>
      <c r="EB180" s="56">
        <f t="shared" ca="1" si="247"/>
        <v>0</v>
      </c>
      <c r="EC180" s="56">
        <f t="shared" ca="1" si="247"/>
        <v>0</v>
      </c>
      <c r="ED180" s="56">
        <f t="shared" ca="1" si="247"/>
        <v>0</v>
      </c>
      <c r="EE180" s="56">
        <f t="shared" ca="1" si="247"/>
        <v>0</v>
      </c>
      <c r="EF180" s="56">
        <f t="shared" ca="1" si="247"/>
        <v>0</v>
      </c>
      <c r="EG180" s="56">
        <f t="shared" ca="1" si="247"/>
        <v>0</v>
      </c>
      <c r="EH180" s="56">
        <f t="shared" ca="1" si="247"/>
        <v>0</v>
      </c>
      <c r="EI180" s="56">
        <f t="shared" ref="EI180:FN180" ca="1" si="248">IF(EI$139&gt;=$B$88,$C127,0)</f>
        <v>0</v>
      </c>
      <c r="EJ180" s="56">
        <f t="shared" ca="1" si="248"/>
        <v>0</v>
      </c>
      <c r="EK180" s="56">
        <f t="shared" ca="1" si="248"/>
        <v>0</v>
      </c>
      <c r="EL180" s="56">
        <f t="shared" ca="1" si="248"/>
        <v>0</v>
      </c>
      <c r="EM180" s="56">
        <f t="shared" ca="1" si="248"/>
        <v>0</v>
      </c>
      <c r="EN180" s="56">
        <f t="shared" ca="1" si="248"/>
        <v>0</v>
      </c>
      <c r="EO180" s="56">
        <f t="shared" ca="1" si="248"/>
        <v>0</v>
      </c>
      <c r="EP180" s="56">
        <f t="shared" ca="1" si="248"/>
        <v>0</v>
      </c>
      <c r="EQ180" s="56">
        <f t="shared" ca="1" si="248"/>
        <v>0</v>
      </c>
      <c r="ER180" s="56">
        <f t="shared" ca="1" si="248"/>
        <v>0</v>
      </c>
      <c r="ES180" s="56">
        <f t="shared" ca="1" si="248"/>
        <v>0</v>
      </c>
      <c r="ET180" s="56">
        <f t="shared" ca="1" si="248"/>
        <v>0</v>
      </c>
      <c r="EU180" s="56">
        <f t="shared" ca="1" si="248"/>
        <v>0</v>
      </c>
      <c r="EV180" s="56">
        <f t="shared" ca="1" si="248"/>
        <v>0</v>
      </c>
      <c r="EW180" s="56">
        <f t="shared" ca="1" si="248"/>
        <v>0</v>
      </c>
      <c r="EX180" s="56">
        <f t="shared" ca="1" si="248"/>
        <v>0</v>
      </c>
      <c r="EY180" s="56">
        <f t="shared" ca="1" si="248"/>
        <v>0</v>
      </c>
      <c r="EZ180" s="56">
        <f t="shared" ca="1" si="248"/>
        <v>0</v>
      </c>
      <c r="FA180" s="56">
        <f t="shared" ca="1" si="248"/>
        <v>0</v>
      </c>
      <c r="FB180" s="56">
        <f t="shared" ca="1" si="248"/>
        <v>0</v>
      </c>
      <c r="FC180" s="56">
        <f t="shared" ca="1" si="248"/>
        <v>0</v>
      </c>
      <c r="FD180" s="56">
        <f t="shared" ca="1" si="248"/>
        <v>0</v>
      </c>
      <c r="FE180" s="56">
        <f t="shared" ca="1" si="248"/>
        <v>0</v>
      </c>
      <c r="FF180" s="56">
        <f t="shared" ca="1" si="248"/>
        <v>0</v>
      </c>
      <c r="FG180" s="56">
        <f t="shared" ca="1" si="248"/>
        <v>0</v>
      </c>
      <c r="FH180" s="56">
        <f t="shared" ca="1" si="248"/>
        <v>0</v>
      </c>
      <c r="FI180" s="56">
        <f t="shared" ca="1" si="248"/>
        <v>0</v>
      </c>
      <c r="FJ180" s="56">
        <f t="shared" ca="1" si="248"/>
        <v>0</v>
      </c>
      <c r="FK180" s="56">
        <f t="shared" ca="1" si="248"/>
        <v>0</v>
      </c>
      <c r="FL180" s="56">
        <f t="shared" ca="1" si="248"/>
        <v>0</v>
      </c>
      <c r="FM180" s="56">
        <f t="shared" ca="1" si="248"/>
        <v>0</v>
      </c>
      <c r="FN180" s="56">
        <f t="shared" ca="1" si="248"/>
        <v>0</v>
      </c>
      <c r="FO180" s="56">
        <f t="shared" ref="FO180:GP180" ca="1" si="249">IF(FO$139&gt;=$B$88,$C127,0)</f>
        <v>0</v>
      </c>
      <c r="FP180" s="56">
        <f t="shared" ca="1" si="249"/>
        <v>0</v>
      </c>
      <c r="FQ180" s="56">
        <f t="shared" ca="1" si="249"/>
        <v>0</v>
      </c>
      <c r="FR180" s="56">
        <f t="shared" ca="1" si="249"/>
        <v>0</v>
      </c>
      <c r="FS180" s="56">
        <f t="shared" ca="1" si="249"/>
        <v>0</v>
      </c>
      <c r="FT180" s="56">
        <f t="shared" ca="1" si="249"/>
        <v>0</v>
      </c>
      <c r="FU180" s="56">
        <f t="shared" ca="1" si="249"/>
        <v>0</v>
      </c>
      <c r="FV180" s="56">
        <f t="shared" ca="1" si="249"/>
        <v>0</v>
      </c>
      <c r="FW180" s="56">
        <f t="shared" ca="1" si="249"/>
        <v>0</v>
      </c>
      <c r="FX180" s="56">
        <f t="shared" ca="1" si="249"/>
        <v>0</v>
      </c>
      <c r="FY180" s="56">
        <f t="shared" ca="1" si="249"/>
        <v>0</v>
      </c>
      <c r="FZ180" s="56">
        <f t="shared" ca="1" si="249"/>
        <v>0</v>
      </c>
      <c r="GA180" s="56">
        <f t="shared" ca="1" si="249"/>
        <v>0</v>
      </c>
      <c r="GB180" s="56">
        <f t="shared" ca="1" si="249"/>
        <v>0</v>
      </c>
      <c r="GC180" s="56">
        <f t="shared" ca="1" si="249"/>
        <v>0</v>
      </c>
      <c r="GD180" s="56">
        <f t="shared" ca="1" si="249"/>
        <v>0</v>
      </c>
      <c r="GE180" s="56">
        <f t="shared" ca="1" si="249"/>
        <v>0</v>
      </c>
      <c r="GF180" s="56">
        <f t="shared" ca="1" si="249"/>
        <v>0</v>
      </c>
      <c r="GG180" s="56">
        <f t="shared" ca="1" si="249"/>
        <v>0</v>
      </c>
      <c r="GH180" s="56">
        <f t="shared" ca="1" si="249"/>
        <v>0</v>
      </c>
      <c r="GI180" s="56">
        <f t="shared" ca="1" si="249"/>
        <v>0</v>
      </c>
      <c r="GJ180" s="56">
        <f t="shared" ca="1" si="249"/>
        <v>0</v>
      </c>
      <c r="GK180" s="56">
        <f t="shared" ca="1" si="249"/>
        <v>0</v>
      </c>
      <c r="GL180" s="56">
        <f t="shared" ca="1" si="249"/>
        <v>0</v>
      </c>
      <c r="GM180" s="56">
        <f t="shared" ca="1" si="249"/>
        <v>0</v>
      </c>
      <c r="GN180" s="56">
        <f t="shared" ca="1" si="249"/>
        <v>0</v>
      </c>
      <c r="GO180" s="56">
        <f t="shared" ca="1" si="249"/>
        <v>0</v>
      </c>
      <c r="GP180" s="56">
        <f t="shared" ca="1" si="249"/>
        <v>0</v>
      </c>
    </row>
    <row r="181" spans="1:198" x14ac:dyDescent="0.35">
      <c r="A181" s="55" t="str">
        <f t="shared" si="165"/>
        <v>Available now &gt; Current bench</v>
      </c>
      <c r="B181" s="55" t="s">
        <v>297</v>
      </c>
      <c r="K181" s="56">
        <f t="shared" ref="K181:AP181" si="250">IF(K$139&gt;=$B$88,$C128,0)</f>
        <v>0</v>
      </c>
      <c r="L181" s="56">
        <f t="shared" si="250"/>
        <v>0</v>
      </c>
      <c r="M181" s="56">
        <f t="shared" si="250"/>
        <v>0</v>
      </c>
      <c r="N181" s="56">
        <f t="shared" si="250"/>
        <v>0</v>
      </c>
      <c r="O181" s="56">
        <f t="shared" si="250"/>
        <v>0</v>
      </c>
      <c r="P181" s="56">
        <f t="shared" si="250"/>
        <v>0</v>
      </c>
      <c r="Q181" s="56">
        <f t="shared" si="250"/>
        <v>0</v>
      </c>
      <c r="R181" s="56">
        <f t="shared" si="250"/>
        <v>0</v>
      </c>
      <c r="S181" s="56">
        <f t="shared" si="250"/>
        <v>0</v>
      </c>
      <c r="T181" s="56">
        <f t="shared" si="250"/>
        <v>0</v>
      </c>
      <c r="U181" s="56">
        <f t="shared" si="250"/>
        <v>0</v>
      </c>
      <c r="V181" s="56">
        <f t="shared" si="250"/>
        <v>0</v>
      </c>
      <c r="W181" s="56">
        <f t="shared" si="250"/>
        <v>0</v>
      </c>
      <c r="X181" s="56">
        <f t="shared" si="250"/>
        <v>0</v>
      </c>
      <c r="Y181" s="56">
        <f t="shared" si="250"/>
        <v>0</v>
      </c>
      <c r="Z181" s="56">
        <f t="shared" si="250"/>
        <v>0</v>
      </c>
      <c r="AA181" s="56">
        <f t="shared" si="250"/>
        <v>0</v>
      </c>
      <c r="AB181" s="56">
        <f t="shared" si="250"/>
        <v>0</v>
      </c>
      <c r="AC181" s="56">
        <f t="shared" si="250"/>
        <v>0</v>
      </c>
      <c r="AD181" s="56">
        <f t="shared" si="250"/>
        <v>0</v>
      </c>
      <c r="AE181" s="56">
        <f t="shared" si="250"/>
        <v>0</v>
      </c>
      <c r="AF181" s="56">
        <f t="shared" si="250"/>
        <v>0</v>
      </c>
      <c r="AG181" s="56">
        <f t="shared" si="250"/>
        <v>0</v>
      </c>
      <c r="AH181" s="56">
        <f t="shared" si="250"/>
        <v>0</v>
      </c>
      <c r="AI181" s="56">
        <f t="shared" si="250"/>
        <v>0</v>
      </c>
      <c r="AJ181" s="56">
        <f t="shared" si="250"/>
        <v>0</v>
      </c>
      <c r="AK181" s="56">
        <f t="shared" si="250"/>
        <v>0</v>
      </c>
      <c r="AL181" s="56">
        <f t="shared" si="250"/>
        <v>0</v>
      </c>
      <c r="AM181" s="56">
        <f t="shared" si="250"/>
        <v>0</v>
      </c>
      <c r="AN181" s="56">
        <f t="shared" si="250"/>
        <v>0</v>
      </c>
      <c r="AO181" s="56">
        <f t="shared" si="250"/>
        <v>0</v>
      </c>
      <c r="AP181" s="56">
        <f t="shared" si="250"/>
        <v>0</v>
      </c>
      <c r="AQ181" s="56">
        <f t="shared" ref="AQ181:BV181" si="251">IF(AQ$139&gt;=$B$88,$C128,0)</f>
        <v>0</v>
      </c>
      <c r="AR181" s="56">
        <f t="shared" si="251"/>
        <v>0</v>
      </c>
      <c r="AS181" s="56">
        <f t="shared" si="251"/>
        <v>0</v>
      </c>
      <c r="AT181" s="56">
        <f t="shared" si="251"/>
        <v>0</v>
      </c>
      <c r="AU181" s="56">
        <f t="shared" si="251"/>
        <v>0</v>
      </c>
      <c r="AV181" s="56">
        <f t="shared" si="251"/>
        <v>0</v>
      </c>
      <c r="AW181" s="56">
        <f t="shared" si="251"/>
        <v>0</v>
      </c>
      <c r="AX181" s="56">
        <f t="shared" si="251"/>
        <v>0</v>
      </c>
      <c r="AY181" s="56">
        <f t="shared" si="251"/>
        <v>0</v>
      </c>
      <c r="AZ181" s="56">
        <f t="shared" si="251"/>
        <v>0</v>
      </c>
      <c r="BA181" s="56">
        <f t="shared" si="251"/>
        <v>0</v>
      </c>
      <c r="BB181" s="56">
        <f t="shared" si="251"/>
        <v>0</v>
      </c>
      <c r="BC181" s="56">
        <f t="shared" si="251"/>
        <v>0</v>
      </c>
      <c r="BD181" s="56">
        <f t="shared" si="251"/>
        <v>0</v>
      </c>
      <c r="BE181" s="56">
        <f t="shared" si="251"/>
        <v>0</v>
      </c>
      <c r="BF181" s="56">
        <f t="shared" si="251"/>
        <v>0</v>
      </c>
      <c r="BG181" s="56">
        <f t="shared" si="251"/>
        <v>0</v>
      </c>
      <c r="BH181" s="56">
        <f t="shared" si="251"/>
        <v>0</v>
      </c>
      <c r="BI181" s="56">
        <f t="shared" si="251"/>
        <v>0</v>
      </c>
      <c r="BJ181" s="56">
        <f t="shared" si="251"/>
        <v>0</v>
      </c>
      <c r="BK181" s="56">
        <f t="shared" si="251"/>
        <v>0</v>
      </c>
      <c r="BL181" s="56">
        <f t="shared" si="251"/>
        <v>0</v>
      </c>
      <c r="BM181" s="56">
        <f t="shared" si="251"/>
        <v>0</v>
      </c>
      <c r="BN181" s="56">
        <f t="shared" si="251"/>
        <v>0</v>
      </c>
      <c r="BO181" s="56">
        <f t="shared" si="251"/>
        <v>0</v>
      </c>
      <c r="BP181" s="56">
        <f t="shared" si="251"/>
        <v>0</v>
      </c>
      <c r="BQ181" s="56">
        <f t="shared" si="251"/>
        <v>0</v>
      </c>
      <c r="BR181" s="56">
        <f t="shared" si="251"/>
        <v>0</v>
      </c>
      <c r="BS181" s="56">
        <f t="shared" si="251"/>
        <v>0</v>
      </c>
      <c r="BT181" s="56">
        <f t="shared" si="251"/>
        <v>0</v>
      </c>
      <c r="BU181" s="56">
        <f t="shared" si="251"/>
        <v>0</v>
      </c>
      <c r="BV181" s="56">
        <f t="shared" si="251"/>
        <v>0</v>
      </c>
      <c r="BW181" s="56">
        <f t="shared" ref="BW181:DB181" si="252">IF(BW$139&gt;=$B$88,$C128,0)</f>
        <v>0</v>
      </c>
      <c r="BX181" s="56">
        <f t="shared" si="252"/>
        <v>0</v>
      </c>
      <c r="BY181" s="56">
        <f t="shared" si="252"/>
        <v>0</v>
      </c>
      <c r="BZ181" s="56">
        <f t="shared" si="252"/>
        <v>0</v>
      </c>
      <c r="CA181" s="56">
        <f t="shared" si="252"/>
        <v>0</v>
      </c>
      <c r="CB181" s="56">
        <f t="shared" si="252"/>
        <v>0</v>
      </c>
      <c r="CC181" s="56">
        <f t="shared" si="252"/>
        <v>0</v>
      </c>
      <c r="CD181" s="56">
        <f t="shared" si="252"/>
        <v>0</v>
      </c>
      <c r="CE181" s="56">
        <f t="shared" si="252"/>
        <v>0</v>
      </c>
      <c r="CF181" s="56">
        <f t="shared" si="252"/>
        <v>0</v>
      </c>
      <c r="CG181" s="56">
        <f t="shared" si="252"/>
        <v>0</v>
      </c>
      <c r="CH181" s="56">
        <f t="shared" si="252"/>
        <v>0</v>
      </c>
      <c r="CI181" s="56">
        <f t="shared" si="252"/>
        <v>0</v>
      </c>
      <c r="CJ181" s="56">
        <f t="shared" si="252"/>
        <v>0</v>
      </c>
      <c r="CK181" s="56">
        <f t="shared" si="252"/>
        <v>0</v>
      </c>
      <c r="CL181" s="56">
        <f t="shared" si="252"/>
        <v>0</v>
      </c>
      <c r="CM181" s="56">
        <f t="shared" si="252"/>
        <v>0</v>
      </c>
      <c r="CN181" s="56">
        <f t="shared" si="252"/>
        <v>0</v>
      </c>
      <c r="CO181" s="56">
        <f t="shared" si="252"/>
        <v>0</v>
      </c>
      <c r="CP181" s="56">
        <f t="shared" si="252"/>
        <v>0</v>
      </c>
      <c r="CQ181" s="56">
        <f t="shared" si="252"/>
        <v>0</v>
      </c>
      <c r="CR181" s="56">
        <f t="shared" si="252"/>
        <v>0</v>
      </c>
      <c r="CS181" s="56">
        <f t="shared" si="252"/>
        <v>0</v>
      </c>
      <c r="CT181" s="56">
        <f t="shared" si="252"/>
        <v>0</v>
      </c>
      <c r="CU181" s="56">
        <f t="shared" si="252"/>
        <v>0</v>
      </c>
      <c r="CV181" s="56">
        <f t="shared" si="252"/>
        <v>0</v>
      </c>
      <c r="CW181" s="56">
        <f t="shared" si="252"/>
        <v>0</v>
      </c>
      <c r="CX181" s="56">
        <f t="shared" si="252"/>
        <v>0</v>
      </c>
      <c r="CY181" s="56">
        <f t="shared" si="252"/>
        <v>0</v>
      </c>
      <c r="CZ181" s="56">
        <f t="shared" si="252"/>
        <v>0</v>
      </c>
      <c r="DA181" s="56">
        <f t="shared" si="252"/>
        <v>0</v>
      </c>
      <c r="DB181" s="56">
        <f t="shared" si="252"/>
        <v>0</v>
      </c>
      <c r="DC181" s="56">
        <f t="shared" ref="DC181:EH181" si="253">IF(DC$139&gt;=$B$88,$C128,0)</f>
        <v>0</v>
      </c>
      <c r="DD181" s="56">
        <f t="shared" si="253"/>
        <v>0</v>
      </c>
      <c r="DE181" s="56">
        <f t="shared" si="253"/>
        <v>0</v>
      </c>
      <c r="DF181" s="56">
        <f t="shared" si="253"/>
        <v>0</v>
      </c>
      <c r="DG181" s="56">
        <f t="shared" si="253"/>
        <v>0</v>
      </c>
      <c r="DH181" s="56">
        <f t="shared" si="253"/>
        <v>0</v>
      </c>
      <c r="DI181" s="56">
        <f t="shared" si="253"/>
        <v>0</v>
      </c>
      <c r="DJ181" s="56">
        <f t="shared" si="253"/>
        <v>0</v>
      </c>
      <c r="DK181" s="56">
        <f t="shared" si="253"/>
        <v>0</v>
      </c>
      <c r="DL181" s="56">
        <f t="shared" si="253"/>
        <v>0</v>
      </c>
      <c r="DM181" s="56">
        <f t="shared" si="253"/>
        <v>0</v>
      </c>
      <c r="DN181" s="56">
        <f t="shared" si="253"/>
        <v>0</v>
      </c>
      <c r="DO181" s="56">
        <f t="shared" si="253"/>
        <v>0</v>
      </c>
      <c r="DP181" s="56">
        <f t="shared" si="253"/>
        <v>0</v>
      </c>
      <c r="DQ181" s="56">
        <f t="shared" ca="1" si="253"/>
        <v>1.6210526315789473</v>
      </c>
      <c r="DR181" s="56">
        <f t="shared" ca="1" si="253"/>
        <v>1.6210526315789473</v>
      </c>
      <c r="DS181" s="56">
        <f t="shared" ca="1" si="253"/>
        <v>1.6210526315789473</v>
      </c>
      <c r="DT181" s="56">
        <f t="shared" ca="1" si="253"/>
        <v>1.6210526315789473</v>
      </c>
      <c r="DU181" s="56">
        <f t="shared" ca="1" si="253"/>
        <v>1.6210526315789473</v>
      </c>
      <c r="DV181" s="56">
        <f t="shared" ca="1" si="253"/>
        <v>1.6210526315789473</v>
      </c>
      <c r="DW181" s="56">
        <f t="shared" ca="1" si="253"/>
        <v>1.6210526315789473</v>
      </c>
      <c r="DX181" s="56">
        <f t="shared" ca="1" si="253"/>
        <v>1.6210526315789473</v>
      </c>
      <c r="DY181" s="56">
        <f t="shared" ca="1" si="253"/>
        <v>1.6210526315789473</v>
      </c>
      <c r="DZ181" s="56">
        <f t="shared" ca="1" si="253"/>
        <v>1.6210526315789473</v>
      </c>
      <c r="EA181" s="56">
        <f t="shared" ca="1" si="253"/>
        <v>1.6210526315789473</v>
      </c>
      <c r="EB181" s="56">
        <f t="shared" ca="1" si="253"/>
        <v>1.6210526315789473</v>
      </c>
      <c r="EC181" s="56">
        <f t="shared" ca="1" si="253"/>
        <v>1.6210526315789473</v>
      </c>
      <c r="ED181" s="56">
        <f t="shared" ca="1" si="253"/>
        <v>1.6210526315789473</v>
      </c>
      <c r="EE181" s="56">
        <f t="shared" ca="1" si="253"/>
        <v>1.6210526315789473</v>
      </c>
      <c r="EF181" s="56">
        <f t="shared" ca="1" si="253"/>
        <v>1.6210526315789473</v>
      </c>
      <c r="EG181" s="56">
        <f t="shared" ca="1" si="253"/>
        <v>1.6210526315789473</v>
      </c>
      <c r="EH181" s="56">
        <f t="shared" ca="1" si="253"/>
        <v>1.6210526315789473</v>
      </c>
      <c r="EI181" s="56">
        <f t="shared" ref="EI181:FN181" ca="1" si="254">IF(EI$139&gt;=$B$88,$C128,0)</f>
        <v>1.6210526315789473</v>
      </c>
      <c r="EJ181" s="56">
        <f t="shared" ca="1" si="254"/>
        <v>1.6210526315789473</v>
      </c>
      <c r="EK181" s="56">
        <f t="shared" ca="1" si="254"/>
        <v>1.6210526315789473</v>
      </c>
      <c r="EL181" s="56">
        <f t="shared" ca="1" si="254"/>
        <v>1.6210526315789473</v>
      </c>
      <c r="EM181" s="56">
        <f t="shared" ca="1" si="254"/>
        <v>1.6210526315789473</v>
      </c>
      <c r="EN181" s="56">
        <f t="shared" ca="1" si="254"/>
        <v>1.6210526315789473</v>
      </c>
      <c r="EO181" s="56">
        <f t="shared" ca="1" si="254"/>
        <v>1.6210526315789473</v>
      </c>
      <c r="EP181" s="56">
        <f t="shared" ca="1" si="254"/>
        <v>1.6210526315789473</v>
      </c>
      <c r="EQ181" s="56">
        <f t="shared" ca="1" si="254"/>
        <v>1.6210526315789473</v>
      </c>
      <c r="ER181" s="56">
        <f t="shared" ca="1" si="254"/>
        <v>1.6210526315789473</v>
      </c>
      <c r="ES181" s="56">
        <f t="shared" ca="1" si="254"/>
        <v>1.6210526315789473</v>
      </c>
      <c r="ET181" s="56">
        <f t="shared" ca="1" si="254"/>
        <v>1.6210526315789473</v>
      </c>
      <c r="EU181" s="56">
        <f t="shared" ca="1" si="254"/>
        <v>1.6210526315789473</v>
      </c>
      <c r="EV181" s="56">
        <f t="shared" ca="1" si="254"/>
        <v>1.6210526315789473</v>
      </c>
      <c r="EW181" s="56">
        <f t="shared" ca="1" si="254"/>
        <v>1.6210526315789473</v>
      </c>
      <c r="EX181" s="56">
        <f t="shared" ca="1" si="254"/>
        <v>1.6210526315789473</v>
      </c>
      <c r="EY181" s="56">
        <f t="shared" ca="1" si="254"/>
        <v>1.6210526315789473</v>
      </c>
      <c r="EZ181" s="56">
        <f t="shared" ca="1" si="254"/>
        <v>1.6210526315789473</v>
      </c>
      <c r="FA181" s="56">
        <f t="shared" ca="1" si="254"/>
        <v>1.6210526315789473</v>
      </c>
      <c r="FB181" s="56">
        <f t="shared" ca="1" si="254"/>
        <v>1.6210526315789473</v>
      </c>
      <c r="FC181" s="56">
        <f t="shared" ca="1" si="254"/>
        <v>1.6210526315789473</v>
      </c>
      <c r="FD181" s="56">
        <f t="shared" ca="1" si="254"/>
        <v>1.6210526315789473</v>
      </c>
      <c r="FE181" s="56">
        <f t="shared" ca="1" si="254"/>
        <v>1.6210526315789473</v>
      </c>
      <c r="FF181" s="56">
        <f t="shared" ca="1" si="254"/>
        <v>1.6210526315789473</v>
      </c>
      <c r="FG181" s="56">
        <f t="shared" ca="1" si="254"/>
        <v>1.6210526315789473</v>
      </c>
      <c r="FH181" s="56">
        <f t="shared" ca="1" si="254"/>
        <v>1.6210526315789473</v>
      </c>
      <c r="FI181" s="56">
        <f t="shared" ca="1" si="254"/>
        <v>1.6210526315789473</v>
      </c>
      <c r="FJ181" s="56">
        <f t="shared" ca="1" si="254"/>
        <v>1.6210526315789473</v>
      </c>
      <c r="FK181" s="56">
        <f t="shared" ca="1" si="254"/>
        <v>1.6210526315789473</v>
      </c>
      <c r="FL181" s="56">
        <f t="shared" ca="1" si="254"/>
        <v>1.6210526315789473</v>
      </c>
      <c r="FM181" s="56">
        <f t="shared" ca="1" si="254"/>
        <v>1.6210526315789473</v>
      </c>
      <c r="FN181" s="56">
        <f t="shared" ca="1" si="254"/>
        <v>1.6210526315789473</v>
      </c>
      <c r="FO181" s="56">
        <f t="shared" ref="FO181:GP181" ca="1" si="255">IF(FO$139&gt;=$B$88,$C128,0)</f>
        <v>1.6210526315789473</v>
      </c>
      <c r="FP181" s="56">
        <f t="shared" ca="1" si="255"/>
        <v>1.6210526315789473</v>
      </c>
      <c r="FQ181" s="56">
        <f t="shared" ca="1" si="255"/>
        <v>1.6210526315789473</v>
      </c>
      <c r="FR181" s="56">
        <f t="shared" ca="1" si="255"/>
        <v>1.6210526315789473</v>
      </c>
      <c r="FS181" s="56">
        <f t="shared" ca="1" si="255"/>
        <v>1.6210526315789473</v>
      </c>
      <c r="FT181" s="56">
        <f t="shared" ca="1" si="255"/>
        <v>1.6210526315789473</v>
      </c>
      <c r="FU181" s="56">
        <f t="shared" ca="1" si="255"/>
        <v>1.6210526315789473</v>
      </c>
      <c r="FV181" s="56">
        <f t="shared" ca="1" si="255"/>
        <v>1.6210526315789473</v>
      </c>
      <c r="FW181" s="56">
        <f t="shared" ca="1" si="255"/>
        <v>1.6210526315789473</v>
      </c>
      <c r="FX181" s="56">
        <f t="shared" ca="1" si="255"/>
        <v>1.6210526315789473</v>
      </c>
      <c r="FY181" s="56">
        <f t="shared" ca="1" si="255"/>
        <v>1.6210526315789473</v>
      </c>
      <c r="FZ181" s="56">
        <f t="shared" ca="1" si="255"/>
        <v>1.6210526315789473</v>
      </c>
      <c r="GA181" s="56">
        <f t="shared" ca="1" si="255"/>
        <v>1.6210526315789473</v>
      </c>
      <c r="GB181" s="56">
        <f t="shared" ca="1" si="255"/>
        <v>1.6210526315789473</v>
      </c>
      <c r="GC181" s="56">
        <f t="shared" ca="1" si="255"/>
        <v>1.6210526315789473</v>
      </c>
      <c r="GD181" s="56">
        <f t="shared" ca="1" si="255"/>
        <v>1.6210526315789473</v>
      </c>
      <c r="GE181" s="56">
        <f t="shared" ca="1" si="255"/>
        <v>1.6210526315789473</v>
      </c>
      <c r="GF181" s="56">
        <f t="shared" ca="1" si="255"/>
        <v>1.6210526315789473</v>
      </c>
      <c r="GG181" s="56">
        <f t="shared" ca="1" si="255"/>
        <v>1.6210526315789473</v>
      </c>
      <c r="GH181" s="56">
        <f t="shared" ca="1" si="255"/>
        <v>1.6210526315789473</v>
      </c>
      <c r="GI181" s="56">
        <f t="shared" ca="1" si="255"/>
        <v>1.6210526315789473</v>
      </c>
      <c r="GJ181" s="56">
        <f t="shared" ca="1" si="255"/>
        <v>1.6210526315789473</v>
      </c>
      <c r="GK181" s="56">
        <f t="shared" ca="1" si="255"/>
        <v>1.6210526315789473</v>
      </c>
      <c r="GL181" s="56">
        <f t="shared" ca="1" si="255"/>
        <v>1.6210526315789473</v>
      </c>
      <c r="GM181" s="56">
        <f t="shared" ca="1" si="255"/>
        <v>1.6210526315789473</v>
      </c>
      <c r="GN181" s="56">
        <f t="shared" ca="1" si="255"/>
        <v>1.6210526315789473</v>
      </c>
      <c r="GO181" s="56">
        <f t="shared" ca="1" si="255"/>
        <v>1.6210526315789473</v>
      </c>
      <c r="GP181" s="56">
        <f t="shared" ca="1" si="255"/>
        <v>1.6210526315789473</v>
      </c>
    </row>
    <row r="182" spans="1:198" x14ac:dyDescent="0.35">
      <c r="A182" s="55" t="str">
        <f t="shared" si="165"/>
        <v>USA &gt; available in future</v>
      </c>
      <c r="B182" s="55" t="s">
        <v>298</v>
      </c>
      <c r="K182" s="56">
        <f t="shared" ref="K182:AP182" ca="1" si="256">IF(K$139&lt;=$B$82+$B$83-1,$C129,0)</f>
        <v>17.021052631578947</v>
      </c>
      <c r="L182" s="56">
        <f t="shared" ca="1" si="256"/>
        <v>17.021052631578947</v>
      </c>
      <c r="M182" s="56">
        <f t="shared" ca="1" si="256"/>
        <v>17.021052631578947</v>
      </c>
      <c r="N182" s="56">
        <f t="shared" ca="1" si="256"/>
        <v>17.021052631578947</v>
      </c>
      <c r="O182" s="56">
        <f t="shared" ca="1" si="256"/>
        <v>17.021052631578947</v>
      </c>
      <c r="P182" s="56">
        <f t="shared" ca="1" si="256"/>
        <v>17.021052631578947</v>
      </c>
      <c r="Q182" s="56">
        <f t="shared" ca="1" si="256"/>
        <v>17.021052631578947</v>
      </c>
      <c r="R182" s="56">
        <f t="shared" ca="1" si="256"/>
        <v>17.021052631578947</v>
      </c>
      <c r="S182" s="56">
        <f t="shared" ca="1" si="256"/>
        <v>17.021052631578947</v>
      </c>
      <c r="T182" s="56">
        <f t="shared" ca="1" si="256"/>
        <v>17.021052631578947</v>
      </c>
      <c r="U182" s="56">
        <f t="shared" ca="1" si="256"/>
        <v>17.021052631578947</v>
      </c>
      <c r="V182" s="56">
        <f t="shared" ca="1" si="256"/>
        <v>17.021052631578947</v>
      </c>
      <c r="W182" s="56">
        <f t="shared" ca="1" si="256"/>
        <v>17.021052631578947</v>
      </c>
      <c r="X182" s="56">
        <f t="shared" ca="1" si="256"/>
        <v>17.021052631578947</v>
      </c>
      <c r="Y182" s="56">
        <f t="shared" ca="1" si="256"/>
        <v>17.021052631578947</v>
      </c>
      <c r="Z182" s="56">
        <f t="shared" ca="1" si="256"/>
        <v>17.021052631578947</v>
      </c>
      <c r="AA182" s="56">
        <f t="shared" ca="1" si="256"/>
        <v>17.021052631578947</v>
      </c>
      <c r="AB182" s="56">
        <f t="shared" ca="1" si="256"/>
        <v>17.021052631578947</v>
      </c>
      <c r="AC182" s="56">
        <f t="shared" ca="1" si="256"/>
        <v>17.021052631578947</v>
      </c>
      <c r="AD182" s="56">
        <f t="shared" ca="1" si="256"/>
        <v>17.021052631578947</v>
      </c>
      <c r="AE182" s="56">
        <f t="shared" ca="1" si="256"/>
        <v>17.021052631578947</v>
      </c>
      <c r="AF182" s="56">
        <f t="shared" ca="1" si="256"/>
        <v>17.021052631578947</v>
      </c>
      <c r="AG182" s="56">
        <f t="shared" ca="1" si="256"/>
        <v>17.021052631578947</v>
      </c>
      <c r="AH182" s="56">
        <f t="shared" ca="1" si="256"/>
        <v>17.021052631578947</v>
      </c>
      <c r="AI182" s="56">
        <f t="shared" ca="1" si="256"/>
        <v>17.021052631578947</v>
      </c>
      <c r="AJ182" s="56">
        <f t="shared" ca="1" si="256"/>
        <v>17.021052631578947</v>
      </c>
      <c r="AK182" s="56">
        <f t="shared" ca="1" si="256"/>
        <v>17.021052631578947</v>
      </c>
      <c r="AL182" s="56">
        <f t="shared" ca="1" si="256"/>
        <v>17.021052631578947</v>
      </c>
      <c r="AM182" s="56">
        <f t="shared" ca="1" si="256"/>
        <v>17.021052631578947</v>
      </c>
      <c r="AN182" s="56">
        <f t="shared" ca="1" si="256"/>
        <v>17.021052631578947</v>
      </c>
      <c r="AO182" s="56">
        <f t="shared" ca="1" si="256"/>
        <v>17.021052631578947</v>
      </c>
      <c r="AP182" s="56">
        <f t="shared" ca="1" si="256"/>
        <v>17.021052631578947</v>
      </c>
      <c r="AQ182" s="56">
        <f t="shared" ref="AQ182:BV182" ca="1" si="257">IF(AQ$139&lt;=$B$82+$B$83-1,$C129,0)</f>
        <v>17.021052631578947</v>
      </c>
      <c r="AR182" s="56">
        <f t="shared" ca="1" si="257"/>
        <v>17.021052631578947</v>
      </c>
      <c r="AS182" s="56">
        <f t="shared" ca="1" si="257"/>
        <v>17.021052631578947</v>
      </c>
      <c r="AT182" s="56">
        <f t="shared" ca="1" si="257"/>
        <v>17.021052631578947</v>
      </c>
      <c r="AU182" s="56">
        <f t="shared" ca="1" si="257"/>
        <v>17.021052631578947</v>
      </c>
      <c r="AV182" s="56">
        <f t="shared" ca="1" si="257"/>
        <v>17.021052631578947</v>
      </c>
      <c r="AW182" s="56">
        <f t="shared" ca="1" si="257"/>
        <v>17.021052631578947</v>
      </c>
      <c r="AX182" s="56">
        <f t="shared" ca="1" si="257"/>
        <v>17.021052631578947</v>
      </c>
      <c r="AY182" s="56">
        <f t="shared" ca="1" si="257"/>
        <v>17.021052631578947</v>
      </c>
      <c r="AZ182" s="56">
        <f t="shared" ca="1" si="257"/>
        <v>17.021052631578947</v>
      </c>
      <c r="BA182" s="56">
        <f t="shared" ca="1" si="257"/>
        <v>17.021052631578947</v>
      </c>
      <c r="BB182" s="56">
        <f t="shared" ca="1" si="257"/>
        <v>17.021052631578947</v>
      </c>
      <c r="BC182" s="56">
        <f t="shared" ca="1" si="257"/>
        <v>17.021052631578947</v>
      </c>
      <c r="BD182" s="56">
        <f t="shared" ca="1" si="257"/>
        <v>17.021052631578947</v>
      </c>
      <c r="BE182" s="56">
        <f t="shared" ca="1" si="257"/>
        <v>17.021052631578947</v>
      </c>
      <c r="BF182" s="56">
        <f t="shared" ca="1" si="257"/>
        <v>17.021052631578947</v>
      </c>
      <c r="BG182" s="56">
        <f t="shared" ca="1" si="257"/>
        <v>17.021052631578947</v>
      </c>
      <c r="BH182" s="56">
        <f t="shared" ca="1" si="257"/>
        <v>17.021052631578947</v>
      </c>
      <c r="BI182" s="56">
        <f t="shared" ca="1" si="257"/>
        <v>17.021052631578947</v>
      </c>
      <c r="BJ182" s="56">
        <f t="shared" ca="1" si="257"/>
        <v>17.021052631578947</v>
      </c>
      <c r="BK182" s="56">
        <f t="shared" ca="1" si="257"/>
        <v>17.021052631578947</v>
      </c>
      <c r="BL182" s="56">
        <f t="shared" ca="1" si="257"/>
        <v>17.021052631578947</v>
      </c>
      <c r="BM182" s="56">
        <f t="shared" ca="1" si="257"/>
        <v>17.021052631578947</v>
      </c>
      <c r="BN182" s="56">
        <f t="shared" ca="1" si="257"/>
        <v>17.021052631578947</v>
      </c>
      <c r="BO182" s="56">
        <f t="shared" ca="1" si="257"/>
        <v>17.021052631578947</v>
      </c>
      <c r="BP182" s="56">
        <f t="shared" ca="1" si="257"/>
        <v>17.021052631578947</v>
      </c>
      <c r="BQ182" s="56">
        <f t="shared" ca="1" si="257"/>
        <v>17.021052631578947</v>
      </c>
      <c r="BR182" s="56">
        <f t="shared" ca="1" si="257"/>
        <v>17.021052631578947</v>
      </c>
      <c r="BS182" s="56">
        <f t="shared" ca="1" si="257"/>
        <v>17.021052631578947</v>
      </c>
      <c r="BT182" s="56">
        <f t="shared" ca="1" si="257"/>
        <v>17.021052631578947</v>
      </c>
      <c r="BU182" s="56">
        <f t="shared" ca="1" si="257"/>
        <v>17.021052631578947</v>
      </c>
      <c r="BV182" s="56">
        <f t="shared" ca="1" si="257"/>
        <v>17.021052631578947</v>
      </c>
      <c r="BW182" s="56">
        <f t="shared" ref="BW182:DB182" ca="1" si="258">IF(BW$139&lt;=$B$82+$B$83-1,$C129,0)</f>
        <v>17.021052631578947</v>
      </c>
      <c r="BX182" s="56">
        <f t="shared" ca="1" si="258"/>
        <v>17.021052631578947</v>
      </c>
      <c r="BY182" s="56">
        <f t="shared" ca="1" si="258"/>
        <v>17.021052631578947</v>
      </c>
      <c r="BZ182" s="56">
        <f t="shared" ca="1" si="258"/>
        <v>17.021052631578947</v>
      </c>
      <c r="CA182" s="56">
        <f t="shared" ca="1" si="258"/>
        <v>17.021052631578947</v>
      </c>
      <c r="CB182" s="56">
        <f t="shared" ca="1" si="258"/>
        <v>17.021052631578947</v>
      </c>
      <c r="CC182" s="56">
        <f t="shared" ca="1" si="258"/>
        <v>17.021052631578947</v>
      </c>
      <c r="CD182" s="56">
        <f t="shared" ca="1" si="258"/>
        <v>17.021052631578947</v>
      </c>
      <c r="CE182" s="56">
        <f t="shared" ca="1" si="258"/>
        <v>17.021052631578947</v>
      </c>
      <c r="CF182" s="56">
        <f t="shared" ca="1" si="258"/>
        <v>17.021052631578947</v>
      </c>
      <c r="CG182" s="56">
        <f t="shared" ca="1" si="258"/>
        <v>17.021052631578947</v>
      </c>
      <c r="CH182" s="56">
        <f t="shared" ca="1" si="258"/>
        <v>17.021052631578947</v>
      </c>
      <c r="CI182" s="56">
        <f t="shared" ca="1" si="258"/>
        <v>17.021052631578947</v>
      </c>
      <c r="CJ182" s="56">
        <f t="shared" ca="1" si="258"/>
        <v>17.021052631578947</v>
      </c>
      <c r="CK182" s="56">
        <f t="shared" si="258"/>
        <v>0</v>
      </c>
      <c r="CL182" s="56">
        <f t="shared" si="258"/>
        <v>0</v>
      </c>
      <c r="CM182" s="56">
        <f t="shared" si="258"/>
        <v>0</v>
      </c>
      <c r="CN182" s="56">
        <f t="shared" si="258"/>
        <v>0</v>
      </c>
      <c r="CO182" s="56">
        <f t="shared" si="258"/>
        <v>0</v>
      </c>
      <c r="CP182" s="56">
        <f t="shared" si="258"/>
        <v>0</v>
      </c>
      <c r="CQ182" s="56">
        <f t="shared" si="258"/>
        <v>0</v>
      </c>
      <c r="CR182" s="56">
        <f t="shared" si="258"/>
        <v>0</v>
      </c>
      <c r="CS182" s="56">
        <f t="shared" si="258"/>
        <v>0</v>
      </c>
      <c r="CT182" s="56">
        <f t="shared" si="258"/>
        <v>0</v>
      </c>
      <c r="CU182" s="56">
        <f t="shared" si="258"/>
        <v>0</v>
      </c>
      <c r="CV182" s="56">
        <f t="shared" si="258"/>
        <v>0</v>
      </c>
      <c r="CW182" s="56">
        <f t="shared" si="258"/>
        <v>0</v>
      </c>
      <c r="CX182" s="56">
        <f t="shared" si="258"/>
        <v>0</v>
      </c>
      <c r="CY182" s="56">
        <f t="shared" si="258"/>
        <v>0</v>
      </c>
      <c r="CZ182" s="56">
        <f t="shared" si="258"/>
        <v>0</v>
      </c>
      <c r="DA182" s="56">
        <f t="shared" si="258"/>
        <v>0</v>
      </c>
      <c r="DB182" s="56">
        <f t="shared" si="258"/>
        <v>0</v>
      </c>
      <c r="DC182" s="56">
        <f t="shared" ref="DC182:EH182" si="259">IF(DC$139&lt;=$B$82+$B$83-1,$C129,0)</f>
        <v>0</v>
      </c>
      <c r="DD182" s="56">
        <f t="shared" si="259"/>
        <v>0</v>
      </c>
      <c r="DE182" s="56">
        <f t="shared" si="259"/>
        <v>0</v>
      </c>
      <c r="DF182" s="56">
        <f t="shared" si="259"/>
        <v>0</v>
      </c>
      <c r="DG182" s="56">
        <f t="shared" si="259"/>
        <v>0</v>
      </c>
      <c r="DH182" s="56">
        <f t="shared" si="259"/>
        <v>0</v>
      </c>
      <c r="DI182" s="56">
        <f t="shared" si="259"/>
        <v>0</v>
      </c>
      <c r="DJ182" s="56">
        <f t="shared" si="259"/>
        <v>0</v>
      </c>
      <c r="DK182" s="56">
        <f t="shared" si="259"/>
        <v>0</v>
      </c>
      <c r="DL182" s="56">
        <f t="shared" si="259"/>
        <v>0</v>
      </c>
      <c r="DM182" s="56">
        <f t="shared" si="259"/>
        <v>0</v>
      </c>
      <c r="DN182" s="56">
        <f t="shared" si="259"/>
        <v>0</v>
      </c>
      <c r="DO182" s="56">
        <f t="shared" si="259"/>
        <v>0</v>
      </c>
      <c r="DP182" s="56">
        <f t="shared" si="259"/>
        <v>0</v>
      </c>
      <c r="DQ182" s="56">
        <f t="shared" si="259"/>
        <v>0</v>
      </c>
      <c r="DR182" s="56">
        <f t="shared" si="259"/>
        <v>0</v>
      </c>
      <c r="DS182" s="56">
        <f t="shared" si="259"/>
        <v>0</v>
      </c>
      <c r="DT182" s="56">
        <f t="shared" si="259"/>
        <v>0</v>
      </c>
      <c r="DU182" s="56">
        <f t="shared" si="259"/>
        <v>0</v>
      </c>
      <c r="DV182" s="56">
        <f t="shared" si="259"/>
        <v>0</v>
      </c>
      <c r="DW182" s="56">
        <f t="shared" si="259"/>
        <v>0</v>
      </c>
      <c r="DX182" s="56">
        <f t="shared" si="259"/>
        <v>0</v>
      </c>
      <c r="DY182" s="56">
        <f t="shared" si="259"/>
        <v>0</v>
      </c>
      <c r="DZ182" s="56">
        <f t="shared" si="259"/>
        <v>0</v>
      </c>
      <c r="EA182" s="56">
        <f t="shared" si="259"/>
        <v>0</v>
      </c>
      <c r="EB182" s="56">
        <f t="shared" si="259"/>
        <v>0</v>
      </c>
      <c r="EC182" s="56">
        <f t="shared" si="259"/>
        <v>0</v>
      </c>
      <c r="ED182" s="56">
        <f t="shared" si="259"/>
        <v>0</v>
      </c>
      <c r="EE182" s="56">
        <f t="shared" si="259"/>
        <v>0</v>
      </c>
      <c r="EF182" s="56">
        <f t="shared" si="259"/>
        <v>0</v>
      </c>
      <c r="EG182" s="56">
        <f t="shared" si="259"/>
        <v>0</v>
      </c>
      <c r="EH182" s="56">
        <f t="shared" si="259"/>
        <v>0</v>
      </c>
      <c r="EI182" s="56">
        <f t="shared" ref="EI182:FN182" si="260">IF(EI$139&lt;=$B$82+$B$83-1,$C129,0)</f>
        <v>0</v>
      </c>
      <c r="EJ182" s="56">
        <f t="shared" si="260"/>
        <v>0</v>
      </c>
      <c r="EK182" s="56">
        <f t="shared" si="260"/>
        <v>0</v>
      </c>
      <c r="EL182" s="56">
        <f t="shared" si="260"/>
        <v>0</v>
      </c>
      <c r="EM182" s="56">
        <f t="shared" si="260"/>
        <v>0</v>
      </c>
      <c r="EN182" s="56">
        <f t="shared" si="260"/>
        <v>0</v>
      </c>
      <c r="EO182" s="56">
        <f t="shared" si="260"/>
        <v>0</v>
      </c>
      <c r="EP182" s="56">
        <f t="shared" si="260"/>
        <v>0</v>
      </c>
      <c r="EQ182" s="56">
        <f t="shared" si="260"/>
        <v>0</v>
      </c>
      <c r="ER182" s="56">
        <f t="shared" si="260"/>
        <v>0</v>
      </c>
      <c r="ES182" s="56">
        <f t="shared" si="260"/>
        <v>0</v>
      </c>
      <c r="ET182" s="56">
        <f t="shared" si="260"/>
        <v>0</v>
      </c>
      <c r="EU182" s="56">
        <f t="shared" si="260"/>
        <v>0</v>
      </c>
      <c r="EV182" s="56">
        <f t="shared" si="260"/>
        <v>0</v>
      </c>
      <c r="EW182" s="56">
        <f t="shared" si="260"/>
        <v>0</v>
      </c>
      <c r="EX182" s="56">
        <f t="shared" si="260"/>
        <v>0</v>
      </c>
      <c r="EY182" s="56">
        <f t="shared" si="260"/>
        <v>0</v>
      </c>
      <c r="EZ182" s="56">
        <f t="shared" si="260"/>
        <v>0</v>
      </c>
      <c r="FA182" s="56">
        <f t="shared" si="260"/>
        <v>0</v>
      </c>
      <c r="FB182" s="56">
        <f t="shared" si="260"/>
        <v>0</v>
      </c>
      <c r="FC182" s="56">
        <f t="shared" si="260"/>
        <v>0</v>
      </c>
      <c r="FD182" s="56">
        <f t="shared" si="260"/>
        <v>0</v>
      </c>
      <c r="FE182" s="56">
        <f t="shared" si="260"/>
        <v>0</v>
      </c>
      <c r="FF182" s="56">
        <f t="shared" si="260"/>
        <v>0</v>
      </c>
      <c r="FG182" s="56">
        <f t="shared" si="260"/>
        <v>0</v>
      </c>
      <c r="FH182" s="56">
        <f t="shared" si="260"/>
        <v>0</v>
      </c>
      <c r="FI182" s="56">
        <f t="shared" si="260"/>
        <v>0</v>
      </c>
      <c r="FJ182" s="56">
        <f t="shared" si="260"/>
        <v>0</v>
      </c>
      <c r="FK182" s="56">
        <f t="shared" si="260"/>
        <v>0</v>
      </c>
      <c r="FL182" s="56">
        <f t="shared" si="260"/>
        <v>0</v>
      </c>
      <c r="FM182" s="56">
        <f t="shared" si="260"/>
        <v>0</v>
      </c>
      <c r="FN182" s="56">
        <f t="shared" si="260"/>
        <v>0</v>
      </c>
      <c r="FO182" s="56">
        <f t="shared" ref="FO182:GP182" si="261">IF(FO$139&lt;=$B$82+$B$83-1,$C129,0)</f>
        <v>0</v>
      </c>
      <c r="FP182" s="56">
        <f t="shared" si="261"/>
        <v>0</v>
      </c>
      <c r="FQ182" s="56">
        <f t="shared" si="261"/>
        <v>0</v>
      </c>
      <c r="FR182" s="56">
        <f t="shared" si="261"/>
        <v>0</v>
      </c>
      <c r="FS182" s="56">
        <f t="shared" si="261"/>
        <v>0</v>
      </c>
      <c r="FT182" s="56">
        <f t="shared" si="261"/>
        <v>0</v>
      </c>
      <c r="FU182" s="56">
        <f t="shared" si="261"/>
        <v>0</v>
      </c>
      <c r="FV182" s="56">
        <f t="shared" si="261"/>
        <v>0</v>
      </c>
      <c r="FW182" s="56">
        <f t="shared" si="261"/>
        <v>0</v>
      </c>
      <c r="FX182" s="56">
        <f t="shared" si="261"/>
        <v>0</v>
      </c>
      <c r="FY182" s="56">
        <f t="shared" si="261"/>
        <v>0</v>
      </c>
      <c r="FZ182" s="56">
        <f t="shared" si="261"/>
        <v>0</v>
      </c>
      <c r="GA182" s="56">
        <f t="shared" si="261"/>
        <v>0</v>
      </c>
      <c r="GB182" s="56">
        <f t="shared" si="261"/>
        <v>0</v>
      </c>
      <c r="GC182" s="56">
        <f t="shared" si="261"/>
        <v>0</v>
      </c>
      <c r="GD182" s="56">
        <f t="shared" si="261"/>
        <v>0</v>
      </c>
      <c r="GE182" s="56">
        <f t="shared" si="261"/>
        <v>0</v>
      </c>
      <c r="GF182" s="56">
        <f t="shared" si="261"/>
        <v>0</v>
      </c>
      <c r="GG182" s="56">
        <f t="shared" si="261"/>
        <v>0</v>
      </c>
      <c r="GH182" s="56">
        <f t="shared" si="261"/>
        <v>0</v>
      </c>
      <c r="GI182" s="56">
        <f t="shared" si="261"/>
        <v>0</v>
      </c>
      <c r="GJ182" s="56">
        <f t="shared" si="261"/>
        <v>0</v>
      </c>
      <c r="GK182" s="56">
        <f t="shared" si="261"/>
        <v>0</v>
      </c>
      <c r="GL182" s="56">
        <f t="shared" si="261"/>
        <v>0</v>
      </c>
      <c r="GM182" s="56">
        <f t="shared" si="261"/>
        <v>0</v>
      </c>
      <c r="GN182" s="56">
        <f t="shared" si="261"/>
        <v>0</v>
      </c>
      <c r="GO182" s="56">
        <f t="shared" si="261"/>
        <v>0</v>
      </c>
      <c r="GP182" s="56">
        <f t="shared" si="261"/>
        <v>0</v>
      </c>
    </row>
    <row r="183" spans="1:198" x14ac:dyDescent="0.35">
      <c r="A183" s="55" t="str">
        <f t="shared" si="165"/>
        <v>India &gt; available in future</v>
      </c>
      <c r="B183" s="55" t="s">
        <v>298</v>
      </c>
      <c r="K183" s="56">
        <f t="shared" ref="K183:AP183" ca="1" si="262">IF(K$139&lt;=$B$82+$B$83-1,$C130,0)</f>
        <v>0</v>
      </c>
      <c r="L183" s="56">
        <f t="shared" ca="1" si="262"/>
        <v>0</v>
      </c>
      <c r="M183" s="56">
        <f t="shared" ca="1" si="262"/>
        <v>0</v>
      </c>
      <c r="N183" s="56">
        <f t="shared" ca="1" si="262"/>
        <v>0</v>
      </c>
      <c r="O183" s="56">
        <f t="shared" ca="1" si="262"/>
        <v>0</v>
      </c>
      <c r="P183" s="56">
        <f t="shared" ca="1" si="262"/>
        <v>0</v>
      </c>
      <c r="Q183" s="56">
        <f t="shared" ca="1" si="262"/>
        <v>0</v>
      </c>
      <c r="R183" s="56">
        <f t="shared" ca="1" si="262"/>
        <v>0</v>
      </c>
      <c r="S183" s="56">
        <f t="shared" ca="1" si="262"/>
        <v>0</v>
      </c>
      <c r="T183" s="56">
        <f t="shared" ca="1" si="262"/>
        <v>0</v>
      </c>
      <c r="U183" s="56">
        <f t="shared" ca="1" si="262"/>
        <v>0</v>
      </c>
      <c r="V183" s="56">
        <f t="shared" ca="1" si="262"/>
        <v>0</v>
      </c>
      <c r="W183" s="56">
        <f t="shared" ca="1" si="262"/>
        <v>0</v>
      </c>
      <c r="X183" s="56">
        <f t="shared" ca="1" si="262"/>
        <v>0</v>
      </c>
      <c r="Y183" s="56">
        <f t="shared" ca="1" si="262"/>
        <v>0</v>
      </c>
      <c r="Z183" s="56">
        <f t="shared" ca="1" si="262"/>
        <v>0</v>
      </c>
      <c r="AA183" s="56">
        <f t="shared" ca="1" si="262"/>
        <v>0</v>
      </c>
      <c r="AB183" s="56">
        <f t="shared" ca="1" si="262"/>
        <v>0</v>
      </c>
      <c r="AC183" s="56">
        <f t="shared" ca="1" si="262"/>
        <v>0</v>
      </c>
      <c r="AD183" s="56">
        <f t="shared" ca="1" si="262"/>
        <v>0</v>
      </c>
      <c r="AE183" s="56">
        <f t="shared" ca="1" si="262"/>
        <v>0</v>
      </c>
      <c r="AF183" s="56">
        <f t="shared" ca="1" si="262"/>
        <v>0</v>
      </c>
      <c r="AG183" s="56">
        <f t="shared" ca="1" si="262"/>
        <v>0</v>
      </c>
      <c r="AH183" s="56">
        <f t="shared" ca="1" si="262"/>
        <v>0</v>
      </c>
      <c r="AI183" s="56">
        <f t="shared" ca="1" si="262"/>
        <v>0</v>
      </c>
      <c r="AJ183" s="56">
        <f t="shared" ca="1" si="262"/>
        <v>0</v>
      </c>
      <c r="AK183" s="56">
        <f t="shared" ca="1" si="262"/>
        <v>0</v>
      </c>
      <c r="AL183" s="56">
        <f t="shared" ca="1" si="262"/>
        <v>0</v>
      </c>
      <c r="AM183" s="56">
        <f t="shared" ca="1" si="262"/>
        <v>0</v>
      </c>
      <c r="AN183" s="56">
        <f t="shared" ca="1" si="262"/>
        <v>0</v>
      </c>
      <c r="AO183" s="56">
        <f t="shared" ca="1" si="262"/>
        <v>0</v>
      </c>
      <c r="AP183" s="56">
        <f t="shared" ca="1" si="262"/>
        <v>0</v>
      </c>
      <c r="AQ183" s="56">
        <f t="shared" ref="AQ183:BV183" ca="1" si="263">IF(AQ$139&lt;=$B$82+$B$83-1,$C130,0)</f>
        <v>0</v>
      </c>
      <c r="AR183" s="56">
        <f t="shared" ca="1" si="263"/>
        <v>0</v>
      </c>
      <c r="AS183" s="56">
        <f t="shared" ca="1" si="263"/>
        <v>0</v>
      </c>
      <c r="AT183" s="56">
        <f t="shared" ca="1" si="263"/>
        <v>0</v>
      </c>
      <c r="AU183" s="56">
        <f t="shared" ca="1" si="263"/>
        <v>0</v>
      </c>
      <c r="AV183" s="56">
        <f t="shared" ca="1" si="263"/>
        <v>0</v>
      </c>
      <c r="AW183" s="56">
        <f t="shared" ca="1" si="263"/>
        <v>0</v>
      </c>
      <c r="AX183" s="56">
        <f t="shared" ca="1" si="263"/>
        <v>0</v>
      </c>
      <c r="AY183" s="56">
        <f t="shared" ca="1" si="263"/>
        <v>0</v>
      </c>
      <c r="AZ183" s="56">
        <f t="shared" ca="1" si="263"/>
        <v>0</v>
      </c>
      <c r="BA183" s="56">
        <f t="shared" ca="1" si="263"/>
        <v>0</v>
      </c>
      <c r="BB183" s="56">
        <f t="shared" ca="1" si="263"/>
        <v>0</v>
      </c>
      <c r="BC183" s="56">
        <f t="shared" ca="1" si="263"/>
        <v>0</v>
      </c>
      <c r="BD183" s="56">
        <f t="shared" ca="1" si="263"/>
        <v>0</v>
      </c>
      <c r="BE183" s="56">
        <f t="shared" ca="1" si="263"/>
        <v>0</v>
      </c>
      <c r="BF183" s="56">
        <f t="shared" ca="1" si="263"/>
        <v>0</v>
      </c>
      <c r="BG183" s="56">
        <f t="shared" ca="1" si="263"/>
        <v>0</v>
      </c>
      <c r="BH183" s="56">
        <f t="shared" ca="1" si="263"/>
        <v>0</v>
      </c>
      <c r="BI183" s="56">
        <f t="shared" ca="1" si="263"/>
        <v>0</v>
      </c>
      <c r="BJ183" s="56">
        <f t="shared" ca="1" si="263"/>
        <v>0</v>
      </c>
      <c r="BK183" s="56">
        <f t="shared" ca="1" si="263"/>
        <v>0</v>
      </c>
      <c r="BL183" s="56">
        <f t="shared" ca="1" si="263"/>
        <v>0</v>
      </c>
      <c r="BM183" s="56">
        <f t="shared" ca="1" si="263"/>
        <v>0</v>
      </c>
      <c r="BN183" s="56">
        <f t="shared" ca="1" si="263"/>
        <v>0</v>
      </c>
      <c r="BO183" s="56">
        <f t="shared" ca="1" si="263"/>
        <v>0</v>
      </c>
      <c r="BP183" s="56">
        <f t="shared" ca="1" si="263"/>
        <v>0</v>
      </c>
      <c r="BQ183" s="56">
        <f t="shared" ca="1" si="263"/>
        <v>0</v>
      </c>
      <c r="BR183" s="56">
        <f t="shared" ca="1" si="263"/>
        <v>0</v>
      </c>
      <c r="BS183" s="56">
        <f t="shared" ca="1" si="263"/>
        <v>0</v>
      </c>
      <c r="BT183" s="56">
        <f t="shared" ca="1" si="263"/>
        <v>0</v>
      </c>
      <c r="BU183" s="56">
        <f t="shared" ca="1" si="263"/>
        <v>0</v>
      </c>
      <c r="BV183" s="56">
        <f t="shared" ca="1" si="263"/>
        <v>0</v>
      </c>
      <c r="BW183" s="56">
        <f t="shared" ref="BW183:DB183" ca="1" si="264">IF(BW$139&lt;=$B$82+$B$83-1,$C130,0)</f>
        <v>0</v>
      </c>
      <c r="BX183" s="56">
        <f t="shared" ca="1" si="264"/>
        <v>0</v>
      </c>
      <c r="BY183" s="56">
        <f t="shared" ca="1" si="264"/>
        <v>0</v>
      </c>
      <c r="BZ183" s="56">
        <f t="shared" ca="1" si="264"/>
        <v>0</v>
      </c>
      <c r="CA183" s="56">
        <f t="shared" ca="1" si="264"/>
        <v>0</v>
      </c>
      <c r="CB183" s="56">
        <f t="shared" ca="1" si="264"/>
        <v>0</v>
      </c>
      <c r="CC183" s="56">
        <f t="shared" ca="1" si="264"/>
        <v>0</v>
      </c>
      <c r="CD183" s="56">
        <f t="shared" ca="1" si="264"/>
        <v>0</v>
      </c>
      <c r="CE183" s="56">
        <f t="shared" ca="1" si="264"/>
        <v>0</v>
      </c>
      <c r="CF183" s="56">
        <f t="shared" ca="1" si="264"/>
        <v>0</v>
      </c>
      <c r="CG183" s="56">
        <f t="shared" ca="1" si="264"/>
        <v>0</v>
      </c>
      <c r="CH183" s="56">
        <f t="shared" ca="1" si="264"/>
        <v>0</v>
      </c>
      <c r="CI183" s="56">
        <f t="shared" ca="1" si="264"/>
        <v>0</v>
      </c>
      <c r="CJ183" s="56">
        <f t="shared" ca="1" si="264"/>
        <v>0</v>
      </c>
      <c r="CK183" s="56">
        <f t="shared" si="264"/>
        <v>0</v>
      </c>
      <c r="CL183" s="56">
        <f t="shared" si="264"/>
        <v>0</v>
      </c>
      <c r="CM183" s="56">
        <f t="shared" si="264"/>
        <v>0</v>
      </c>
      <c r="CN183" s="56">
        <f t="shared" si="264"/>
        <v>0</v>
      </c>
      <c r="CO183" s="56">
        <f t="shared" si="264"/>
        <v>0</v>
      </c>
      <c r="CP183" s="56">
        <f t="shared" si="264"/>
        <v>0</v>
      </c>
      <c r="CQ183" s="56">
        <f t="shared" si="264"/>
        <v>0</v>
      </c>
      <c r="CR183" s="56">
        <f t="shared" si="264"/>
        <v>0</v>
      </c>
      <c r="CS183" s="56">
        <f t="shared" si="264"/>
        <v>0</v>
      </c>
      <c r="CT183" s="56">
        <f t="shared" si="264"/>
        <v>0</v>
      </c>
      <c r="CU183" s="56">
        <f t="shared" si="264"/>
        <v>0</v>
      </c>
      <c r="CV183" s="56">
        <f t="shared" si="264"/>
        <v>0</v>
      </c>
      <c r="CW183" s="56">
        <f t="shared" si="264"/>
        <v>0</v>
      </c>
      <c r="CX183" s="56">
        <f t="shared" si="264"/>
        <v>0</v>
      </c>
      <c r="CY183" s="56">
        <f t="shared" si="264"/>
        <v>0</v>
      </c>
      <c r="CZ183" s="56">
        <f t="shared" si="264"/>
        <v>0</v>
      </c>
      <c r="DA183" s="56">
        <f t="shared" si="264"/>
        <v>0</v>
      </c>
      <c r="DB183" s="56">
        <f t="shared" si="264"/>
        <v>0</v>
      </c>
      <c r="DC183" s="56">
        <f t="shared" ref="DC183:EH183" si="265">IF(DC$139&lt;=$B$82+$B$83-1,$C130,0)</f>
        <v>0</v>
      </c>
      <c r="DD183" s="56">
        <f t="shared" si="265"/>
        <v>0</v>
      </c>
      <c r="DE183" s="56">
        <f t="shared" si="265"/>
        <v>0</v>
      </c>
      <c r="DF183" s="56">
        <f t="shared" si="265"/>
        <v>0</v>
      </c>
      <c r="DG183" s="56">
        <f t="shared" si="265"/>
        <v>0</v>
      </c>
      <c r="DH183" s="56">
        <f t="shared" si="265"/>
        <v>0</v>
      </c>
      <c r="DI183" s="56">
        <f t="shared" si="265"/>
        <v>0</v>
      </c>
      <c r="DJ183" s="56">
        <f t="shared" si="265"/>
        <v>0</v>
      </c>
      <c r="DK183" s="56">
        <f t="shared" si="265"/>
        <v>0</v>
      </c>
      <c r="DL183" s="56">
        <f t="shared" si="265"/>
        <v>0</v>
      </c>
      <c r="DM183" s="56">
        <f t="shared" si="265"/>
        <v>0</v>
      </c>
      <c r="DN183" s="56">
        <f t="shared" si="265"/>
        <v>0</v>
      </c>
      <c r="DO183" s="56">
        <f t="shared" si="265"/>
        <v>0</v>
      </c>
      <c r="DP183" s="56">
        <f t="shared" si="265"/>
        <v>0</v>
      </c>
      <c r="DQ183" s="56">
        <f t="shared" si="265"/>
        <v>0</v>
      </c>
      <c r="DR183" s="56">
        <f t="shared" si="265"/>
        <v>0</v>
      </c>
      <c r="DS183" s="56">
        <f t="shared" si="265"/>
        <v>0</v>
      </c>
      <c r="DT183" s="56">
        <f t="shared" si="265"/>
        <v>0</v>
      </c>
      <c r="DU183" s="56">
        <f t="shared" si="265"/>
        <v>0</v>
      </c>
      <c r="DV183" s="56">
        <f t="shared" si="265"/>
        <v>0</v>
      </c>
      <c r="DW183" s="56">
        <f t="shared" si="265"/>
        <v>0</v>
      </c>
      <c r="DX183" s="56">
        <f t="shared" si="265"/>
        <v>0</v>
      </c>
      <c r="DY183" s="56">
        <f t="shared" si="265"/>
        <v>0</v>
      </c>
      <c r="DZ183" s="56">
        <f t="shared" si="265"/>
        <v>0</v>
      </c>
      <c r="EA183" s="56">
        <f t="shared" si="265"/>
        <v>0</v>
      </c>
      <c r="EB183" s="56">
        <f t="shared" si="265"/>
        <v>0</v>
      </c>
      <c r="EC183" s="56">
        <f t="shared" si="265"/>
        <v>0</v>
      </c>
      <c r="ED183" s="56">
        <f t="shared" si="265"/>
        <v>0</v>
      </c>
      <c r="EE183" s="56">
        <f t="shared" si="265"/>
        <v>0</v>
      </c>
      <c r="EF183" s="56">
        <f t="shared" si="265"/>
        <v>0</v>
      </c>
      <c r="EG183" s="56">
        <f t="shared" si="265"/>
        <v>0</v>
      </c>
      <c r="EH183" s="56">
        <f t="shared" si="265"/>
        <v>0</v>
      </c>
      <c r="EI183" s="56">
        <f t="shared" ref="EI183:FN183" si="266">IF(EI$139&lt;=$B$82+$B$83-1,$C130,0)</f>
        <v>0</v>
      </c>
      <c r="EJ183" s="56">
        <f t="shared" si="266"/>
        <v>0</v>
      </c>
      <c r="EK183" s="56">
        <f t="shared" si="266"/>
        <v>0</v>
      </c>
      <c r="EL183" s="56">
        <f t="shared" si="266"/>
        <v>0</v>
      </c>
      <c r="EM183" s="56">
        <f t="shared" si="266"/>
        <v>0</v>
      </c>
      <c r="EN183" s="56">
        <f t="shared" si="266"/>
        <v>0</v>
      </c>
      <c r="EO183" s="56">
        <f t="shared" si="266"/>
        <v>0</v>
      </c>
      <c r="EP183" s="56">
        <f t="shared" si="266"/>
        <v>0</v>
      </c>
      <c r="EQ183" s="56">
        <f t="shared" si="266"/>
        <v>0</v>
      </c>
      <c r="ER183" s="56">
        <f t="shared" si="266"/>
        <v>0</v>
      </c>
      <c r="ES183" s="56">
        <f t="shared" si="266"/>
        <v>0</v>
      </c>
      <c r="ET183" s="56">
        <f t="shared" si="266"/>
        <v>0</v>
      </c>
      <c r="EU183" s="56">
        <f t="shared" si="266"/>
        <v>0</v>
      </c>
      <c r="EV183" s="56">
        <f t="shared" si="266"/>
        <v>0</v>
      </c>
      <c r="EW183" s="56">
        <f t="shared" si="266"/>
        <v>0</v>
      </c>
      <c r="EX183" s="56">
        <f t="shared" si="266"/>
        <v>0</v>
      </c>
      <c r="EY183" s="56">
        <f t="shared" si="266"/>
        <v>0</v>
      </c>
      <c r="EZ183" s="56">
        <f t="shared" si="266"/>
        <v>0</v>
      </c>
      <c r="FA183" s="56">
        <f t="shared" si="266"/>
        <v>0</v>
      </c>
      <c r="FB183" s="56">
        <f t="shared" si="266"/>
        <v>0</v>
      </c>
      <c r="FC183" s="56">
        <f t="shared" si="266"/>
        <v>0</v>
      </c>
      <c r="FD183" s="56">
        <f t="shared" si="266"/>
        <v>0</v>
      </c>
      <c r="FE183" s="56">
        <f t="shared" si="266"/>
        <v>0</v>
      </c>
      <c r="FF183" s="56">
        <f t="shared" si="266"/>
        <v>0</v>
      </c>
      <c r="FG183" s="56">
        <f t="shared" si="266"/>
        <v>0</v>
      </c>
      <c r="FH183" s="56">
        <f t="shared" si="266"/>
        <v>0</v>
      </c>
      <c r="FI183" s="56">
        <f t="shared" si="266"/>
        <v>0</v>
      </c>
      <c r="FJ183" s="56">
        <f t="shared" si="266"/>
        <v>0</v>
      </c>
      <c r="FK183" s="56">
        <f t="shared" si="266"/>
        <v>0</v>
      </c>
      <c r="FL183" s="56">
        <f t="shared" si="266"/>
        <v>0</v>
      </c>
      <c r="FM183" s="56">
        <f t="shared" si="266"/>
        <v>0</v>
      </c>
      <c r="FN183" s="56">
        <f t="shared" si="266"/>
        <v>0</v>
      </c>
      <c r="FO183" s="56">
        <f t="shared" ref="FO183:GP183" si="267">IF(FO$139&lt;=$B$82+$B$83-1,$C130,0)</f>
        <v>0</v>
      </c>
      <c r="FP183" s="56">
        <f t="shared" si="267"/>
        <v>0</v>
      </c>
      <c r="FQ183" s="56">
        <f t="shared" si="267"/>
        <v>0</v>
      </c>
      <c r="FR183" s="56">
        <f t="shared" si="267"/>
        <v>0</v>
      </c>
      <c r="FS183" s="56">
        <f t="shared" si="267"/>
        <v>0</v>
      </c>
      <c r="FT183" s="56">
        <f t="shared" si="267"/>
        <v>0</v>
      </c>
      <c r="FU183" s="56">
        <f t="shared" si="267"/>
        <v>0</v>
      </c>
      <c r="FV183" s="56">
        <f t="shared" si="267"/>
        <v>0</v>
      </c>
      <c r="FW183" s="56">
        <f t="shared" si="267"/>
        <v>0</v>
      </c>
      <c r="FX183" s="56">
        <f t="shared" si="267"/>
        <v>0</v>
      </c>
      <c r="FY183" s="56">
        <f t="shared" si="267"/>
        <v>0</v>
      </c>
      <c r="FZ183" s="56">
        <f t="shared" si="267"/>
        <v>0</v>
      </c>
      <c r="GA183" s="56">
        <f t="shared" si="267"/>
        <v>0</v>
      </c>
      <c r="GB183" s="56">
        <f t="shared" si="267"/>
        <v>0</v>
      </c>
      <c r="GC183" s="56">
        <f t="shared" si="267"/>
        <v>0</v>
      </c>
      <c r="GD183" s="56">
        <f t="shared" si="267"/>
        <v>0</v>
      </c>
      <c r="GE183" s="56">
        <f t="shared" si="267"/>
        <v>0</v>
      </c>
      <c r="GF183" s="56">
        <f t="shared" si="267"/>
        <v>0</v>
      </c>
      <c r="GG183" s="56">
        <f t="shared" si="267"/>
        <v>0</v>
      </c>
      <c r="GH183" s="56">
        <f t="shared" si="267"/>
        <v>0</v>
      </c>
      <c r="GI183" s="56">
        <f t="shared" si="267"/>
        <v>0</v>
      </c>
      <c r="GJ183" s="56">
        <f t="shared" si="267"/>
        <v>0</v>
      </c>
      <c r="GK183" s="56">
        <f t="shared" si="267"/>
        <v>0</v>
      </c>
      <c r="GL183" s="56">
        <f t="shared" si="267"/>
        <v>0</v>
      </c>
      <c r="GM183" s="56">
        <f t="shared" si="267"/>
        <v>0</v>
      </c>
      <c r="GN183" s="56">
        <f t="shared" si="267"/>
        <v>0</v>
      </c>
      <c r="GO183" s="56">
        <f t="shared" si="267"/>
        <v>0</v>
      </c>
      <c r="GP183" s="56">
        <f t="shared" si="267"/>
        <v>0</v>
      </c>
    </row>
    <row r="184" spans="1:198" x14ac:dyDescent="0.35">
      <c r="A184" s="55" t="str">
        <f t="shared" si="165"/>
        <v>UK &gt; available in future</v>
      </c>
      <c r="B184" s="55" t="s">
        <v>298</v>
      </c>
      <c r="K184" s="56">
        <f t="shared" ref="K184:AP184" ca="1" si="268">IF(K$139&lt;=$B$82+$B$83-1,$C131,0)</f>
        <v>1.6210526315789473</v>
      </c>
      <c r="L184" s="56">
        <f t="shared" ca="1" si="268"/>
        <v>1.6210526315789473</v>
      </c>
      <c r="M184" s="56">
        <f t="shared" ca="1" si="268"/>
        <v>1.6210526315789473</v>
      </c>
      <c r="N184" s="56">
        <f t="shared" ca="1" si="268"/>
        <v>1.6210526315789473</v>
      </c>
      <c r="O184" s="56">
        <f t="shared" ca="1" si="268"/>
        <v>1.6210526315789473</v>
      </c>
      <c r="P184" s="56">
        <f t="shared" ca="1" si="268"/>
        <v>1.6210526315789473</v>
      </c>
      <c r="Q184" s="56">
        <f t="shared" ca="1" si="268"/>
        <v>1.6210526315789473</v>
      </c>
      <c r="R184" s="56">
        <f t="shared" ca="1" si="268"/>
        <v>1.6210526315789473</v>
      </c>
      <c r="S184" s="56">
        <f t="shared" ca="1" si="268"/>
        <v>1.6210526315789473</v>
      </c>
      <c r="T184" s="56">
        <f t="shared" ca="1" si="268"/>
        <v>1.6210526315789473</v>
      </c>
      <c r="U184" s="56">
        <f t="shared" ca="1" si="268"/>
        <v>1.6210526315789473</v>
      </c>
      <c r="V184" s="56">
        <f t="shared" ca="1" si="268"/>
        <v>1.6210526315789473</v>
      </c>
      <c r="W184" s="56">
        <f t="shared" ca="1" si="268"/>
        <v>1.6210526315789473</v>
      </c>
      <c r="X184" s="56">
        <f t="shared" ca="1" si="268"/>
        <v>1.6210526315789473</v>
      </c>
      <c r="Y184" s="56">
        <f t="shared" ca="1" si="268"/>
        <v>1.6210526315789473</v>
      </c>
      <c r="Z184" s="56">
        <f t="shared" ca="1" si="268"/>
        <v>1.6210526315789473</v>
      </c>
      <c r="AA184" s="56">
        <f t="shared" ca="1" si="268"/>
        <v>1.6210526315789473</v>
      </c>
      <c r="AB184" s="56">
        <f t="shared" ca="1" si="268"/>
        <v>1.6210526315789473</v>
      </c>
      <c r="AC184" s="56">
        <f t="shared" ca="1" si="268"/>
        <v>1.6210526315789473</v>
      </c>
      <c r="AD184" s="56">
        <f t="shared" ca="1" si="268"/>
        <v>1.6210526315789473</v>
      </c>
      <c r="AE184" s="56">
        <f t="shared" ca="1" si="268"/>
        <v>1.6210526315789473</v>
      </c>
      <c r="AF184" s="56">
        <f t="shared" ca="1" si="268"/>
        <v>1.6210526315789473</v>
      </c>
      <c r="AG184" s="56">
        <f t="shared" ca="1" si="268"/>
        <v>1.6210526315789473</v>
      </c>
      <c r="AH184" s="56">
        <f t="shared" ca="1" si="268"/>
        <v>1.6210526315789473</v>
      </c>
      <c r="AI184" s="56">
        <f t="shared" ca="1" si="268"/>
        <v>1.6210526315789473</v>
      </c>
      <c r="AJ184" s="56">
        <f t="shared" ca="1" si="268"/>
        <v>1.6210526315789473</v>
      </c>
      <c r="AK184" s="56">
        <f t="shared" ca="1" si="268"/>
        <v>1.6210526315789473</v>
      </c>
      <c r="AL184" s="56">
        <f t="shared" ca="1" si="268"/>
        <v>1.6210526315789473</v>
      </c>
      <c r="AM184" s="56">
        <f t="shared" ca="1" si="268"/>
        <v>1.6210526315789473</v>
      </c>
      <c r="AN184" s="56">
        <f t="shared" ca="1" si="268"/>
        <v>1.6210526315789473</v>
      </c>
      <c r="AO184" s="56">
        <f t="shared" ca="1" si="268"/>
        <v>1.6210526315789473</v>
      </c>
      <c r="AP184" s="56">
        <f t="shared" ca="1" si="268"/>
        <v>1.6210526315789473</v>
      </c>
      <c r="AQ184" s="56">
        <f t="shared" ref="AQ184:BV184" ca="1" si="269">IF(AQ$139&lt;=$B$82+$B$83-1,$C131,0)</f>
        <v>1.6210526315789473</v>
      </c>
      <c r="AR184" s="56">
        <f t="shared" ca="1" si="269"/>
        <v>1.6210526315789473</v>
      </c>
      <c r="AS184" s="56">
        <f t="shared" ca="1" si="269"/>
        <v>1.6210526315789473</v>
      </c>
      <c r="AT184" s="56">
        <f t="shared" ca="1" si="269"/>
        <v>1.6210526315789473</v>
      </c>
      <c r="AU184" s="56">
        <f t="shared" ca="1" si="269"/>
        <v>1.6210526315789473</v>
      </c>
      <c r="AV184" s="56">
        <f t="shared" ca="1" si="269"/>
        <v>1.6210526315789473</v>
      </c>
      <c r="AW184" s="56">
        <f t="shared" ca="1" si="269"/>
        <v>1.6210526315789473</v>
      </c>
      <c r="AX184" s="56">
        <f t="shared" ca="1" si="269"/>
        <v>1.6210526315789473</v>
      </c>
      <c r="AY184" s="56">
        <f t="shared" ca="1" si="269"/>
        <v>1.6210526315789473</v>
      </c>
      <c r="AZ184" s="56">
        <f t="shared" ca="1" si="269"/>
        <v>1.6210526315789473</v>
      </c>
      <c r="BA184" s="56">
        <f t="shared" ca="1" si="269"/>
        <v>1.6210526315789473</v>
      </c>
      <c r="BB184" s="56">
        <f t="shared" ca="1" si="269"/>
        <v>1.6210526315789473</v>
      </c>
      <c r="BC184" s="56">
        <f t="shared" ca="1" si="269"/>
        <v>1.6210526315789473</v>
      </c>
      <c r="BD184" s="56">
        <f t="shared" ca="1" si="269"/>
        <v>1.6210526315789473</v>
      </c>
      <c r="BE184" s="56">
        <f t="shared" ca="1" si="269"/>
        <v>1.6210526315789473</v>
      </c>
      <c r="BF184" s="56">
        <f t="shared" ca="1" si="269"/>
        <v>1.6210526315789473</v>
      </c>
      <c r="BG184" s="56">
        <f t="shared" ca="1" si="269"/>
        <v>1.6210526315789473</v>
      </c>
      <c r="BH184" s="56">
        <f t="shared" ca="1" si="269"/>
        <v>1.6210526315789473</v>
      </c>
      <c r="BI184" s="56">
        <f t="shared" ca="1" si="269"/>
        <v>1.6210526315789473</v>
      </c>
      <c r="BJ184" s="56">
        <f t="shared" ca="1" si="269"/>
        <v>1.6210526315789473</v>
      </c>
      <c r="BK184" s="56">
        <f t="shared" ca="1" si="269"/>
        <v>1.6210526315789473</v>
      </c>
      <c r="BL184" s="56">
        <f t="shared" ca="1" si="269"/>
        <v>1.6210526315789473</v>
      </c>
      <c r="BM184" s="56">
        <f t="shared" ca="1" si="269"/>
        <v>1.6210526315789473</v>
      </c>
      <c r="BN184" s="56">
        <f t="shared" ca="1" si="269"/>
        <v>1.6210526315789473</v>
      </c>
      <c r="BO184" s="56">
        <f t="shared" ca="1" si="269"/>
        <v>1.6210526315789473</v>
      </c>
      <c r="BP184" s="56">
        <f t="shared" ca="1" si="269"/>
        <v>1.6210526315789473</v>
      </c>
      <c r="BQ184" s="56">
        <f t="shared" ca="1" si="269"/>
        <v>1.6210526315789473</v>
      </c>
      <c r="BR184" s="56">
        <f t="shared" ca="1" si="269"/>
        <v>1.6210526315789473</v>
      </c>
      <c r="BS184" s="56">
        <f t="shared" ca="1" si="269"/>
        <v>1.6210526315789473</v>
      </c>
      <c r="BT184" s="56">
        <f t="shared" ca="1" si="269"/>
        <v>1.6210526315789473</v>
      </c>
      <c r="BU184" s="56">
        <f t="shared" ca="1" si="269"/>
        <v>1.6210526315789473</v>
      </c>
      <c r="BV184" s="56">
        <f t="shared" ca="1" si="269"/>
        <v>1.6210526315789473</v>
      </c>
      <c r="BW184" s="56">
        <f t="shared" ref="BW184:DB184" ca="1" si="270">IF(BW$139&lt;=$B$82+$B$83-1,$C131,0)</f>
        <v>1.6210526315789473</v>
      </c>
      <c r="BX184" s="56">
        <f t="shared" ca="1" si="270"/>
        <v>1.6210526315789473</v>
      </c>
      <c r="BY184" s="56">
        <f t="shared" ca="1" si="270"/>
        <v>1.6210526315789473</v>
      </c>
      <c r="BZ184" s="56">
        <f t="shared" ca="1" si="270"/>
        <v>1.6210526315789473</v>
      </c>
      <c r="CA184" s="56">
        <f t="shared" ca="1" si="270"/>
        <v>1.6210526315789473</v>
      </c>
      <c r="CB184" s="56">
        <f t="shared" ca="1" si="270"/>
        <v>1.6210526315789473</v>
      </c>
      <c r="CC184" s="56">
        <f t="shared" ca="1" si="270"/>
        <v>1.6210526315789473</v>
      </c>
      <c r="CD184" s="56">
        <f t="shared" ca="1" si="270"/>
        <v>1.6210526315789473</v>
      </c>
      <c r="CE184" s="56">
        <f t="shared" ca="1" si="270"/>
        <v>1.6210526315789473</v>
      </c>
      <c r="CF184" s="56">
        <f t="shared" ca="1" si="270"/>
        <v>1.6210526315789473</v>
      </c>
      <c r="CG184" s="56">
        <f t="shared" ca="1" si="270"/>
        <v>1.6210526315789473</v>
      </c>
      <c r="CH184" s="56">
        <f t="shared" ca="1" si="270"/>
        <v>1.6210526315789473</v>
      </c>
      <c r="CI184" s="56">
        <f t="shared" ca="1" si="270"/>
        <v>1.6210526315789473</v>
      </c>
      <c r="CJ184" s="56">
        <f t="shared" ca="1" si="270"/>
        <v>1.6210526315789473</v>
      </c>
      <c r="CK184" s="56">
        <f t="shared" si="270"/>
        <v>0</v>
      </c>
      <c r="CL184" s="56">
        <f t="shared" si="270"/>
        <v>0</v>
      </c>
      <c r="CM184" s="56">
        <f t="shared" si="270"/>
        <v>0</v>
      </c>
      <c r="CN184" s="56">
        <f t="shared" si="270"/>
        <v>0</v>
      </c>
      <c r="CO184" s="56">
        <f t="shared" si="270"/>
        <v>0</v>
      </c>
      <c r="CP184" s="56">
        <f t="shared" si="270"/>
        <v>0</v>
      </c>
      <c r="CQ184" s="56">
        <f t="shared" si="270"/>
        <v>0</v>
      </c>
      <c r="CR184" s="56">
        <f t="shared" si="270"/>
        <v>0</v>
      </c>
      <c r="CS184" s="56">
        <f t="shared" si="270"/>
        <v>0</v>
      </c>
      <c r="CT184" s="56">
        <f t="shared" si="270"/>
        <v>0</v>
      </c>
      <c r="CU184" s="56">
        <f t="shared" si="270"/>
        <v>0</v>
      </c>
      <c r="CV184" s="56">
        <f t="shared" si="270"/>
        <v>0</v>
      </c>
      <c r="CW184" s="56">
        <f t="shared" si="270"/>
        <v>0</v>
      </c>
      <c r="CX184" s="56">
        <f t="shared" si="270"/>
        <v>0</v>
      </c>
      <c r="CY184" s="56">
        <f t="shared" si="270"/>
        <v>0</v>
      </c>
      <c r="CZ184" s="56">
        <f t="shared" si="270"/>
        <v>0</v>
      </c>
      <c r="DA184" s="56">
        <f t="shared" si="270"/>
        <v>0</v>
      </c>
      <c r="DB184" s="56">
        <f t="shared" si="270"/>
        <v>0</v>
      </c>
      <c r="DC184" s="56">
        <f t="shared" ref="DC184:EH184" si="271">IF(DC$139&lt;=$B$82+$B$83-1,$C131,0)</f>
        <v>0</v>
      </c>
      <c r="DD184" s="56">
        <f t="shared" si="271"/>
        <v>0</v>
      </c>
      <c r="DE184" s="56">
        <f t="shared" si="271"/>
        <v>0</v>
      </c>
      <c r="DF184" s="56">
        <f t="shared" si="271"/>
        <v>0</v>
      </c>
      <c r="DG184" s="56">
        <f t="shared" si="271"/>
        <v>0</v>
      </c>
      <c r="DH184" s="56">
        <f t="shared" si="271"/>
        <v>0</v>
      </c>
      <c r="DI184" s="56">
        <f t="shared" si="271"/>
        <v>0</v>
      </c>
      <c r="DJ184" s="56">
        <f t="shared" si="271"/>
        <v>0</v>
      </c>
      <c r="DK184" s="56">
        <f t="shared" si="271"/>
        <v>0</v>
      </c>
      <c r="DL184" s="56">
        <f t="shared" si="271"/>
        <v>0</v>
      </c>
      <c r="DM184" s="56">
        <f t="shared" si="271"/>
        <v>0</v>
      </c>
      <c r="DN184" s="56">
        <f t="shared" si="271"/>
        <v>0</v>
      </c>
      <c r="DO184" s="56">
        <f t="shared" si="271"/>
        <v>0</v>
      </c>
      <c r="DP184" s="56">
        <f t="shared" si="271"/>
        <v>0</v>
      </c>
      <c r="DQ184" s="56">
        <f t="shared" si="271"/>
        <v>0</v>
      </c>
      <c r="DR184" s="56">
        <f t="shared" si="271"/>
        <v>0</v>
      </c>
      <c r="DS184" s="56">
        <f t="shared" si="271"/>
        <v>0</v>
      </c>
      <c r="DT184" s="56">
        <f t="shared" si="271"/>
        <v>0</v>
      </c>
      <c r="DU184" s="56">
        <f t="shared" si="271"/>
        <v>0</v>
      </c>
      <c r="DV184" s="56">
        <f t="shared" si="271"/>
        <v>0</v>
      </c>
      <c r="DW184" s="56">
        <f t="shared" si="271"/>
        <v>0</v>
      </c>
      <c r="DX184" s="56">
        <f t="shared" si="271"/>
        <v>0</v>
      </c>
      <c r="DY184" s="56">
        <f t="shared" si="271"/>
        <v>0</v>
      </c>
      <c r="DZ184" s="56">
        <f t="shared" si="271"/>
        <v>0</v>
      </c>
      <c r="EA184" s="56">
        <f t="shared" si="271"/>
        <v>0</v>
      </c>
      <c r="EB184" s="56">
        <f t="shared" si="271"/>
        <v>0</v>
      </c>
      <c r="EC184" s="56">
        <f t="shared" si="271"/>
        <v>0</v>
      </c>
      <c r="ED184" s="56">
        <f t="shared" si="271"/>
        <v>0</v>
      </c>
      <c r="EE184" s="56">
        <f t="shared" si="271"/>
        <v>0</v>
      </c>
      <c r="EF184" s="56">
        <f t="shared" si="271"/>
        <v>0</v>
      </c>
      <c r="EG184" s="56">
        <f t="shared" si="271"/>
        <v>0</v>
      </c>
      <c r="EH184" s="56">
        <f t="shared" si="271"/>
        <v>0</v>
      </c>
      <c r="EI184" s="56">
        <f t="shared" ref="EI184:FN184" si="272">IF(EI$139&lt;=$B$82+$B$83-1,$C131,0)</f>
        <v>0</v>
      </c>
      <c r="EJ184" s="56">
        <f t="shared" si="272"/>
        <v>0</v>
      </c>
      <c r="EK184" s="56">
        <f t="shared" si="272"/>
        <v>0</v>
      </c>
      <c r="EL184" s="56">
        <f t="shared" si="272"/>
        <v>0</v>
      </c>
      <c r="EM184" s="56">
        <f t="shared" si="272"/>
        <v>0</v>
      </c>
      <c r="EN184" s="56">
        <f t="shared" si="272"/>
        <v>0</v>
      </c>
      <c r="EO184" s="56">
        <f t="shared" si="272"/>
        <v>0</v>
      </c>
      <c r="EP184" s="56">
        <f t="shared" si="272"/>
        <v>0</v>
      </c>
      <c r="EQ184" s="56">
        <f t="shared" si="272"/>
        <v>0</v>
      </c>
      <c r="ER184" s="56">
        <f t="shared" si="272"/>
        <v>0</v>
      </c>
      <c r="ES184" s="56">
        <f t="shared" si="272"/>
        <v>0</v>
      </c>
      <c r="ET184" s="56">
        <f t="shared" si="272"/>
        <v>0</v>
      </c>
      <c r="EU184" s="56">
        <f t="shared" si="272"/>
        <v>0</v>
      </c>
      <c r="EV184" s="56">
        <f t="shared" si="272"/>
        <v>0</v>
      </c>
      <c r="EW184" s="56">
        <f t="shared" si="272"/>
        <v>0</v>
      </c>
      <c r="EX184" s="56">
        <f t="shared" si="272"/>
        <v>0</v>
      </c>
      <c r="EY184" s="56">
        <f t="shared" si="272"/>
        <v>0</v>
      </c>
      <c r="EZ184" s="56">
        <f t="shared" si="272"/>
        <v>0</v>
      </c>
      <c r="FA184" s="56">
        <f t="shared" si="272"/>
        <v>0</v>
      </c>
      <c r="FB184" s="56">
        <f t="shared" si="272"/>
        <v>0</v>
      </c>
      <c r="FC184" s="56">
        <f t="shared" si="272"/>
        <v>0</v>
      </c>
      <c r="FD184" s="56">
        <f t="shared" si="272"/>
        <v>0</v>
      </c>
      <c r="FE184" s="56">
        <f t="shared" si="272"/>
        <v>0</v>
      </c>
      <c r="FF184" s="56">
        <f t="shared" si="272"/>
        <v>0</v>
      </c>
      <c r="FG184" s="56">
        <f t="shared" si="272"/>
        <v>0</v>
      </c>
      <c r="FH184" s="56">
        <f t="shared" si="272"/>
        <v>0</v>
      </c>
      <c r="FI184" s="56">
        <f t="shared" si="272"/>
        <v>0</v>
      </c>
      <c r="FJ184" s="56">
        <f t="shared" si="272"/>
        <v>0</v>
      </c>
      <c r="FK184" s="56">
        <f t="shared" si="272"/>
        <v>0</v>
      </c>
      <c r="FL184" s="56">
        <f t="shared" si="272"/>
        <v>0</v>
      </c>
      <c r="FM184" s="56">
        <f t="shared" si="272"/>
        <v>0</v>
      </c>
      <c r="FN184" s="56">
        <f t="shared" si="272"/>
        <v>0</v>
      </c>
      <c r="FO184" s="56">
        <f t="shared" ref="FO184:GP184" si="273">IF(FO$139&lt;=$B$82+$B$83-1,$C131,0)</f>
        <v>0</v>
      </c>
      <c r="FP184" s="56">
        <f t="shared" si="273"/>
        <v>0</v>
      </c>
      <c r="FQ184" s="56">
        <f t="shared" si="273"/>
        <v>0</v>
      </c>
      <c r="FR184" s="56">
        <f t="shared" si="273"/>
        <v>0</v>
      </c>
      <c r="FS184" s="56">
        <f t="shared" si="273"/>
        <v>0</v>
      </c>
      <c r="FT184" s="56">
        <f t="shared" si="273"/>
        <v>0</v>
      </c>
      <c r="FU184" s="56">
        <f t="shared" si="273"/>
        <v>0</v>
      </c>
      <c r="FV184" s="56">
        <f t="shared" si="273"/>
        <v>0</v>
      </c>
      <c r="FW184" s="56">
        <f t="shared" si="273"/>
        <v>0</v>
      </c>
      <c r="FX184" s="56">
        <f t="shared" si="273"/>
        <v>0</v>
      </c>
      <c r="FY184" s="56">
        <f t="shared" si="273"/>
        <v>0</v>
      </c>
      <c r="FZ184" s="56">
        <f t="shared" si="273"/>
        <v>0</v>
      </c>
      <c r="GA184" s="56">
        <f t="shared" si="273"/>
        <v>0</v>
      </c>
      <c r="GB184" s="56">
        <f t="shared" si="273"/>
        <v>0</v>
      </c>
      <c r="GC184" s="56">
        <f t="shared" si="273"/>
        <v>0</v>
      </c>
      <c r="GD184" s="56">
        <f t="shared" si="273"/>
        <v>0</v>
      </c>
      <c r="GE184" s="56">
        <f t="shared" si="273"/>
        <v>0</v>
      </c>
      <c r="GF184" s="56">
        <f t="shared" si="273"/>
        <v>0</v>
      </c>
      <c r="GG184" s="56">
        <f t="shared" si="273"/>
        <v>0</v>
      </c>
      <c r="GH184" s="56">
        <f t="shared" si="273"/>
        <v>0</v>
      </c>
      <c r="GI184" s="56">
        <f t="shared" si="273"/>
        <v>0</v>
      </c>
      <c r="GJ184" s="56">
        <f t="shared" si="273"/>
        <v>0</v>
      </c>
      <c r="GK184" s="56">
        <f t="shared" si="273"/>
        <v>0</v>
      </c>
      <c r="GL184" s="56">
        <f t="shared" si="273"/>
        <v>0</v>
      </c>
      <c r="GM184" s="56">
        <f t="shared" si="273"/>
        <v>0</v>
      </c>
      <c r="GN184" s="56">
        <f t="shared" si="273"/>
        <v>0</v>
      </c>
      <c r="GO184" s="56">
        <f t="shared" si="273"/>
        <v>0</v>
      </c>
      <c r="GP184" s="56">
        <f t="shared" si="273"/>
        <v>0</v>
      </c>
    </row>
    <row r="185" spans="1:198" x14ac:dyDescent="0.35">
      <c r="A185" s="55" t="str">
        <f t="shared" si="165"/>
        <v>LATAM &gt; available in future</v>
      </c>
      <c r="B185" s="55" t="s">
        <v>298</v>
      </c>
      <c r="K185" s="56">
        <f t="shared" ref="K185:AP185" ca="1" si="274">IF(K$139&lt;=$B$82+$B$83-1,$C132,0)</f>
        <v>0.81052631578947365</v>
      </c>
      <c r="L185" s="56">
        <f t="shared" ca="1" si="274"/>
        <v>0.81052631578947365</v>
      </c>
      <c r="M185" s="56">
        <f t="shared" ca="1" si="274"/>
        <v>0.81052631578947365</v>
      </c>
      <c r="N185" s="56">
        <f t="shared" ca="1" si="274"/>
        <v>0.81052631578947365</v>
      </c>
      <c r="O185" s="56">
        <f t="shared" ca="1" si="274"/>
        <v>0.81052631578947365</v>
      </c>
      <c r="P185" s="56">
        <f t="shared" ca="1" si="274"/>
        <v>0.81052631578947365</v>
      </c>
      <c r="Q185" s="56">
        <f t="shared" ca="1" si="274"/>
        <v>0.81052631578947365</v>
      </c>
      <c r="R185" s="56">
        <f t="shared" ca="1" si="274"/>
        <v>0.81052631578947365</v>
      </c>
      <c r="S185" s="56">
        <f t="shared" ca="1" si="274"/>
        <v>0.81052631578947365</v>
      </c>
      <c r="T185" s="56">
        <f t="shared" ca="1" si="274"/>
        <v>0.81052631578947365</v>
      </c>
      <c r="U185" s="56">
        <f t="shared" ca="1" si="274"/>
        <v>0.81052631578947365</v>
      </c>
      <c r="V185" s="56">
        <f t="shared" ca="1" si="274"/>
        <v>0.81052631578947365</v>
      </c>
      <c r="W185" s="56">
        <f t="shared" ca="1" si="274"/>
        <v>0.81052631578947365</v>
      </c>
      <c r="X185" s="56">
        <f t="shared" ca="1" si="274"/>
        <v>0.81052631578947365</v>
      </c>
      <c r="Y185" s="56">
        <f t="shared" ca="1" si="274"/>
        <v>0.81052631578947365</v>
      </c>
      <c r="Z185" s="56">
        <f t="shared" ca="1" si="274"/>
        <v>0.81052631578947365</v>
      </c>
      <c r="AA185" s="56">
        <f t="shared" ca="1" si="274"/>
        <v>0.81052631578947365</v>
      </c>
      <c r="AB185" s="56">
        <f t="shared" ca="1" si="274"/>
        <v>0.81052631578947365</v>
      </c>
      <c r="AC185" s="56">
        <f t="shared" ca="1" si="274"/>
        <v>0.81052631578947365</v>
      </c>
      <c r="AD185" s="56">
        <f t="shared" ca="1" si="274"/>
        <v>0.81052631578947365</v>
      </c>
      <c r="AE185" s="56">
        <f t="shared" ca="1" si="274"/>
        <v>0.81052631578947365</v>
      </c>
      <c r="AF185" s="56">
        <f t="shared" ca="1" si="274"/>
        <v>0.81052631578947365</v>
      </c>
      <c r="AG185" s="56">
        <f t="shared" ca="1" si="274"/>
        <v>0.81052631578947365</v>
      </c>
      <c r="AH185" s="56">
        <f t="shared" ca="1" si="274"/>
        <v>0.81052631578947365</v>
      </c>
      <c r="AI185" s="56">
        <f t="shared" ca="1" si="274"/>
        <v>0.81052631578947365</v>
      </c>
      <c r="AJ185" s="56">
        <f t="shared" ca="1" si="274"/>
        <v>0.81052631578947365</v>
      </c>
      <c r="AK185" s="56">
        <f t="shared" ca="1" si="274"/>
        <v>0.81052631578947365</v>
      </c>
      <c r="AL185" s="56">
        <f t="shared" ca="1" si="274"/>
        <v>0.81052631578947365</v>
      </c>
      <c r="AM185" s="56">
        <f t="shared" ca="1" si="274"/>
        <v>0.81052631578947365</v>
      </c>
      <c r="AN185" s="56">
        <f t="shared" ca="1" si="274"/>
        <v>0.81052631578947365</v>
      </c>
      <c r="AO185" s="56">
        <f t="shared" ca="1" si="274"/>
        <v>0.81052631578947365</v>
      </c>
      <c r="AP185" s="56">
        <f t="shared" ca="1" si="274"/>
        <v>0.81052631578947365</v>
      </c>
      <c r="AQ185" s="56">
        <f t="shared" ref="AQ185:BV185" ca="1" si="275">IF(AQ$139&lt;=$B$82+$B$83-1,$C132,0)</f>
        <v>0.81052631578947365</v>
      </c>
      <c r="AR185" s="56">
        <f t="shared" ca="1" si="275"/>
        <v>0.81052631578947365</v>
      </c>
      <c r="AS185" s="56">
        <f t="shared" ca="1" si="275"/>
        <v>0.81052631578947365</v>
      </c>
      <c r="AT185" s="56">
        <f t="shared" ca="1" si="275"/>
        <v>0.81052631578947365</v>
      </c>
      <c r="AU185" s="56">
        <f t="shared" ca="1" si="275"/>
        <v>0.81052631578947365</v>
      </c>
      <c r="AV185" s="56">
        <f t="shared" ca="1" si="275"/>
        <v>0.81052631578947365</v>
      </c>
      <c r="AW185" s="56">
        <f t="shared" ca="1" si="275"/>
        <v>0.81052631578947365</v>
      </c>
      <c r="AX185" s="56">
        <f t="shared" ca="1" si="275"/>
        <v>0.81052631578947365</v>
      </c>
      <c r="AY185" s="56">
        <f t="shared" ca="1" si="275"/>
        <v>0.81052631578947365</v>
      </c>
      <c r="AZ185" s="56">
        <f t="shared" ca="1" si="275"/>
        <v>0.81052631578947365</v>
      </c>
      <c r="BA185" s="56">
        <f t="shared" ca="1" si="275"/>
        <v>0.81052631578947365</v>
      </c>
      <c r="BB185" s="56">
        <f t="shared" ca="1" si="275"/>
        <v>0.81052631578947365</v>
      </c>
      <c r="BC185" s="56">
        <f t="shared" ca="1" si="275"/>
        <v>0.81052631578947365</v>
      </c>
      <c r="BD185" s="56">
        <f t="shared" ca="1" si="275"/>
        <v>0.81052631578947365</v>
      </c>
      <c r="BE185" s="56">
        <f t="shared" ca="1" si="275"/>
        <v>0.81052631578947365</v>
      </c>
      <c r="BF185" s="56">
        <f t="shared" ca="1" si="275"/>
        <v>0.81052631578947365</v>
      </c>
      <c r="BG185" s="56">
        <f t="shared" ca="1" si="275"/>
        <v>0.81052631578947365</v>
      </c>
      <c r="BH185" s="56">
        <f t="shared" ca="1" si="275"/>
        <v>0.81052631578947365</v>
      </c>
      <c r="BI185" s="56">
        <f t="shared" ca="1" si="275"/>
        <v>0.81052631578947365</v>
      </c>
      <c r="BJ185" s="56">
        <f t="shared" ca="1" si="275"/>
        <v>0.81052631578947365</v>
      </c>
      <c r="BK185" s="56">
        <f t="shared" ca="1" si="275"/>
        <v>0.81052631578947365</v>
      </c>
      <c r="BL185" s="56">
        <f t="shared" ca="1" si="275"/>
        <v>0.81052631578947365</v>
      </c>
      <c r="BM185" s="56">
        <f t="shared" ca="1" si="275"/>
        <v>0.81052631578947365</v>
      </c>
      <c r="BN185" s="56">
        <f t="shared" ca="1" si="275"/>
        <v>0.81052631578947365</v>
      </c>
      <c r="BO185" s="56">
        <f t="shared" ca="1" si="275"/>
        <v>0.81052631578947365</v>
      </c>
      <c r="BP185" s="56">
        <f t="shared" ca="1" si="275"/>
        <v>0.81052631578947365</v>
      </c>
      <c r="BQ185" s="56">
        <f t="shared" ca="1" si="275"/>
        <v>0.81052631578947365</v>
      </c>
      <c r="BR185" s="56">
        <f t="shared" ca="1" si="275"/>
        <v>0.81052631578947365</v>
      </c>
      <c r="BS185" s="56">
        <f t="shared" ca="1" si="275"/>
        <v>0.81052631578947365</v>
      </c>
      <c r="BT185" s="56">
        <f t="shared" ca="1" si="275"/>
        <v>0.81052631578947365</v>
      </c>
      <c r="BU185" s="56">
        <f t="shared" ca="1" si="275"/>
        <v>0.81052631578947365</v>
      </c>
      <c r="BV185" s="56">
        <f t="shared" ca="1" si="275"/>
        <v>0.81052631578947365</v>
      </c>
      <c r="BW185" s="56">
        <f t="shared" ref="BW185:DB185" ca="1" si="276">IF(BW$139&lt;=$B$82+$B$83-1,$C132,0)</f>
        <v>0.81052631578947365</v>
      </c>
      <c r="BX185" s="56">
        <f t="shared" ca="1" si="276"/>
        <v>0.81052631578947365</v>
      </c>
      <c r="BY185" s="56">
        <f t="shared" ca="1" si="276"/>
        <v>0.81052631578947365</v>
      </c>
      <c r="BZ185" s="56">
        <f t="shared" ca="1" si="276"/>
        <v>0.81052631578947365</v>
      </c>
      <c r="CA185" s="56">
        <f t="shared" ca="1" si="276"/>
        <v>0.81052631578947365</v>
      </c>
      <c r="CB185" s="56">
        <f t="shared" ca="1" si="276"/>
        <v>0.81052631578947365</v>
      </c>
      <c r="CC185" s="56">
        <f t="shared" ca="1" si="276"/>
        <v>0.81052631578947365</v>
      </c>
      <c r="CD185" s="56">
        <f t="shared" ca="1" si="276"/>
        <v>0.81052631578947365</v>
      </c>
      <c r="CE185" s="56">
        <f t="shared" ca="1" si="276"/>
        <v>0.81052631578947365</v>
      </c>
      <c r="CF185" s="56">
        <f t="shared" ca="1" si="276"/>
        <v>0.81052631578947365</v>
      </c>
      <c r="CG185" s="56">
        <f t="shared" ca="1" si="276"/>
        <v>0.81052631578947365</v>
      </c>
      <c r="CH185" s="56">
        <f t="shared" ca="1" si="276"/>
        <v>0.81052631578947365</v>
      </c>
      <c r="CI185" s="56">
        <f t="shared" ca="1" si="276"/>
        <v>0.81052631578947365</v>
      </c>
      <c r="CJ185" s="56">
        <f t="shared" ca="1" si="276"/>
        <v>0.81052631578947365</v>
      </c>
      <c r="CK185" s="56">
        <f t="shared" si="276"/>
        <v>0</v>
      </c>
      <c r="CL185" s="56">
        <f t="shared" si="276"/>
        <v>0</v>
      </c>
      <c r="CM185" s="56">
        <f t="shared" si="276"/>
        <v>0</v>
      </c>
      <c r="CN185" s="56">
        <f t="shared" si="276"/>
        <v>0</v>
      </c>
      <c r="CO185" s="56">
        <f t="shared" si="276"/>
        <v>0</v>
      </c>
      <c r="CP185" s="56">
        <f t="shared" si="276"/>
        <v>0</v>
      </c>
      <c r="CQ185" s="56">
        <f t="shared" si="276"/>
        <v>0</v>
      </c>
      <c r="CR185" s="56">
        <f t="shared" si="276"/>
        <v>0</v>
      </c>
      <c r="CS185" s="56">
        <f t="shared" si="276"/>
        <v>0</v>
      </c>
      <c r="CT185" s="56">
        <f t="shared" si="276"/>
        <v>0</v>
      </c>
      <c r="CU185" s="56">
        <f t="shared" si="276"/>
        <v>0</v>
      </c>
      <c r="CV185" s="56">
        <f t="shared" si="276"/>
        <v>0</v>
      </c>
      <c r="CW185" s="56">
        <f t="shared" si="276"/>
        <v>0</v>
      </c>
      <c r="CX185" s="56">
        <f t="shared" si="276"/>
        <v>0</v>
      </c>
      <c r="CY185" s="56">
        <f t="shared" si="276"/>
        <v>0</v>
      </c>
      <c r="CZ185" s="56">
        <f t="shared" si="276"/>
        <v>0</v>
      </c>
      <c r="DA185" s="56">
        <f t="shared" si="276"/>
        <v>0</v>
      </c>
      <c r="DB185" s="56">
        <f t="shared" si="276"/>
        <v>0</v>
      </c>
      <c r="DC185" s="56">
        <f t="shared" ref="DC185:EH185" si="277">IF(DC$139&lt;=$B$82+$B$83-1,$C132,0)</f>
        <v>0</v>
      </c>
      <c r="DD185" s="56">
        <f t="shared" si="277"/>
        <v>0</v>
      </c>
      <c r="DE185" s="56">
        <f t="shared" si="277"/>
        <v>0</v>
      </c>
      <c r="DF185" s="56">
        <f t="shared" si="277"/>
        <v>0</v>
      </c>
      <c r="DG185" s="56">
        <f t="shared" si="277"/>
        <v>0</v>
      </c>
      <c r="DH185" s="56">
        <f t="shared" si="277"/>
        <v>0</v>
      </c>
      <c r="DI185" s="56">
        <f t="shared" si="277"/>
        <v>0</v>
      </c>
      <c r="DJ185" s="56">
        <f t="shared" si="277"/>
        <v>0</v>
      </c>
      <c r="DK185" s="56">
        <f t="shared" si="277"/>
        <v>0</v>
      </c>
      <c r="DL185" s="56">
        <f t="shared" si="277"/>
        <v>0</v>
      </c>
      <c r="DM185" s="56">
        <f t="shared" si="277"/>
        <v>0</v>
      </c>
      <c r="DN185" s="56">
        <f t="shared" si="277"/>
        <v>0</v>
      </c>
      <c r="DO185" s="56">
        <f t="shared" si="277"/>
        <v>0</v>
      </c>
      <c r="DP185" s="56">
        <f t="shared" si="277"/>
        <v>0</v>
      </c>
      <c r="DQ185" s="56">
        <f t="shared" si="277"/>
        <v>0</v>
      </c>
      <c r="DR185" s="56">
        <f t="shared" si="277"/>
        <v>0</v>
      </c>
      <c r="DS185" s="56">
        <f t="shared" si="277"/>
        <v>0</v>
      </c>
      <c r="DT185" s="56">
        <f t="shared" si="277"/>
        <v>0</v>
      </c>
      <c r="DU185" s="56">
        <f t="shared" si="277"/>
        <v>0</v>
      </c>
      <c r="DV185" s="56">
        <f t="shared" si="277"/>
        <v>0</v>
      </c>
      <c r="DW185" s="56">
        <f t="shared" si="277"/>
        <v>0</v>
      </c>
      <c r="DX185" s="56">
        <f t="shared" si="277"/>
        <v>0</v>
      </c>
      <c r="DY185" s="56">
        <f t="shared" si="277"/>
        <v>0</v>
      </c>
      <c r="DZ185" s="56">
        <f t="shared" si="277"/>
        <v>0</v>
      </c>
      <c r="EA185" s="56">
        <f t="shared" si="277"/>
        <v>0</v>
      </c>
      <c r="EB185" s="56">
        <f t="shared" si="277"/>
        <v>0</v>
      </c>
      <c r="EC185" s="56">
        <f t="shared" si="277"/>
        <v>0</v>
      </c>
      <c r="ED185" s="56">
        <f t="shared" si="277"/>
        <v>0</v>
      </c>
      <c r="EE185" s="56">
        <f t="shared" si="277"/>
        <v>0</v>
      </c>
      <c r="EF185" s="56">
        <f t="shared" si="277"/>
        <v>0</v>
      </c>
      <c r="EG185" s="56">
        <f t="shared" si="277"/>
        <v>0</v>
      </c>
      <c r="EH185" s="56">
        <f t="shared" si="277"/>
        <v>0</v>
      </c>
      <c r="EI185" s="56">
        <f t="shared" ref="EI185:FN185" si="278">IF(EI$139&lt;=$B$82+$B$83-1,$C132,0)</f>
        <v>0</v>
      </c>
      <c r="EJ185" s="56">
        <f t="shared" si="278"/>
        <v>0</v>
      </c>
      <c r="EK185" s="56">
        <f t="shared" si="278"/>
        <v>0</v>
      </c>
      <c r="EL185" s="56">
        <f t="shared" si="278"/>
        <v>0</v>
      </c>
      <c r="EM185" s="56">
        <f t="shared" si="278"/>
        <v>0</v>
      </c>
      <c r="EN185" s="56">
        <f t="shared" si="278"/>
        <v>0</v>
      </c>
      <c r="EO185" s="56">
        <f t="shared" si="278"/>
        <v>0</v>
      </c>
      <c r="EP185" s="56">
        <f t="shared" si="278"/>
        <v>0</v>
      </c>
      <c r="EQ185" s="56">
        <f t="shared" si="278"/>
        <v>0</v>
      </c>
      <c r="ER185" s="56">
        <f t="shared" si="278"/>
        <v>0</v>
      </c>
      <c r="ES185" s="56">
        <f t="shared" si="278"/>
        <v>0</v>
      </c>
      <c r="ET185" s="56">
        <f t="shared" si="278"/>
        <v>0</v>
      </c>
      <c r="EU185" s="56">
        <f t="shared" si="278"/>
        <v>0</v>
      </c>
      <c r="EV185" s="56">
        <f t="shared" si="278"/>
        <v>0</v>
      </c>
      <c r="EW185" s="56">
        <f t="shared" si="278"/>
        <v>0</v>
      </c>
      <c r="EX185" s="56">
        <f t="shared" si="278"/>
        <v>0</v>
      </c>
      <c r="EY185" s="56">
        <f t="shared" si="278"/>
        <v>0</v>
      </c>
      <c r="EZ185" s="56">
        <f t="shared" si="278"/>
        <v>0</v>
      </c>
      <c r="FA185" s="56">
        <f t="shared" si="278"/>
        <v>0</v>
      </c>
      <c r="FB185" s="56">
        <f t="shared" si="278"/>
        <v>0</v>
      </c>
      <c r="FC185" s="56">
        <f t="shared" si="278"/>
        <v>0</v>
      </c>
      <c r="FD185" s="56">
        <f t="shared" si="278"/>
        <v>0</v>
      </c>
      <c r="FE185" s="56">
        <f t="shared" si="278"/>
        <v>0</v>
      </c>
      <c r="FF185" s="56">
        <f t="shared" si="278"/>
        <v>0</v>
      </c>
      <c r="FG185" s="56">
        <f t="shared" si="278"/>
        <v>0</v>
      </c>
      <c r="FH185" s="56">
        <f t="shared" si="278"/>
        <v>0</v>
      </c>
      <c r="FI185" s="56">
        <f t="shared" si="278"/>
        <v>0</v>
      </c>
      <c r="FJ185" s="56">
        <f t="shared" si="278"/>
        <v>0</v>
      </c>
      <c r="FK185" s="56">
        <f t="shared" si="278"/>
        <v>0</v>
      </c>
      <c r="FL185" s="56">
        <f t="shared" si="278"/>
        <v>0</v>
      </c>
      <c r="FM185" s="56">
        <f t="shared" si="278"/>
        <v>0</v>
      </c>
      <c r="FN185" s="56">
        <f t="shared" si="278"/>
        <v>0</v>
      </c>
      <c r="FO185" s="56">
        <f t="shared" ref="FO185:GP185" si="279">IF(FO$139&lt;=$B$82+$B$83-1,$C132,0)</f>
        <v>0</v>
      </c>
      <c r="FP185" s="56">
        <f t="shared" si="279"/>
        <v>0</v>
      </c>
      <c r="FQ185" s="56">
        <f t="shared" si="279"/>
        <v>0</v>
      </c>
      <c r="FR185" s="56">
        <f t="shared" si="279"/>
        <v>0</v>
      </c>
      <c r="FS185" s="56">
        <f t="shared" si="279"/>
        <v>0</v>
      </c>
      <c r="FT185" s="56">
        <f t="shared" si="279"/>
        <v>0</v>
      </c>
      <c r="FU185" s="56">
        <f t="shared" si="279"/>
        <v>0</v>
      </c>
      <c r="FV185" s="56">
        <f t="shared" si="279"/>
        <v>0</v>
      </c>
      <c r="FW185" s="56">
        <f t="shared" si="279"/>
        <v>0</v>
      </c>
      <c r="FX185" s="56">
        <f t="shared" si="279"/>
        <v>0</v>
      </c>
      <c r="FY185" s="56">
        <f t="shared" si="279"/>
        <v>0</v>
      </c>
      <c r="FZ185" s="56">
        <f t="shared" si="279"/>
        <v>0</v>
      </c>
      <c r="GA185" s="56">
        <f t="shared" si="279"/>
        <v>0</v>
      </c>
      <c r="GB185" s="56">
        <f t="shared" si="279"/>
        <v>0</v>
      </c>
      <c r="GC185" s="56">
        <f t="shared" si="279"/>
        <v>0</v>
      </c>
      <c r="GD185" s="56">
        <f t="shared" si="279"/>
        <v>0</v>
      </c>
      <c r="GE185" s="56">
        <f t="shared" si="279"/>
        <v>0</v>
      </c>
      <c r="GF185" s="56">
        <f t="shared" si="279"/>
        <v>0</v>
      </c>
      <c r="GG185" s="56">
        <f t="shared" si="279"/>
        <v>0</v>
      </c>
      <c r="GH185" s="56">
        <f t="shared" si="279"/>
        <v>0</v>
      </c>
      <c r="GI185" s="56">
        <f t="shared" si="279"/>
        <v>0</v>
      </c>
      <c r="GJ185" s="56">
        <f t="shared" si="279"/>
        <v>0</v>
      </c>
      <c r="GK185" s="56">
        <f t="shared" si="279"/>
        <v>0</v>
      </c>
      <c r="GL185" s="56">
        <f t="shared" si="279"/>
        <v>0</v>
      </c>
      <c r="GM185" s="56">
        <f t="shared" si="279"/>
        <v>0</v>
      </c>
      <c r="GN185" s="56">
        <f t="shared" si="279"/>
        <v>0</v>
      </c>
      <c r="GO185" s="56">
        <f t="shared" si="279"/>
        <v>0</v>
      </c>
      <c r="GP185" s="56">
        <f t="shared" si="279"/>
        <v>0</v>
      </c>
    </row>
    <row r="186" spans="1:198" x14ac:dyDescent="0.35">
      <c r="A186" s="55" t="str">
        <f t="shared" si="165"/>
        <v>Canada &gt; available in future</v>
      </c>
      <c r="B186" s="55" t="s">
        <v>298</v>
      </c>
      <c r="K186" s="56">
        <f t="shared" ref="K186:AP186" ca="1" si="280">IF(K$139&lt;=$B$82+$B$83-1,$C133,0)</f>
        <v>1.6210526315789473</v>
      </c>
      <c r="L186" s="56">
        <f t="shared" ca="1" si="280"/>
        <v>1.6210526315789473</v>
      </c>
      <c r="M186" s="56">
        <f t="shared" ca="1" si="280"/>
        <v>1.6210526315789473</v>
      </c>
      <c r="N186" s="56">
        <f t="shared" ca="1" si="280"/>
        <v>1.6210526315789473</v>
      </c>
      <c r="O186" s="56">
        <f t="shared" ca="1" si="280"/>
        <v>1.6210526315789473</v>
      </c>
      <c r="P186" s="56">
        <f t="shared" ca="1" si="280"/>
        <v>1.6210526315789473</v>
      </c>
      <c r="Q186" s="56">
        <f t="shared" ca="1" si="280"/>
        <v>1.6210526315789473</v>
      </c>
      <c r="R186" s="56">
        <f t="shared" ca="1" si="280"/>
        <v>1.6210526315789473</v>
      </c>
      <c r="S186" s="56">
        <f t="shared" ca="1" si="280"/>
        <v>1.6210526315789473</v>
      </c>
      <c r="T186" s="56">
        <f t="shared" ca="1" si="280"/>
        <v>1.6210526315789473</v>
      </c>
      <c r="U186" s="56">
        <f t="shared" ca="1" si="280"/>
        <v>1.6210526315789473</v>
      </c>
      <c r="V186" s="56">
        <f t="shared" ca="1" si="280"/>
        <v>1.6210526315789473</v>
      </c>
      <c r="W186" s="56">
        <f t="shared" ca="1" si="280"/>
        <v>1.6210526315789473</v>
      </c>
      <c r="X186" s="56">
        <f t="shared" ca="1" si="280"/>
        <v>1.6210526315789473</v>
      </c>
      <c r="Y186" s="56">
        <f t="shared" ca="1" si="280"/>
        <v>1.6210526315789473</v>
      </c>
      <c r="Z186" s="56">
        <f t="shared" ca="1" si="280"/>
        <v>1.6210526315789473</v>
      </c>
      <c r="AA186" s="56">
        <f t="shared" ca="1" si="280"/>
        <v>1.6210526315789473</v>
      </c>
      <c r="AB186" s="56">
        <f t="shared" ca="1" si="280"/>
        <v>1.6210526315789473</v>
      </c>
      <c r="AC186" s="56">
        <f t="shared" ca="1" si="280"/>
        <v>1.6210526315789473</v>
      </c>
      <c r="AD186" s="56">
        <f t="shared" ca="1" si="280"/>
        <v>1.6210526315789473</v>
      </c>
      <c r="AE186" s="56">
        <f t="shared" ca="1" si="280"/>
        <v>1.6210526315789473</v>
      </c>
      <c r="AF186" s="56">
        <f t="shared" ca="1" si="280"/>
        <v>1.6210526315789473</v>
      </c>
      <c r="AG186" s="56">
        <f t="shared" ca="1" si="280"/>
        <v>1.6210526315789473</v>
      </c>
      <c r="AH186" s="56">
        <f t="shared" ca="1" si="280"/>
        <v>1.6210526315789473</v>
      </c>
      <c r="AI186" s="56">
        <f t="shared" ca="1" si="280"/>
        <v>1.6210526315789473</v>
      </c>
      <c r="AJ186" s="56">
        <f t="shared" ca="1" si="280"/>
        <v>1.6210526315789473</v>
      </c>
      <c r="AK186" s="56">
        <f t="shared" ca="1" si="280"/>
        <v>1.6210526315789473</v>
      </c>
      <c r="AL186" s="56">
        <f t="shared" ca="1" si="280"/>
        <v>1.6210526315789473</v>
      </c>
      <c r="AM186" s="56">
        <f t="shared" ca="1" si="280"/>
        <v>1.6210526315789473</v>
      </c>
      <c r="AN186" s="56">
        <f t="shared" ca="1" si="280"/>
        <v>1.6210526315789473</v>
      </c>
      <c r="AO186" s="56">
        <f t="shared" ca="1" si="280"/>
        <v>1.6210526315789473</v>
      </c>
      <c r="AP186" s="56">
        <f t="shared" ca="1" si="280"/>
        <v>1.6210526315789473</v>
      </c>
      <c r="AQ186" s="56">
        <f t="shared" ref="AQ186:BV186" ca="1" si="281">IF(AQ$139&lt;=$B$82+$B$83-1,$C133,0)</f>
        <v>1.6210526315789473</v>
      </c>
      <c r="AR186" s="56">
        <f t="shared" ca="1" si="281"/>
        <v>1.6210526315789473</v>
      </c>
      <c r="AS186" s="56">
        <f t="shared" ca="1" si="281"/>
        <v>1.6210526315789473</v>
      </c>
      <c r="AT186" s="56">
        <f t="shared" ca="1" si="281"/>
        <v>1.6210526315789473</v>
      </c>
      <c r="AU186" s="56">
        <f t="shared" ca="1" si="281"/>
        <v>1.6210526315789473</v>
      </c>
      <c r="AV186" s="56">
        <f t="shared" ca="1" si="281"/>
        <v>1.6210526315789473</v>
      </c>
      <c r="AW186" s="56">
        <f t="shared" ca="1" si="281"/>
        <v>1.6210526315789473</v>
      </c>
      <c r="AX186" s="56">
        <f t="shared" ca="1" si="281"/>
        <v>1.6210526315789473</v>
      </c>
      <c r="AY186" s="56">
        <f t="shared" ca="1" si="281"/>
        <v>1.6210526315789473</v>
      </c>
      <c r="AZ186" s="56">
        <f t="shared" ca="1" si="281"/>
        <v>1.6210526315789473</v>
      </c>
      <c r="BA186" s="56">
        <f t="shared" ca="1" si="281"/>
        <v>1.6210526315789473</v>
      </c>
      <c r="BB186" s="56">
        <f t="shared" ca="1" si="281"/>
        <v>1.6210526315789473</v>
      </c>
      <c r="BC186" s="56">
        <f t="shared" ca="1" si="281"/>
        <v>1.6210526315789473</v>
      </c>
      <c r="BD186" s="56">
        <f t="shared" ca="1" si="281"/>
        <v>1.6210526315789473</v>
      </c>
      <c r="BE186" s="56">
        <f t="shared" ca="1" si="281"/>
        <v>1.6210526315789473</v>
      </c>
      <c r="BF186" s="56">
        <f t="shared" ca="1" si="281"/>
        <v>1.6210526315789473</v>
      </c>
      <c r="BG186" s="56">
        <f t="shared" ca="1" si="281"/>
        <v>1.6210526315789473</v>
      </c>
      <c r="BH186" s="56">
        <f t="shared" ca="1" si="281"/>
        <v>1.6210526315789473</v>
      </c>
      <c r="BI186" s="56">
        <f t="shared" ca="1" si="281"/>
        <v>1.6210526315789473</v>
      </c>
      <c r="BJ186" s="56">
        <f t="shared" ca="1" si="281"/>
        <v>1.6210526315789473</v>
      </c>
      <c r="BK186" s="56">
        <f t="shared" ca="1" si="281"/>
        <v>1.6210526315789473</v>
      </c>
      <c r="BL186" s="56">
        <f t="shared" ca="1" si="281"/>
        <v>1.6210526315789473</v>
      </c>
      <c r="BM186" s="56">
        <f t="shared" ca="1" si="281"/>
        <v>1.6210526315789473</v>
      </c>
      <c r="BN186" s="56">
        <f t="shared" ca="1" si="281"/>
        <v>1.6210526315789473</v>
      </c>
      <c r="BO186" s="56">
        <f t="shared" ca="1" si="281"/>
        <v>1.6210526315789473</v>
      </c>
      <c r="BP186" s="56">
        <f t="shared" ca="1" si="281"/>
        <v>1.6210526315789473</v>
      </c>
      <c r="BQ186" s="56">
        <f t="shared" ca="1" si="281"/>
        <v>1.6210526315789473</v>
      </c>
      <c r="BR186" s="56">
        <f t="shared" ca="1" si="281"/>
        <v>1.6210526315789473</v>
      </c>
      <c r="BS186" s="56">
        <f t="shared" ca="1" si="281"/>
        <v>1.6210526315789473</v>
      </c>
      <c r="BT186" s="56">
        <f t="shared" ca="1" si="281"/>
        <v>1.6210526315789473</v>
      </c>
      <c r="BU186" s="56">
        <f t="shared" ca="1" si="281"/>
        <v>1.6210526315789473</v>
      </c>
      <c r="BV186" s="56">
        <f t="shared" ca="1" si="281"/>
        <v>1.6210526315789473</v>
      </c>
      <c r="BW186" s="56">
        <f t="shared" ref="BW186:DB186" ca="1" si="282">IF(BW$139&lt;=$B$82+$B$83-1,$C133,0)</f>
        <v>1.6210526315789473</v>
      </c>
      <c r="BX186" s="56">
        <f t="shared" ca="1" si="282"/>
        <v>1.6210526315789473</v>
      </c>
      <c r="BY186" s="56">
        <f t="shared" ca="1" si="282"/>
        <v>1.6210526315789473</v>
      </c>
      <c r="BZ186" s="56">
        <f t="shared" ca="1" si="282"/>
        <v>1.6210526315789473</v>
      </c>
      <c r="CA186" s="56">
        <f t="shared" ca="1" si="282"/>
        <v>1.6210526315789473</v>
      </c>
      <c r="CB186" s="56">
        <f t="shared" ca="1" si="282"/>
        <v>1.6210526315789473</v>
      </c>
      <c r="CC186" s="56">
        <f t="shared" ca="1" si="282"/>
        <v>1.6210526315789473</v>
      </c>
      <c r="CD186" s="56">
        <f t="shared" ca="1" si="282"/>
        <v>1.6210526315789473</v>
      </c>
      <c r="CE186" s="56">
        <f t="shared" ca="1" si="282"/>
        <v>1.6210526315789473</v>
      </c>
      <c r="CF186" s="56">
        <f t="shared" ca="1" si="282"/>
        <v>1.6210526315789473</v>
      </c>
      <c r="CG186" s="56">
        <f t="shared" ca="1" si="282"/>
        <v>1.6210526315789473</v>
      </c>
      <c r="CH186" s="56">
        <f t="shared" ca="1" si="282"/>
        <v>1.6210526315789473</v>
      </c>
      <c r="CI186" s="56">
        <f t="shared" ca="1" si="282"/>
        <v>1.6210526315789473</v>
      </c>
      <c r="CJ186" s="56">
        <f t="shared" ca="1" si="282"/>
        <v>1.6210526315789473</v>
      </c>
      <c r="CK186" s="56">
        <f t="shared" si="282"/>
        <v>0</v>
      </c>
      <c r="CL186" s="56">
        <f t="shared" si="282"/>
        <v>0</v>
      </c>
      <c r="CM186" s="56">
        <f t="shared" si="282"/>
        <v>0</v>
      </c>
      <c r="CN186" s="56">
        <f t="shared" si="282"/>
        <v>0</v>
      </c>
      <c r="CO186" s="56">
        <f t="shared" si="282"/>
        <v>0</v>
      </c>
      <c r="CP186" s="56">
        <f t="shared" si="282"/>
        <v>0</v>
      </c>
      <c r="CQ186" s="56">
        <f t="shared" si="282"/>
        <v>0</v>
      </c>
      <c r="CR186" s="56">
        <f t="shared" si="282"/>
        <v>0</v>
      </c>
      <c r="CS186" s="56">
        <f t="shared" si="282"/>
        <v>0</v>
      </c>
      <c r="CT186" s="56">
        <f t="shared" si="282"/>
        <v>0</v>
      </c>
      <c r="CU186" s="56">
        <f t="shared" si="282"/>
        <v>0</v>
      </c>
      <c r="CV186" s="56">
        <f t="shared" si="282"/>
        <v>0</v>
      </c>
      <c r="CW186" s="56">
        <f t="shared" si="282"/>
        <v>0</v>
      </c>
      <c r="CX186" s="56">
        <f t="shared" si="282"/>
        <v>0</v>
      </c>
      <c r="CY186" s="56">
        <f t="shared" si="282"/>
        <v>0</v>
      </c>
      <c r="CZ186" s="56">
        <f t="shared" si="282"/>
        <v>0</v>
      </c>
      <c r="DA186" s="56">
        <f t="shared" si="282"/>
        <v>0</v>
      </c>
      <c r="DB186" s="56">
        <f t="shared" si="282"/>
        <v>0</v>
      </c>
      <c r="DC186" s="56">
        <f t="shared" ref="DC186:EH186" si="283">IF(DC$139&lt;=$B$82+$B$83-1,$C133,0)</f>
        <v>0</v>
      </c>
      <c r="DD186" s="56">
        <f t="shared" si="283"/>
        <v>0</v>
      </c>
      <c r="DE186" s="56">
        <f t="shared" si="283"/>
        <v>0</v>
      </c>
      <c r="DF186" s="56">
        <f t="shared" si="283"/>
        <v>0</v>
      </c>
      <c r="DG186" s="56">
        <f t="shared" si="283"/>
        <v>0</v>
      </c>
      <c r="DH186" s="56">
        <f t="shared" si="283"/>
        <v>0</v>
      </c>
      <c r="DI186" s="56">
        <f t="shared" si="283"/>
        <v>0</v>
      </c>
      <c r="DJ186" s="56">
        <f t="shared" si="283"/>
        <v>0</v>
      </c>
      <c r="DK186" s="56">
        <f t="shared" si="283"/>
        <v>0</v>
      </c>
      <c r="DL186" s="56">
        <f t="shared" si="283"/>
        <v>0</v>
      </c>
      <c r="DM186" s="56">
        <f t="shared" si="283"/>
        <v>0</v>
      </c>
      <c r="DN186" s="56">
        <f t="shared" si="283"/>
        <v>0</v>
      </c>
      <c r="DO186" s="56">
        <f t="shared" si="283"/>
        <v>0</v>
      </c>
      <c r="DP186" s="56">
        <f t="shared" si="283"/>
        <v>0</v>
      </c>
      <c r="DQ186" s="56">
        <f t="shared" si="283"/>
        <v>0</v>
      </c>
      <c r="DR186" s="56">
        <f t="shared" si="283"/>
        <v>0</v>
      </c>
      <c r="DS186" s="56">
        <f t="shared" si="283"/>
        <v>0</v>
      </c>
      <c r="DT186" s="56">
        <f t="shared" si="283"/>
        <v>0</v>
      </c>
      <c r="DU186" s="56">
        <f t="shared" si="283"/>
        <v>0</v>
      </c>
      <c r="DV186" s="56">
        <f t="shared" si="283"/>
        <v>0</v>
      </c>
      <c r="DW186" s="56">
        <f t="shared" si="283"/>
        <v>0</v>
      </c>
      <c r="DX186" s="56">
        <f t="shared" si="283"/>
        <v>0</v>
      </c>
      <c r="DY186" s="56">
        <f t="shared" si="283"/>
        <v>0</v>
      </c>
      <c r="DZ186" s="56">
        <f t="shared" si="283"/>
        <v>0</v>
      </c>
      <c r="EA186" s="56">
        <f t="shared" si="283"/>
        <v>0</v>
      </c>
      <c r="EB186" s="56">
        <f t="shared" si="283"/>
        <v>0</v>
      </c>
      <c r="EC186" s="56">
        <f t="shared" si="283"/>
        <v>0</v>
      </c>
      <c r="ED186" s="56">
        <f t="shared" si="283"/>
        <v>0</v>
      </c>
      <c r="EE186" s="56">
        <f t="shared" si="283"/>
        <v>0</v>
      </c>
      <c r="EF186" s="56">
        <f t="shared" si="283"/>
        <v>0</v>
      </c>
      <c r="EG186" s="56">
        <f t="shared" si="283"/>
        <v>0</v>
      </c>
      <c r="EH186" s="56">
        <f t="shared" si="283"/>
        <v>0</v>
      </c>
      <c r="EI186" s="56">
        <f t="shared" ref="EI186:FN186" si="284">IF(EI$139&lt;=$B$82+$B$83-1,$C133,0)</f>
        <v>0</v>
      </c>
      <c r="EJ186" s="56">
        <f t="shared" si="284"/>
        <v>0</v>
      </c>
      <c r="EK186" s="56">
        <f t="shared" si="284"/>
        <v>0</v>
      </c>
      <c r="EL186" s="56">
        <f t="shared" si="284"/>
        <v>0</v>
      </c>
      <c r="EM186" s="56">
        <f t="shared" si="284"/>
        <v>0</v>
      </c>
      <c r="EN186" s="56">
        <f t="shared" si="284"/>
        <v>0</v>
      </c>
      <c r="EO186" s="56">
        <f t="shared" si="284"/>
        <v>0</v>
      </c>
      <c r="EP186" s="56">
        <f t="shared" si="284"/>
        <v>0</v>
      </c>
      <c r="EQ186" s="56">
        <f t="shared" si="284"/>
        <v>0</v>
      </c>
      <c r="ER186" s="56">
        <f t="shared" si="284"/>
        <v>0</v>
      </c>
      <c r="ES186" s="56">
        <f t="shared" si="284"/>
        <v>0</v>
      </c>
      <c r="ET186" s="56">
        <f t="shared" si="284"/>
        <v>0</v>
      </c>
      <c r="EU186" s="56">
        <f t="shared" si="284"/>
        <v>0</v>
      </c>
      <c r="EV186" s="56">
        <f t="shared" si="284"/>
        <v>0</v>
      </c>
      <c r="EW186" s="56">
        <f t="shared" si="284"/>
        <v>0</v>
      </c>
      <c r="EX186" s="56">
        <f t="shared" si="284"/>
        <v>0</v>
      </c>
      <c r="EY186" s="56">
        <f t="shared" si="284"/>
        <v>0</v>
      </c>
      <c r="EZ186" s="56">
        <f t="shared" si="284"/>
        <v>0</v>
      </c>
      <c r="FA186" s="56">
        <f t="shared" si="284"/>
        <v>0</v>
      </c>
      <c r="FB186" s="56">
        <f t="shared" si="284"/>
        <v>0</v>
      </c>
      <c r="FC186" s="56">
        <f t="shared" si="284"/>
        <v>0</v>
      </c>
      <c r="FD186" s="56">
        <f t="shared" si="284"/>
        <v>0</v>
      </c>
      <c r="FE186" s="56">
        <f t="shared" si="284"/>
        <v>0</v>
      </c>
      <c r="FF186" s="56">
        <f t="shared" si="284"/>
        <v>0</v>
      </c>
      <c r="FG186" s="56">
        <f t="shared" si="284"/>
        <v>0</v>
      </c>
      <c r="FH186" s="56">
        <f t="shared" si="284"/>
        <v>0</v>
      </c>
      <c r="FI186" s="56">
        <f t="shared" si="284"/>
        <v>0</v>
      </c>
      <c r="FJ186" s="56">
        <f t="shared" si="284"/>
        <v>0</v>
      </c>
      <c r="FK186" s="56">
        <f t="shared" si="284"/>
        <v>0</v>
      </c>
      <c r="FL186" s="56">
        <f t="shared" si="284"/>
        <v>0</v>
      </c>
      <c r="FM186" s="56">
        <f t="shared" si="284"/>
        <v>0</v>
      </c>
      <c r="FN186" s="56">
        <f t="shared" si="284"/>
        <v>0</v>
      </c>
      <c r="FO186" s="56">
        <f t="shared" ref="FO186:GP186" si="285">IF(FO$139&lt;=$B$82+$B$83-1,$C133,0)</f>
        <v>0</v>
      </c>
      <c r="FP186" s="56">
        <f t="shared" si="285"/>
        <v>0</v>
      </c>
      <c r="FQ186" s="56">
        <f t="shared" si="285"/>
        <v>0</v>
      </c>
      <c r="FR186" s="56">
        <f t="shared" si="285"/>
        <v>0</v>
      </c>
      <c r="FS186" s="56">
        <f t="shared" si="285"/>
        <v>0</v>
      </c>
      <c r="FT186" s="56">
        <f t="shared" si="285"/>
        <v>0</v>
      </c>
      <c r="FU186" s="56">
        <f t="shared" si="285"/>
        <v>0</v>
      </c>
      <c r="FV186" s="56">
        <f t="shared" si="285"/>
        <v>0</v>
      </c>
      <c r="FW186" s="56">
        <f t="shared" si="285"/>
        <v>0</v>
      </c>
      <c r="FX186" s="56">
        <f t="shared" si="285"/>
        <v>0</v>
      </c>
      <c r="FY186" s="56">
        <f t="shared" si="285"/>
        <v>0</v>
      </c>
      <c r="FZ186" s="56">
        <f t="shared" si="285"/>
        <v>0</v>
      </c>
      <c r="GA186" s="56">
        <f t="shared" si="285"/>
        <v>0</v>
      </c>
      <c r="GB186" s="56">
        <f t="shared" si="285"/>
        <v>0</v>
      </c>
      <c r="GC186" s="56">
        <f t="shared" si="285"/>
        <v>0</v>
      </c>
      <c r="GD186" s="56">
        <f t="shared" si="285"/>
        <v>0</v>
      </c>
      <c r="GE186" s="56">
        <f t="shared" si="285"/>
        <v>0</v>
      </c>
      <c r="GF186" s="56">
        <f t="shared" si="285"/>
        <v>0</v>
      </c>
      <c r="GG186" s="56">
        <f t="shared" si="285"/>
        <v>0</v>
      </c>
      <c r="GH186" s="56">
        <f t="shared" si="285"/>
        <v>0</v>
      </c>
      <c r="GI186" s="56">
        <f t="shared" si="285"/>
        <v>0</v>
      </c>
      <c r="GJ186" s="56">
        <f t="shared" si="285"/>
        <v>0</v>
      </c>
      <c r="GK186" s="56">
        <f t="shared" si="285"/>
        <v>0</v>
      </c>
      <c r="GL186" s="56">
        <f t="shared" si="285"/>
        <v>0</v>
      </c>
      <c r="GM186" s="56">
        <f t="shared" si="285"/>
        <v>0</v>
      </c>
      <c r="GN186" s="56">
        <f t="shared" si="285"/>
        <v>0</v>
      </c>
      <c r="GO186" s="56">
        <f t="shared" si="285"/>
        <v>0</v>
      </c>
      <c r="GP186" s="56">
        <f t="shared" si="285"/>
        <v>0</v>
      </c>
    </row>
    <row r="187" spans="1:198" x14ac:dyDescent="0.35">
      <c r="A187" s="55" t="str">
        <f t="shared" si="165"/>
        <v>Other &gt; available in future</v>
      </c>
      <c r="B187" s="55" t="s">
        <v>298</v>
      </c>
      <c r="K187" s="56">
        <f t="shared" ref="K187:AP187" ca="1" si="286">IF(K$139&lt;=$B$82+$B$83-1,$C134,0)</f>
        <v>0</v>
      </c>
      <c r="L187" s="56">
        <f t="shared" ca="1" si="286"/>
        <v>0</v>
      </c>
      <c r="M187" s="56">
        <f t="shared" ca="1" si="286"/>
        <v>0</v>
      </c>
      <c r="N187" s="56">
        <f t="shared" ca="1" si="286"/>
        <v>0</v>
      </c>
      <c r="O187" s="56">
        <f t="shared" ca="1" si="286"/>
        <v>0</v>
      </c>
      <c r="P187" s="56">
        <f t="shared" ca="1" si="286"/>
        <v>0</v>
      </c>
      <c r="Q187" s="56">
        <f t="shared" ca="1" si="286"/>
        <v>0</v>
      </c>
      <c r="R187" s="56">
        <f t="shared" ca="1" si="286"/>
        <v>0</v>
      </c>
      <c r="S187" s="56">
        <f t="shared" ca="1" si="286"/>
        <v>0</v>
      </c>
      <c r="T187" s="56">
        <f t="shared" ca="1" si="286"/>
        <v>0</v>
      </c>
      <c r="U187" s="56">
        <f t="shared" ca="1" si="286"/>
        <v>0</v>
      </c>
      <c r="V187" s="56">
        <f t="shared" ca="1" si="286"/>
        <v>0</v>
      </c>
      <c r="W187" s="56">
        <f t="shared" ca="1" si="286"/>
        <v>0</v>
      </c>
      <c r="X187" s="56">
        <f t="shared" ca="1" si="286"/>
        <v>0</v>
      </c>
      <c r="Y187" s="56">
        <f t="shared" ca="1" si="286"/>
        <v>0</v>
      </c>
      <c r="Z187" s="56">
        <f t="shared" ca="1" si="286"/>
        <v>0</v>
      </c>
      <c r="AA187" s="56">
        <f t="shared" ca="1" si="286"/>
        <v>0</v>
      </c>
      <c r="AB187" s="56">
        <f t="shared" ca="1" si="286"/>
        <v>0</v>
      </c>
      <c r="AC187" s="56">
        <f t="shared" ca="1" si="286"/>
        <v>0</v>
      </c>
      <c r="AD187" s="56">
        <f t="shared" ca="1" si="286"/>
        <v>0</v>
      </c>
      <c r="AE187" s="56">
        <f t="shared" ca="1" si="286"/>
        <v>0</v>
      </c>
      <c r="AF187" s="56">
        <f t="shared" ca="1" si="286"/>
        <v>0</v>
      </c>
      <c r="AG187" s="56">
        <f t="shared" ca="1" si="286"/>
        <v>0</v>
      </c>
      <c r="AH187" s="56">
        <f t="shared" ca="1" si="286"/>
        <v>0</v>
      </c>
      <c r="AI187" s="56">
        <f t="shared" ca="1" si="286"/>
        <v>0</v>
      </c>
      <c r="AJ187" s="56">
        <f t="shared" ca="1" si="286"/>
        <v>0</v>
      </c>
      <c r="AK187" s="56">
        <f t="shared" ca="1" si="286"/>
        <v>0</v>
      </c>
      <c r="AL187" s="56">
        <f t="shared" ca="1" si="286"/>
        <v>0</v>
      </c>
      <c r="AM187" s="56">
        <f t="shared" ca="1" si="286"/>
        <v>0</v>
      </c>
      <c r="AN187" s="56">
        <f t="shared" ca="1" si="286"/>
        <v>0</v>
      </c>
      <c r="AO187" s="56">
        <f t="shared" ca="1" si="286"/>
        <v>0</v>
      </c>
      <c r="AP187" s="56">
        <f t="shared" ca="1" si="286"/>
        <v>0</v>
      </c>
      <c r="AQ187" s="56">
        <f t="shared" ref="AQ187:BV187" ca="1" si="287">IF(AQ$139&lt;=$B$82+$B$83-1,$C134,0)</f>
        <v>0</v>
      </c>
      <c r="AR187" s="56">
        <f t="shared" ca="1" si="287"/>
        <v>0</v>
      </c>
      <c r="AS187" s="56">
        <f t="shared" ca="1" si="287"/>
        <v>0</v>
      </c>
      <c r="AT187" s="56">
        <f t="shared" ca="1" si="287"/>
        <v>0</v>
      </c>
      <c r="AU187" s="56">
        <f t="shared" ca="1" si="287"/>
        <v>0</v>
      </c>
      <c r="AV187" s="56">
        <f t="shared" ca="1" si="287"/>
        <v>0</v>
      </c>
      <c r="AW187" s="56">
        <f t="shared" ca="1" si="287"/>
        <v>0</v>
      </c>
      <c r="AX187" s="56">
        <f t="shared" ca="1" si="287"/>
        <v>0</v>
      </c>
      <c r="AY187" s="56">
        <f t="shared" ca="1" si="287"/>
        <v>0</v>
      </c>
      <c r="AZ187" s="56">
        <f t="shared" ca="1" si="287"/>
        <v>0</v>
      </c>
      <c r="BA187" s="56">
        <f t="shared" ca="1" si="287"/>
        <v>0</v>
      </c>
      <c r="BB187" s="56">
        <f t="shared" ca="1" si="287"/>
        <v>0</v>
      </c>
      <c r="BC187" s="56">
        <f t="shared" ca="1" si="287"/>
        <v>0</v>
      </c>
      <c r="BD187" s="56">
        <f t="shared" ca="1" si="287"/>
        <v>0</v>
      </c>
      <c r="BE187" s="56">
        <f t="shared" ca="1" si="287"/>
        <v>0</v>
      </c>
      <c r="BF187" s="56">
        <f t="shared" ca="1" si="287"/>
        <v>0</v>
      </c>
      <c r="BG187" s="56">
        <f t="shared" ca="1" si="287"/>
        <v>0</v>
      </c>
      <c r="BH187" s="56">
        <f t="shared" ca="1" si="287"/>
        <v>0</v>
      </c>
      <c r="BI187" s="56">
        <f t="shared" ca="1" si="287"/>
        <v>0</v>
      </c>
      <c r="BJ187" s="56">
        <f t="shared" ca="1" si="287"/>
        <v>0</v>
      </c>
      <c r="BK187" s="56">
        <f t="shared" ca="1" si="287"/>
        <v>0</v>
      </c>
      <c r="BL187" s="56">
        <f t="shared" ca="1" si="287"/>
        <v>0</v>
      </c>
      <c r="BM187" s="56">
        <f t="shared" ca="1" si="287"/>
        <v>0</v>
      </c>
      <c r="BN187" s="56">
        <f t="shared" ca="1" si="287"/>
        <v>0</v>
      </c>
      <c r="BO187" s="56">
        <f t="shared" ca="1" si="287"/>
        <v>0</v>
      </c>
      <c r="BP187" s="56">
        <f t="shared" ca="1" si="287"/>
        <v>0</v>
      </c>
      <c r="BQ187" s="56">
        <f t="shared" ca="1" si="287"/>
        <v>0</v>
      </c>
      <c r="BR187" s="56">
        <f t="shared" ca="1" si="287"/>
        <v>0</v>
      </c>
      <c r="BS187" s="56">
        <f t="shared" ca="1" si="287"/>
        <v>0</v>
      </c>
      <c r="BT187" s="56">
        <f t="shared" ca="1" si="287"/>
        <v>0</v>
      </c>
      <c r="BU187" s="56">
        <f t="shared" ca="1" si="287"/>
        <v>0</v>
      </c>
      <c r="BV187" s="56">
        <f t="shared" ca="1" si="287"/>
        <v>0</v>
      </c>
      <c r="BW187" s="56">
        <f t="shared" ref="BW187:DB187" ca="1" si="288">IF(BW$139&lt;=$B$82+$B$83-1,$C134,0)</f>
        <v>0</v>
      </c>
      <c r="BX187" s="56">
        <f t="shared" ca="1" si="288"/>
        <v>0</v>
      </c>
      <c r="BY187" s="56">
        <f t="shared" ca="1" si="288"/>
        <v>0</v>
      </c>
      <c r="BZ187" s="56">
        <f t="shared" ca="1" si="288"/>
        <v>0</v>
      </c>
      <c r="CA187" s="56">
        <f t="shared" ca="1" si="288"/>
        <v>0</v>
      </c>
      <c r="CB187" s="56">
        <f t="shared" ca="1" si="288"/>
        <v>0</v>
      </c>
      <c r="CC187" s="56">
        <f t="shared" ca="1" si="288"/>
        <v>0</v>
      </c>
      <c r="CD187" s="56">
        <f t="shared" ca="1" si="288"/>
        <v>0</v>
      </c>
      <c r="CE187" s="56">
        <f t="shared" ca="1" si="288"/>
        <v>0</v>
      </c>
      <c r="CF187" s="56">
        <f t="shared" ca="1" si="288"/>
        <v>0</v>
      </c>
      <c r="CG187" s="56">
        <f t="shared" ca="1" si="288"/>
        <v>0</v>
      </c>
      <c r="CH187" s="56">
        <f t="shared" ca="1" si="288"/>
        <v>0</v>
      </c>
      <c r="CI187" s="56">
        <f t="shared" ca="1" si="288"/>
        <v>0</v>
      </c>
      <c r="CJ187" s="56">
        <f t="shared" ca="1" si="288"/>
        <v>0</v>
      </c>
      <c r="CK187" s="56">
        <f t="shared" si="288"/>
        <v>0</v>
      </c>
      <c r="CL187" s="56">
        <f t="shared" si="288"/>
        <v>0</v>
      </c>
      <c r="CM187" s="56">
        <f t="shared" si="288"/>
        <v>0</v>
      </c>
      <c r="CN187" s="56">
        <f t="shared" si="288"/>
        <v>0</v>
      </c>
      <c r="CO187" s="56">
        <f t="shared" si="288"/>
        <v>0</v>
      </c>
      <c r="CP187" s="56">
        <f t="shared" si="288"/>
        <v>0</v>
      </c>
      <c r="CQ187" s="56">
        <f t="shared" si="288"/>
        <v>0</v>
      </c>
      <c r="CR187" s="56">
        <f t="shared" si="288"/>
        <v>0</v>
      </c>
      <c r="CS187" s="56">
        <f t="shared" si="288"/>
        <v>0</v>
      </c>
      <c r="CT187" s="56">
        <f t="shared" si="288"/>
        <v>0</v>
      </c>
      <c r="CU187" s="56">
        <f t="shared" si="288"/>
        <v>0</v>
      </c>
      <c r="CV187" s="56">
        <f t="shared" si="288"/>
        <v>0</v>
      </c>
      <c r="CW187" s="56">
        <f t="shared" si="288"/>
        <v>0</v>
      </c>
      <c r="CX187" s="56">
        <f t="shared" si="288"/>
        <v>0</v>
      </c>
      <c r="CY187" s="56">
        <f t="shared" si="288"/>
        <v>0</v>
      </c>
      <c r="CZ187" s="56">
        <f t="shared" si="288"/>
        <v>0</v>
      </c>
      <c r="DA187" s="56">
        <f t="shared" si="288"/>
        <v>0</v>
      </c>
      <c r="DB187" s="56">
        <f t="shared" si="288"/>
        <v>0</v>
      </c>
      <c r="DC187" s="56">
        <f t="shared" ref="DC187:EH187" si="289">IF(DC$139&lt;=$B$82+$B$83-1,$C134,0)</f>
        <v>0</v>
      </c>
      <c r="DD187" s="56">
        <f t="shared" si="289"/>
        <v>0</v>
      </c>
      <c r="DE187" s="56">
        <f t="shared" si="289"/>
        <v>0</v>
      </c>
      <c r="DF187" s="56">
        <f t="shared" si="289"/>
        <v>0</v>
      </c>
      <c r="DG187" s="56">
        <f t="shared" si="289"/>
        <v>0</v>
      </c>
      <c r="DH187" s="56">
        <f t="shared" si="289"/>
        <v>0</v>
      </c>
      <c r="DI187" s="56">
        <f t="shared" si="289"/>
        <v>0</v>
      </c>
      <c r="DJ187" s="56">
        <f t="shared" si="289"/>
        <v>0</v>
      </c>
      <c r="DK187" s="56">
        <f t="shared" si="289"/>
        <v>0</v>
      </c>
      <c r="DL187" s="56">
        <f t="shared" si="289"/>
        <v>0</v>
      </c>
      <c r="DM187" s="56">
        <f t="shared" si="289"/>
        <v>0</v>
      </c>
      <c r="DN187" s="56">
        <f t="shared" si="289"/>
        <v>0</v>
      </c>
      <c r="DO187" s="56">
        <f t="shared" si="289"/>
        <v>0</v>
      </c>
      <c r="DP187" s="56">
        <f t="shared" si="289"/>
        <v>0</v>
      </c>
      <c r="DQ187" s="56">
        <f t="shared" si="289"/>
        <v>0</v>
      </c>
      <c r="DR187" s="56">
        <f t="shared" si="289"/>
        <v>0</v>
      </c>
      <c r="DS187" s="56">
        <f t="shared" si="289"/>
        <v>0</v>
      </c>
      <c r="DT187" s="56">
        <f t="shared" si="289"/>
        <v>0</v>
      </c>
      <c r="DU187" s="56">
        <f t="shared" si="289"/>
        <v>0</v>
      </c>
      <c r="DV187" s="56">
        <f t="shared" si="289"/>
        <v>0</v>
      </c>
      <c r="DW187" s="56">
        <f t="shared" si="289"/>
        <v>0</v>
      </c>
      <c r="DX187" s="56">
        <f t="shared" si="289"/>
        <v>0</v>
      </c>
      <c r="DY187" s="56">
        <f t="shared" si="289"/>
        <v>0</v>
      </c>
      <c r="DZ187" s="56">
        <f t="shared" si="289"/>
        <v>0</v>
      </c>
      <c r="EA187" s="56">
        <f t="shared" si="289"/>
        <v>0</v>
      </c>
      <c r="EB187" s="56">
        <f t="shared" si="289"/>
        <v>0</v>
      </c>
      <c r="EC187" s="56">
        <f t="shared" si="289"/>
        <v>0</v>
      </c>
      <c r="ED187" s="56">
        <f t="shared" si="289"/>
        <v>0</v>
      </c>
      <c r="EE187" s="56">
        <f t="shared" si="289"/>
        <v>0</v>
      </c>
      <c r="EF187" s="56">
        <f t="shared" si="289"/>
        <v>0</v>
      </c>
      <c r="EG187" s="56">
        <f t="shared" si="289"/>
        <v>0</v>
      </c>
      <c r="EH187" s="56">
        <f t="shared" si="289"/>
        <v>0</v>
      </c>
      <c r="EI187" s="56">
        <f t="shared" ref="EI187:FN187" si="290">IF(EI$139&lt;=$B$82+$B$83-1,$C134,0)</f>
        <v>0</v>
      </c>
      <c r="EJ187" s="56">
        <f t="shared" si="290"/>
        <v>0</v>
      </c>
      <c r="EK187" s="56">
        <f t="shared" si="290"/>
        <v>0</v>
      </c>
      <c r="EL187" s="56">
        <f t="shared" si="290"/>
        <v>0</v>
      </c>
      <c r="EM187" s="56">
        <f t="shared" si="290"/>
        <v>0</v>
      </c>
      <c r="EN187" s="56">
        <f t="shared" si="290"/>
        <v>0</v>
      </c>
      <c r="EO187" s="56">
        <f t="shared" si="290"/>
        <v>0</v>
      </c>
      <c r="EP187" s="56">
        <f t="shared" si="290"/>
        <v>0</v>
      </c>
      <c r="EQ187" s="56">
        <f t="shared" si="290"/>
        <v>0</v>
      </c>
      <c r="ER187" s="56">
        <f t="shared" si="290"/>
        <v>0</v>
      </c>
      <c r="ES187" s="56">
        <f t="shared" si="290"/>
        <v>0</v>
      </c>
      <c r="ET187" s="56">
        <f t="shared" si="290"/>
        <v>0</v>
      </c>
      <c r="EU187" s="56">
        <f t="shared" si="290"/>
        <v>0</v>
      </c>
      <c r="EV187" s="56">
        <f t="shared" si="290"/>
        <v>0</v>
      </c>
      <c r="EW187" s="56">
        <f t="shared" si="290"/>
        <v>0</v>
      </c>
      <c r="EX187" s="56">
        <f t="shared" si="290"/>
        <v>0</v>
      </c>
      <c r="EY187" s="56">
        <f t="shared" si="290"/>
        <v>0</v>
      </c>
      <c r="EZ187" s="56">
        <f t="shared" si="290"/>
        <v>0</v>
      </c>
      <c r="FA187" s="56">
        <f t="shared" si="290"/>
        <v>0</v>
      </c>
      <c r="FB187" s="56">
        <f t="shared" si="290"/>
        <v>0</v>
      </c>
      <c r="FC187" s="56">
        <f t="shared" si="290"/>
        <v>0</v>
      </c>
      <c r="FD187" s="56">
        <f t="shared" si="290"/>
        <v>0</v>
      </c>
      <c r="FE187" s="56">
        <f t="shared" si="290"/>
        <v>0</v>
      </c>
      <c r="FF187" s="56">
        <f t="shared" si="290"/>
        <v>0</v>
      </c>
      <c r="FG187" s="56">
        <f t="shared" si="290"/>
        <v>0</v>
      </c>
      <c r="FH187" s="56">
        <f t="shared" si="290"/>
        <v>0</v>
      </c>
      <c r="FI187" s="56">
        <f t="shared" si="290"/>
        <v>0</v>
      </c>
      <c r="FJ187" s="56">
        <f t="shared" si="290"/>
        <v>0</v>
      </c>
      <c r="FK187" s="56">
        <f t="shared" si="290"/>
        <v>0</v>
      </c>
      <c r="FL187" s="56">
        <f t="shared" si="290"/>
        <v>0</v>
      </c>
      <c r="FM187" s="56">
        <f t="shared" si="290"/>
        <v>0</v>
      </c>
      <c r="FN187" s="56">
        <f t="shared" si="290"/>
        <v>0</v>
      </c>
      <c r="FO187" s="56">
        <f t="shared" ref="FO187:GP187" si="291">IF(FO$139&lt;=$B$82+$B$83-1,$C134,0)</f>
        <v>0</v>
      </c>
      <c r="FP187" s="56">
        <f t="shared" si="291"/>
        <v>0</v>
      </c>
      <c r="FQ187" s="56">
        <f t="shared" si="291"/>
        <v>0</v>
      </c>
      <c r="FR187" s="56">
        <f t="shared" si="291"/>
        <v>0</v>
      </c>
      <c r="FS187" s="56">
        <f t="shared" si="291"/>
        <v>0</v>
      </c>
      <c r="FT187" s="56">
        <f t="shared" si="291"/>
        <v>0</v>
      </c>
      <c r="FU187" s="56">
        <f t="shared" si="291"/>
        <v>0</v>
      </c>
      <c r="FV187" s="56">
        <f t="shared" si="291"/>
        <v>0</v>
      </c>
      <c r="FW187" s="56">
        <f t="shared" si="291"/>
        <v>0</v>
      </c>
      <c r="FX187" s="56">
        <f t="shared" si="291"/>
        <v>0</v>
      </c>
      <c r="FY187" s="56">
        <f t="shared" si="291"/>
        <v>0</v>
      </c>
      <c r="FZ187" s="56">
        <f t="shared" si="291"/>
        <v>0</v>
      </c>
      <c r="GA187" s="56">
        <f t="shared" si="291"/>
        <v>0</v>
      </c>
      <c r="GB187" s="56">
        <f t="shared" si="291"/>
        <v>0</v>
      </c>
      <c r="GC187" s="56">
        <f t="shared" si="291"/>
        <v>0</v>
      </c>
      <c r="GD187" s="56">
        <f t="shared" si="291"/>
        <v>0</v>
      </c>
      <c r="GE187" s="56">
        <f t="shared" si="291"/>
        <v>0</v>
      </c>
      <c r="GF187" s="56">
        <f t="shared" si="291"/>
        <v>0</v>
      </c>
      <c r="GG187" s="56">
        <f t="shared" si="291"/>
        <v>0</v>
      </c>
      <c r="GH187" s="56">
        <f t="shared" si="291"/>
        <v>0</v>
      </c>
      <c r="GI187" s="56">
        <f t="shared" si="291"/>
        <v>0</v>
      </c>
      <c r="GJ187" s="56">
        <f t="shared" si="291"/>
        <v>0</v>
      </c>
      <c r="GK187" s="56">
        <f t="shared" si="291"/>
        <v>0</v>
      </c>
      <c r="GL187" s="56">
        <f t="shared" si="291"/>
        <v>0</v>
      </c>
      <c r="GM187" s="56">
        <f t="shared" si="291"/>
        <v>0</v>
      </c>
      <c r="GN187" s="56">
        <f t="shared" si="291"/>
        <v>0</v>
      </c>
      <c r="GO187" s="56">
        <f t="shared" si="291"/>
        <v>0</v>
      </c>
      <c r="GP187" s="56">
        <f t="shared" si="291"/>
        <v>0</v>
      </c>
    </row>
    <row r="188" spans="1:198" ht="24" x14ac:dyDescent="0.35">
      <c r="A188" s="57" t="str">
        <f t="shared" ca="1" si="165"/>
        <v>26
Available in future</v>
      </c>
      <c r="B188" s="55" t="s">
        <v>298</v>
      </c>
      <c r="K188" s="56">
        <f t="shared" ref="K188:AP188" si="292">IF(AND(K$139&gt;=$B$82+$B$83,K$139&lt;=$B$82+$B$83+$B$84-1),$C135,0)</f>
        <v>0</v>
      </c>
      <c r="L188" s="56">
        <f t="shared" si="292"/>
        <v>0</v>
      </c>
      <c r="M188" s="56">
        <f t="shared" si="292"/>
        <v>0</v>
      </c>
      <c r="N188" s="56">
        <f t="shared" si="292"/>
        <v>0</v>
      </c>
      <c r="O188" s="56">
        <f t="shared" si="292"/>
        <v>0</v>
      </c>
      <c r="P188" s="56">
        <f t="shared" si="292"/>
        <v>0</v>
      </c>
      <c r="Q188" s="56">
        <f t="shared" si="292"/>
        <v>0</v>
      </c>
      <c r="R188" s="56">
        <f t="shared" si="292"/>
        <v>0</v>
      </c>
      <c r="S188" s="56">
        <f t="shared" si="292"/>
        <v>0</v>
      </c>
      <c r="T188" s="56">
        <f t="shared" si="292"/>
        <v>0</v>
      </c>
      <c r="U188" s="56">
        <f t="shared" si="292"/>
        <v>0</v>
      </c>
      <c r="V188" s="56">
        <f t="shared" si="292"/>
        <v>0</v>
      </c>
      <c r="W188" s="56">
        <f t="shared" si="292"/>
        <v>0</v>
      </c>
      <c r="X188" s="56">
        <f t="shared" si="292"/>
        <v>0</v>
      </c>
      <c r="Y188" s="56">
        <f t="shared" si="292"/>
        <v>0</v>
      </c>
      <c r="Z188" s="56">
        <f t="shared" si="292"/>
        <v>0</v>
      </c>
      <c r="AA188" s="56">
        <f t="shared" si="292"/>
        <v>0</v>
      </c>
      <c r="AB188" s="56">
        <f t="shared" si="292"/>
        <v>0</v>
      </c>
      <c r="AC188" s="56">
        <f t="shared" si="292"/>
        <v>0</v>
      </c>
      <c r="AD188" s="56">
        <f t="shared" si="292"/>
        <v>0</v>
      </c>
      <c r="AE188" s="56">
        <f t="shared" si="292"/>
        <v>0</v>
      </c>
      <c r="AF188" s="56">
        <f t="shared" si="292"/>
        <v>0</v>
      </c>
      <c r="AG188" s="56">
        <f t="shared" si="292"/>
        <v>0</v>
      </c>
      <c r="AH188" s="56">
        <f t="shared" si="292"/>
        <v>0</v>
      </c>
      <c r="AI188" s="56">
        <f t="shared" si="292"/>
        <v>0</v>
      </c>
      <c r="AJ188" s="56">
        <f t="shared" si="292"/>
        <v>0</v>
      </c>
      <c r="AK188" s="56">
        <f t="shared" si="292"/>
        <v>0</v>
      </c>
      <c r="AL188" s="56">
        <f t="shared" si="292"/>
        <v>0</v>
      </c>
      <c r="AM188" s="56">
        <f t="shared" si="292"/>
        <v>0</v>
      </c>
      <c r="AN188" s="56">
        <f t="shared" si="292"/>
        <v>0</v>
      </c>
      <c r="AO188" s="56">
        <f t="shared" si="292"/>
        <v>0</v>
      </c>
      <c r="AP188" s="56">
        <f t="shared" si="292"/>
        <v>0</v>
      </c>
      <c r="AQ188" s="56">
        <f t="shared" ref="AQ188:BV188" si="293">IF(AND(AQ$139&gt;=$B$82+$B$83,AQ$139&lt;=$B$82+$B$83+$B$84-1),$C135,0)</f>
        <v>0</v>
      </c>
      <c r="AR188" s="56">
        <f t="shared" si="293"/>
        <v>0</v>
      </c>
      <c r="AS188" s="56">
        <f t="shared" si="293"/>
        <v>0</v>
      </c>
      <c r="AT188" s="56">
        <f t="shared" si="293"/>
        <v>0</v>
      </c>
      <c r="AU188" s="56">
        <f t="shared" si="293"/>
        <v>0</v>
      </c>
      <c r="AV188" s="56">
        <f t="shared" si="293"/>
        <v>0</v>
      </c>
      <c r="AW188" s="56">
        <f t="shared" si="293"/>
        <v>0</v>
      </c>
      <c r="AX188" s="56">
        <f t="shared" si="293"/>
        <v>0</v>
      </c>
      <c r="AY188" s="56">
        <f t="shared" si="293"/>
        <v>0</v>
      </c>
      <c r="AZ188" s="56">
        <f t="shared" si="293"/>
        <v>0</v>
      </c>
      <c r="BA188" s="56">
        <f t="shared" si="293"/>
        <v>0</v>
      </c>
      <c r="BB188" s="56">
        <f t="shared" si="293"/>
        <v>0</v>
      </c>
      <c r="BC188" s="56">
        <f t="shared" si="293"/>
        <v>0</v>
      </c>
      <c r="BD188" s="56">
        <f t="shared" si="293"/>
        <v>0</v>
      </c>
      <c r="BE188" s="56">
        <f t="shared" si="293"/>
        <v>0</v>
      </c>
      <c r="BF188" s="56">
        <f t="shared" si="293"/>
        <v>0</v>
      </c>
      <c r="BG188" s="56">
        <f t="shared" si="293"/>
        <v>0</v>
      </c>
      <c r="BH188" s="56">
        <f t="shared" si="293"/>
        <v>0</v>
      </c>
      <c r="BI188" s="56">
        <f t="shared" si="293"/>
        <v>0</v>
      </c>
      <c r="BJ188" s="56">
        <f t="shared" si="293"/>
        <v>0</v>
      </c>
      <c r="BK188" s="56">
        <f t="shared" si="293"/>
        <v>0</v>
      </c>
      <c r="BL188" s="56">
        <f t="shared" si="293"/>
        <v>0</v>
      </c>
      <c r="BM188" s="56">
        <f t="shared" si="293"/>
        <v>0</v>
      </c>
      <c r="BN188" s="56">
        <f t="shared" si="293"/>
        <v>0</v>
      </c>
      <c r="BO188" s="56">
        <f t="shared" si="293"/>
        <v>0</v>
      </c>
      <c r="BP188" s="56">
        <f t="shared" si="293"/>
        <v>0</v>
      </c>
      <c r="BQ188" s="56">
        <f t="shared" si="293"/>
        <v>0</v>
      </c>
      <c r="BR188" s="56">
        <f t="shared" si="293"/>
        <v>0</v>
      </c>
      <c r="BS188" s="56">
        <f t="shared" si="293"/>
        <v>0</v>
      </c>
      <c r="BT188" s="56">
        <f t="shared" si="293"/>
        <v>0</v>
      </c>
      <c r="BU188" s="56">
        <f t="shared" si="293"/>
        <v>0</v>
      </c>
      <c r="BV188" s="56">
        <f t="shared" si="293"/>
        <v>0</v>
      </c>
      <c r="BW188" s="56">
        <f t="shared" ref="BW188:DB188" si="294">IF(AND(BW$139&gt;=$B$82+$B$83,BW$139&lt;=$B$82+$B$83+$B$84-1),$C135,0)</f>
        <v>0</v>
      </c>
      <c r="BX188" s="56">
        <f t="shared" si="294"/>
        <v>0</v>
      </c>
      <c r="BY188" s="56">
        <f t="shared" si="294"/>
        <v>0</v>
      </c>
      <c r="BZ188" s="56">
        <f t="shared" si="294"/>
        <v>0</v>
      </c>
      <c r="CA188" s="56">
        <f t="shared" si="294"/>
        <v>0</v>
      </c>
      <c r="CB188" s="56">
        <f t="shared" si="294"/>
        <v>0</v>
      </c>
      <c r="CC188" s="56">
        <f t="shared" si="294"/>
        <v>0</v>
      </c>
      <c r="CD188" s="56">
        <f t="shared" si="294"/>
        <v>0</v>
      </c>
      <c r="CE188" s="56">
        <f t="shared" si="294"/>
        <v>0</v>
      </c>
      <c r="CF188" s="56">
        <f t="shared" si="294"/>
        <v>0</v>
      </c>
      <c r="CG188" s="56">
        <f t="shared" si="294"/>
        <v>0</v>
      </c>
      <c r="CH188" s="56">
        <f t="shared" si="294"/>
        <v>0</v>
      </c>
      <c r="CI188" s="56">
        <f t="shared" si="294"/>
        <v>0</v>
      </c>
      <c r="CJ188" s="56">
        <f t="shared" si="294"/>
        <v>0</v>
      </c>
      <c r="CK188" s="56">
        <f t="shared" ca="1" si="294"/>
        <v>21.073684210526316</v>
      </c>
      <c r="CL188" s="56">
        <f t="shared" ca="1" si="294"/>
        <v>21.073684210526316</v>
      </c>
      <c r="CM188" s="56">
        <f t="shared" ca="1" si="294"/>
        <v>21.073684210526316</v>
      </c>
      <c r="CN188" s="56">
        <f t="shared" ca="1" si="294"/>
        <v>21.073684210526316</v>
      </c>
      <c r="CO188" s="56">
        <f t="shared" ca="1" si="294"/>
        <v>21.073684210526316</v>
      </c>
      <c r="CP188" s="56">
        <f t="shared" ca="1" si="294"/>
        <v>21.073684210526316</v>
      </c>
      <c r="CQ188" s="56">
        <f t="shared" ca="1" si="294"/>
        <v>21.073684210526316</v>
      </c>
      <c r="CR188" s="56">
        <f t="shared" ca="1" si="294"/>
        <v>21.073684210526316</v>
      </c>
      <c r="CS188" s="56">
        <f t="shared" ca="1" si="294"/>
        <v>21.073684210526316</v>
      </c>
      <c r="CT188" s="56">
        <f t="shared" ca="1" si="294"/>
        <v>21.073684210526316</v>
      </c>
      <c r="CU188" s="56">
        <f t="shared" ca="1" si="294"/>
        <v>21.073684210526316</v>
      </c>
      <c r="CV188" s="56">
        <f t="shared" ca="1" si="294"/>
        <v>21.073684210526316</v>
      </c>
      <c r="CW188" s="56">
        <f t="shared" ca="1" si="294"/>
        <v>21.073684210526316</v>
      </c>
      <c r="CX188" s="56">
        <f t="shared" ca="1" si="294"/>
        <v>21.073684210526316</v>
      </c>
      <c r="CY188" s="56">
        <f t="shared" ca="1" si="294"/>
        <v>21.073684210526316</v>
      </c>
      <c r="CZ188" s="56">
        <f t="shared" ca="1" si="294"/>
        <v>21.073684210526316</v>
      </c>
      <c r="DA188" s="56">
        <f t="shared" ca="1" si="294"/>
        <v>21.073684210526316</v>
      </c>
      <c r="DB188" s="56">
        <f t="shared" ca="1" si="294"/>
        <v>21.073684210526316</v>
      </c>
      <c r="DC188" s="56">
        <f t="shared" ref="DC188:EH188" ca="1" si="295">IF(AND(DC$139&gt;=$B$82+$B$83,DC$139&lt;=$B$82+$B$83+$B$84-1),$C135,0)</f>
        <v>21.073684210526316</v>
      </c>
      <c r="DD188" s="56">
        <f t="shared" ca="1" si="295"/>
        <v>21.073684210526316</v>
      </c>
      <c r="DE188" s="56">
        <f t="shared" ca="1" si="295"/>
        <v>21.073684210526316</v>
      </c>
      <c r="DF188" s="56">
        <f t="shared" ca="1" si="295"/>
        <v>21.073684210526316</v>
      </c>
      <c r="DG188" s="56">
        <f t="shared" ca="1" si="295"/>
        <v>21.073684210526316</v>
      </c>
      <c r="DH188" s="56">
        <f t="shared" ca="1" si="295"/>
        <v>21.073684210526316</v>
      </c>
      <c r="DI188" s="56">
        <f t="shared" ca="1" si="295"/>
        <v>21.073684210526316</v>
      </c>
      <c r="DJ188" s="56">
        <f t="shared" ca="1" si="295"/>
        <v>21.073684210526316</v>
      </c>
      <c r="DK188" s="56">
        <f t="shared" ca="1" si="295"/>
        <v>21.073684210526316</v>
      </c>
      <c r="DL188" s="56">
        <f t="shared" ca="1" si="295"/>
        <v>21.073684210526316</v>
      </c>
      <c r="DM188" s="56">
        <f t="shared" ca="1" si="295"/>
        <v>21.073684210526316</v>
      </c>
      <c r="DN188" s="56">
        <f t="shared" ca="1" si="295"/>
        <v>21.073684210526316</v>
      </c>
      <c r="DO188" s="56">
        <f t="shared" ca="1" si="295"/>
        <v>21.073684210526316</v>
      </c>
      <c r="DP188" s="56">
        <f t="shared" ca="1" si="295"/>
        <v>21.073684210526316</v>
      </c>
      <c r="DQ188" s="56">
        <f t="shared" si="295"/>
        <v>0</v>
      </c>
      <c r="DR188" s="56">
        <f t="shared" si="295"/>
        <v>0</v>
      </c>
      <c r="DS188" s="56">
        <f t="shared" si="295"/>
        <v>0</v>
      </c>
      <c r="DT188" s="56">
        <f t="shared" si="295"/>
        <v>0</v>
      </c>
      <c r="DU188" s="56">
        <f t="shared" si="295"/>
        <v>0</v>
      </c>
      <c r="DV188" s="56">
        <f t="shared" si="295"/>
        <v>0</v>
      </c>
      <c r="DW188" s="56">
        <f t="shared" si="295"/>
        <v>0</v>
      </c>
      <c r="DX188" s="56">
        <f t="shared" si="295"/>
        <v>0</v>
      </c>
      <c r="DY188" s="56">
        <f t="shared" si="295"/>
        <v>0</v>
      </c>
      <c r="DZ188" s="56">
        <f t="shared" si="295"/>
        <v>0</v>
      </c>
      <c r="EA188" s="56">
        <f t="shared" si="295"/>
        <v>0</v>
      </c>
      <c r="EB188" s="56">
        <f t="shared" si="295"/>
        <v>0</v>
      </c>
      <c r="EC188" s="56">
        <f t="shared" si="295"/>
        <v>0</v>
      </c>
      <c r="ED188" s="56">
        <f t="shared" si="295"/>
        <v>0</v>
      </c>
      <c r="EE188" s="56">
        <f t="shared" si="295"/>
        <v>0</v>
      </c>
      <c r="EF188" s="56">
        <f t="shared" si="295"/>
        <v>0</v>
      </c>
      <c r="EG188" s="56">
        <f t="shared" si="295"/>
        <v>0</v>
      </c>
      <c r="EH188" s="56">
        <f t="shared" si="295"/>
        <v>0</v>
      </c>
      <c r="EI188" s="56">
        <f t="shared" ref="EI188:FN188" si="296">IF(AND(EI$139&gt;=$B$82+$B$83,EI$139&lt;=$B$82+$B$83+$B$84-1),$C135,0)</f>
        <v>0</v>
      </c>
      <c r="EJ188" s="56">
        <f t="shared" si="296"/>
        <v>0</v>
      </c>
      <c r="EK188" s="56">
        <f t="shared" si="296"/>
        <v>0</v>
      </c>
      <c r="EL188" s="56">
        <f t="shared" si="296"/>
        <v>0</v>
      </c>
      <c r="EM188" s="56">
        <f t="shared" si="296"/>
        <v>0</v>
      </c>
      <c r="EN188" s="56">
        <f t="shared" si="296"/>
        <v>0</v>
      </c>
      <c r="EO188" s="56">
        <f t="shared" si="296"/>
        <v>0</v>
      </c>
      <c r="EP188" s="56">
        <f t="shared" si="296"/>
        <v>0</v>
      </c>
      <c r="EQ188" s="56">
        <f t="shared" si="296"/>
        <v>0</v>
      </c>
      <c r="ER188" s="56">
        <f t="shared" si="296"/>
        <v>0</v>
      </c>
      <c r="ES188" s="56">
        <f t="shared" si="296"/>
        <v>0</v>
      </c>
      <c r="ET188" s="56">
        <f t="shared" si="296"/>
        <v>0</v>
      </c>
      <c r="EU188" s="56">
        <f t="shared" si="296"/>
        <v>0</v>
      </c>
      <c r="EV188" s="56">
        <f t="shared" si="296"/>
        <v>0</v>
      </c>
      <c r="EW188" s="56">
        <f t="shared" si="296"/>
        <v>0</v>
      </c>
      <c r="EX188" s="56">
        <f t="shared" si="296"/>
        <v>0</v>
      </c>
      <c r="EY188" s="56">
        <f t="shared" si="296"/>
        <v>0</v>
      </c>
      <c r="EZ188" s="56">
        <f t="shared" si="296"/>
        <v>0</v>
      </c>
      <c r="FA188" s="56">
        <f t="shared" si="296"/>
        <v>0</v>
      </c>
      <c r="FB188" s="56">
        <f t="shared" si="296"/>
        <v>0</v>
      </c>
      <c r="FC188" s="56">
        <f t="shared" si="296"/>
        <v>0</v>
      </c>
      <c r="FD188" s="56">
        <f t="shared" si="296"/>
        <v>0</v>
      </c>
      <c r="FE188" s="56">
        <f t="shared" si="296"/>
        <v>0</v>
      </c>
      <c r="FF188" s="56">
        <f t="shared" si="296"/>
        <v>0</v>
      </c>
      <c r="FG188" s="56">
        <f t="shared" si="296"/>
        <v>0</v>
      </c>
      <c r="FH188" s="56">
        <f t="shared" si="296"/>
        <v>0</v>
      </c>
      <c r="FI188" s="56">
        <f t="shared" si="296"/>
        <v>0</v>
      </c>
      <c r="FJ188" s="56">
        <f t="shared" si="296"/>
        <v>0</v>
      </c>
      <c r="FK188" s="56">
        <f t="shared" si="296"/>
        <v>0</v>
      </c>
      <c r="FL188" s="56">
        <f t="shared" si="296"/>
        <v>0</v>
      </c>
      <c r="FM188" s="56">
        <f t="shared" si="296"/>
        <v>0</v>
      </c>
      <c r="FN188" s="56">
        <f t="shared" si="296"/>
        <v>0</v>
      </c>
      <c r="FO188" s="56">
        <f t="shared" ref="FO188:GP188" si="297">IF(AND(FO$139&gt;=$B$82+$B$83,FO$139&lt;=$B$82+$B$83+$B$84-1),$C135,0)</f>
        <v>0</v>
      </c>
      <c r="FP188" s="56">
        <f t="shared" si="297"/>
        <v>0</v>
      </c>
      <c r="FQ188" s="56">
        <f t="shared" si="297"/>
        <v>0</v>
      </c>
      <c r="FR188" s="56">
        <f t="shared" si="297"/>
        <v>0</v>
      </c>
      <c r="FS188" s="56">
        <f t="shared" si="297"/>
        <v>0</v>
      </c>
      <c r="FT188" s="56">
        <f t="shared" si="297"/>
        <v>0</v>
      </c>
      <c r="FU188" s="56">
        <f t="shared" si="297"/>
        <v>0</v>
      </c>
      <c r="FV188" s="56">
        <f t="shared" si="297"/>
        <v>0</v>
      </c>
      <c r="FW188" s="56">
        <f t="shared" si="297"/>
        <v>0</v>
      </c>
      <c r="FX188" s="56">
        <f t="shared" si="297"/>
        <v>0</v>
      </c>
      <c r="FY188" s="56">
        <f t="shared" si="297"/>
        <v>0</v>
      </c>
      <c r="FZ188" s="56">
        <f t="shared" si="297"/>
        <v>0</v>
      </c>
      <c r="GA188" s="56">
        <f t="shared" si="297"/>
        <v>0</v>
      </c>
      <c r="GB188" s="56">
        <f t="shared" si="297"/>
        <v>0</v>
      </c>
      <c r="GC188" s="56">
        <f t="shared" si="297"/>
        <v>0</v>
      </c>
      <c r="GD188" s="56">
        <f t="shared" si="297"/>
        <v>0</v>
      </c>
      <c r="GE188" s="56">
        <f t="shared" si="297"/>
        <v>0</v>
      </c>
      <c r="GF188" s="56">
        <f t="shared" si="297"/>
        <v>0</v>
      </c>
      <c r="GG188" s="56">
        <f t="shared" si="297"/>
        <v>0</v>
      </c>
      <c r="GH188" s="56">
        <f t="shared" si="297"/>
        <v>0</v>
      </c>
      <c r="GI188" s="56">
        <f t="shared" si="297"/>
        <v>0</v>
      </c>
      <c r="GJ188" s="56">
        <f t="shared" si="297"/>
        <v>0</v>
      </c>
      <c r="GK188" s="56">
        <f t="shared" si="297"/>
        <v>0</v>
      </c>
      <c r="GL188" s="56">
        <f t="shared" si="297"/>
        <v>0</v>
      </c>
      <c r="GM188" s="56">
        <f t="shared" si="297"/>
        <v>0</v>
      </c>
      <c r="GN188" s="56">
        <f t="shared" si="297"/>
        <v>0</v>
      </c>
      <c r="GO188" s="56">
        <f t="shared" si="297"/>
        <v>0</v>
      </c>
      <c r="GP188" s="56">
        <f t="shared" si="297"/>
        <v>0</v>
      </c>
    </row>
    <row r="189" spans="1:198" x14ac:dyDescent="0.35">
      <c r="A189" s="55" t="str">
        <f t="shared" si="165"/>
        <v>Available in future &gt; Future deployments</v>
      </c>
      <c r="B189" s="55" t="s">
        <v>298</v>
      </c>
      <c r="K189" s="56">
        <f t="shared" ref="K189:AP189" si="298">IF(K$139&gt;=$B$88,$C136,0)</f>
        <v>0</v>
      </c>
      <c r="L189" s="56">
        <f t="shared" si="298"/>
        <v>0</v>
      </c>
      <c r="M189" s="56">
        <f t="shared" si="298"/>
        <v>0</v>
      </c>
      <c r="N189" s="56">
        <f t="shared" si="298"/>
        <v>0</v>
      </c>
      <c r="O189" s="56">
        <f t="shared" si="298"/>
        <v>0</v>
      </c>
      <c r="P189" s="56">
        <f t="shared" si="298"/>
        <v>0</v>
      </c>
      <c r="Q189" s="56">
        <f t="shared" si="298"/>
        <v>0</v>
      </c>
      <c r="R189" s="56">
        <f t="shared" si="298"/>
        <v>0</v>
      </c>
      <c r="S189" s="56">
        <f t="shared" si="298"/>
        <v>0</v>
      </c>
      <c r="T189" s="56">
        <f t="shared" si="298"/>
        <v>0</v>
      </c>
      <c r="U189" s="56">
        <f t="shared" si="298"/>
        <v>0</v>
      </c>
      <c r="V189" s="56">
        <f t="shared" si="298"/>
        <v>0</v>
      </c>
      <c r="W189" s="56">
        <f t="shared" si="298"/>
        <v>0</v>
      </c>
      <c r="X189" s="56">
        <f t="shared" si="298"/>
        <v>0</v>
      </c>
      <c r="Y189" s="56">
        <f t="shared" si="298"/>
        <v>0</v>
      </c>
      <c r="Z189" s="56">
        <f t="shared" si="298"/>
        <v>0</v>
      </c>
      <c r="AA189" s="56">
        <f t="shared" si="298"/>
        <v>0</v>
      </c>
      <c r="AB189" s="56">
        <f t="shared" si="298"/>
        <v>0</v>
      </c>
      <c r="AC189" s="56">
        <f t="shared" si="298"/>
        <v>0</v>
      </c>
      <c r="AD189" s="56">
        <f t="shared" si="298"/>
        <v>0</v>
      </c>
      <c r="AE189" s="56">
        <f t="shared" si="298"/>
        <v>0</v>
      </c>
      <c r="AF189" s="56">
        <f t="shared" si="298"/>
        <v>0</v>
      </c>
      <c r="AG189" s="56">
        <f t="shared" si="298"/>
        <v>0</v>
      </c>
      <c r="AH189" s="56">
        <f t="shared" si="298"/>
        <v>0</v>
      </c>
      <c r="AI189" s="56">
        <f t="shared" si="298"/>
        <v>0</v>
      </c>
      <c r="AJ189" s="56">
        <f t="shared" si="298"/>
        <v>0</v>
      </c>
      <c r="AK189" s="56">
        <f t="shared" si="298"/>
        <v>0</v>
      </c>
      <c r="AL189" s="56">
        <f t="shared" si="298"/>
        <v>0</v>
      </c>
      <c r="AM189" s="56">
        <f t="shared" si="298"/>
        <v>0</v>
      </c>
      <c r="AN189" s="56">
        <f t="shared" si="298"/>
        <v>0</v>
      </c>
      <c r="AO189" s="56">
        <f t="shared" si="298"/>
        <v>0</v>
      </c>
      <c r="AP189" s="56">
        <f t="shared" si="298"/>
        <v>0</v>
      </c>
      <c r="AQ189" s="56">
        <f t="shared" ref="AQ189:BV189" si="299">IF(AQ$139&gt;=$B$88,$C136,0)</f>
        <v>0</v>
      </c>
      <c r="AR189" s="56">
        <f t="shared" si="299"/>
        <v>0</v>
      </c>
      <c r="AS189" s="56">
        <f t="shared" si="299"/>
        <v>0</v>
      </c>
      <c r="AT189" s="56">
        <f t="shared" si="299"/>
        <v>0</v>
      </c>
      <c r="AU189" s="56">
        <f t="shared" si="299"/>
        <v>0</v>
      </c>
      <c r="AV189" s="56">
        <f t="shared" si="299"/>
        <v>0</v>
      </c>
      <c r="AW189" s="56">
        <f t="shared" si="299"/>
        <v>0</v>
      </c>
      <c r="AX189" s="56">
        <f t="shared" si="299"/>
        <v>0</v>
      </c>
      <c r="AY189" s="56">
        <f t="shared" si="299"/>
        <v>0</v>
      </c>
      <c r="AZ189" s="56">
        <f t="shared" si="299"/>
        <v>0</v>
      </c>
      <c r="BA189" s="56">
        <f t="shared" si="299"/>
        <v>0</v>
      </c>
      <c r="BB189" s="56">
        <f t="shared" si="299"/>
        <v>0</v>
      </c>
      <c r="BC189" s="56">
        <f t="shared" si="299"/>
        <v>0</v>
      </c>
      <c r="BD189" s="56">
        <f t="shared" si="299"/>
        <v>0</v>
      </c>
      <c r="BE189" s="56">
        <f t="shared" si="299"/>
        <v>0</v>
      </c>
      <c r="BF189" s="56">
        <f t="shared" si="299"/>
        <v>0</v>
      </c>
      <c r="BG189" s="56">
        <f t="shared" si="299"/>
        <v>0</v>
      </c>
      <c r="BH189" s="56">
        <f t="shared" si="299"/>
        <v>0</v>
      </c>
      <c r="BI189" s="56">
        <f t="shared" si="299"/>
        <v>0</v>
      </c>
      <c r="BJ189" s="56">
        <f t="shared" si="299"/>
        <v>0</v>
      </c>
      <c r="BK189" s="56">
        <f t="shared" si="299"/>
        <v>0</v>
      </c>
      <c r="BL189" s="56">
        <f t="shared" si="299"/>
        <v>0</v>
      </c>
      <c r="BM189" s="56">
        <f t="shared" si="299"/>
        <v>0</v>
      </c>
      <c r="BN189" s="56">
        <f t="shared" si="299"/>
        <v>0</v>
      </c>
      <c r="BO189" s="56">
        <f t="shared" si="299"/>
        <v>0</v>
      </c>
      <c r="BP189" s="56">
        <f t="shared" si="299"/>
        <v>0</v>
      </c>
      <c r="BQ189" s="56">
        <f t="shared" si="299"/>
        <v>0</v>
      </c>
      <c r="BR189" s="56">
        <f t="shared" si="299"/>
        <v>0</v>
      </c>
      <c r="BS189" s="56">
        <f t="shared" si="299"/>
        <v>0</v>
      </c>
      <c r="BT189" s="56">
        <f t="shared" si="299"/>
        <v>0</v>
      </c>
      <c r="BU189" s="56">
        <f t="shared" si="299"/>
        <v>0</v>
      </c>
      <c r="BV189" s="56">
        <f t="shared" si="299"/>
        <v>0</v>
      </c>
      <c r="BW189" s="56">
        <f t="shared" ref="BW189:DB189" si="300">IF(BW$139&gt;=$B$88,$C136,0)</f>
        <v>0</v>
      </c>
      <c r="BX189" s="56">
        <f t="shared" si="300"/>
        <v>0</v>
      </c>
      <c r="BY189" s="56">
        <f t="shared" si="300"/>
        <v>0</v>
      </c>
      <c r="BZ189" s="56">
        <f t="shared" si="300"/>
        <v>0</v>
      </c>
      <c r="CA189" s="56">
        <f t="shared" si="300"/>
        <v>0</v>
      </c>
      <c r="CB189" s="56">
        <f t="shared" si="300"/>
        <v>0</v>
      </c>
      <c r="CC189" s="56">
        <f t="shared" si="300"/>
        <v>0</v>
      </c>
      <c r="CD189" s="56">
        <f t="shared" si="300"/>
        <v>0</v>
      </c>
      <c r="CE189" s="56">
        <f t="shared" si="300"/>
        <v>0</v>
      </c>
      <c r="CF189" s="56">
        <f t="shared" si="300"/>
        <v>0</v>
      </c>
      <c r="CG189" s="56">
        <f t="shared" si="300"/>
        <v>0</v>
      </c>
      <c r="CH189" s="56">
        <f t="shared" si="300"/>
        <v>0</v>
      </c>
      <c r="CI189" s="56">
        <f t="shared" si="300"/>
        <v>0</v>
      </c>
      <c r="CJ189" s="56">
        <f t="shared" si="300"/>
        <v>0</v>
      </c>
      <c r="CK189" s="56">
        <f t="shared" si="300"/>
        <v>0</v>
      </c>
      <c r="CL189" s="56">
        <f t="shared" si="300"/>
        <v>0</v>
      </c>
      <c r="CM189" s="56">
        <f t="shared" si="300"/>
        <v>0</v>
      </c>
      <c r="CN189" s="56">
        <f t="shared" si="300"/>
        <v>0</v>
      </c>
      <c r="CO189" s="56">
        <f t="shared" si="300"/>
        <v>0</v>
      </c>
      <c r="CP189" s="56">
        <f t="shared" si="300"/>
        <v>0</v>
      </c>
      <c r="CQ189" s="56">
        <f t="shared" si="300"/>
        <v>0</v>
      </c>
      <c r="CR189" s="56">
        <f t="shared" si="300"/>
        <v>0</v>
      </c>
      <c r="CS189" s="56">
        <f t="shared" si="300"/>
        <v>0</v>
      </c>
      <c r="CT189" s="56">
        <f t="shared" si="300"/>
        <v>0</v>
      </c>
      <c r="CU189" s="56">
        <f t="shared" si="300"/>
        <v>0</v>
      </c>
      <c r="CV189" s="56">
        <f t="shared" si="300"/>
        <v>0</v>
      </c>
      <c r="CW189" s="56">
        <f t="shared" si="300"/>
        <v>0</v>
      </c>
      <c r="CX189" s="56">
        <f t="shared" si="300"/>
        <v>0</v>
      </c>
      <c r="CY189" s="56">
        <f t="shared" si="300"/>
        <v>0</v>
      </c>
      <c r="CZ189" s="56">
        <f t="shared" si="300"/>
        <v>0</v>
      </c>
      <c r="DA189" s="56">
        <f t="shared" si="300"/>
        <v>0</v>
      </c>
      <c r="DB189" s="56">
        <f t="shared" si="300"/>
        <v>0</v>
      </c>
      <c r="DC189" s="56">
        <f t="shared" ref="DC189:EH189" si="301">IF(DC$139&gt;=$B$88,$C136,0)</f>
        <v>0</v>
      </c>
      <c r="DD189" s="56">
        <f t="shared" si="301"/>
        <v>0</v>
      </c>
      <c r="DE189" s="56">
        <f t="shared" si="301"/>
        <v>0</v>
      </c>
      <c r="DF189" s="56">
        <f t="shared" si="301"/>
        <v>0</v>
      </c>
      <c r="DG189" s="56">
        <f t="shared" si="301"/>
        <v>0</v>
      </c>
      <c r="DH189" s="56">
        <f t="shared" si="301"/>
        <v>0</v>
      </c>
      <c r="DI189" s="56">
        <f t="shared" si="301"/>
        <v>0</v>
      </c>
      <c r="DJ189" s="56">
        <f t="shared" si="301"/>
        <v>0</v>
      </c>
      <c r="DK189" s="56">
        <f t="shared" si="301"/>
        <v>0</v>
      </c>
      <c r="DL189" s="56">
        <f t="shared" si="301"/>
        <v>0</v>
      </c>
      <c r="DM189" s="56">
        <f t="shared" si="301"/>
        <v>0</v>
      </c>
      <c r="DN189" s="56">
        <f t="shared" si="301"/>
        <v>0</v>
      </c>
      <c r="DO189" s="56">
        <f t="shared" si="301"/>
        <v>0</v>
      </c>
      <c r="DP189" s="56">
        <f t="shared" si="301"/>
        <v>0</v>
      </c>
      <c r="DQ189" s="56">
        <f t="shared" ca="1" si="301"/>
        <v>21.073684210526316</v>
      </c>
      <c r="DR189" s="56">
        <f t="shared" ca="1" si="301"/>
        <v>21.073684210526316</v>
      </c>
      <c r="DS189" s="56">
        <f t="shared" ca="1" si="301"/>
        <v>21.073684210526316</v>
      </c>
      <c r="DT189" s="56">
        <f t="shared" ca="1" si="301"/>
        <v>21.073684210526316</v>
      </c>
      <c r="DU189" s="56">
        <f t="shared" ca="1" si="301"/>
        <v>21.073684210526316</v>
      </c>
      <c r="DV189" s="56">
        <f t="shared" ca="1" si="301"/>
        <v>21.073684210526316</v>
      </c>
      <c r="DW189" s="56">
        <f t="shared" ca="1" si="301"/>
        <v>21.073684210526316</v>
      </c>
      <c r="DX189" s="56">
        <f t="shared" ca="1" si="301"/>
        <v>21.073684210526316</v>
      </c>
      <c r="DY189" s="56">
        <f t="shared" ca="1" si="301"/>
        <v>21.073684210526316</v>
      </c>
      <c r="DZ189" s="56">
        <f t="shared" ca="1" si="301"/>
        <v>21.073684210526316</v>
      </c>
      <c r="EA189" s="56">
        <f t="shared" ca="1" si="301"/>
        <v>21.073684210526316</v>
      </c>
      <c r="EB189" s="56">
        <f t="shared" ca="1" si="301"/>
        <v>21.073684210526316</v>
      </c>
      <c r="EC189" s="56">
        <f t="shared" ca="1" si="301"/>
        <v>21.073684210526316</v>
      </c>
      <c r="ED189" s="56">
        <f t="shared" ca="1" si="301"/>
        <v>21.073684210526316</v>
      </c>
      <c r="EE189" s="56">
        <f t="shared" ca="1" si="301"/>
        <v>21.073684210526316</v>
      </c>
      <c r="EF189" s="56">
        <f t="shared" ca="1" si="301"/>
        <v>21.073684210526316</v>
      </c>
      <c r="EG189" s="56">
        <f t="shared" ca="1" si="301"/>
        <v>21.073684210526316</v>
      </c>
      <c r="EH189" s="56">
        <f t="shared" ca="1" si="301"/>
        <v>21.073684210526316</v>
      </c>
      <c r="EI189" s="56">
        <f t="shared" ref="EI189:FN189" ca="1" si="302">IF(EI$139&gt;=$B$88,$C136,0)</f>
        <v>21.073684210526316</v>
      </c>
      <c r="EJ189" s="56">
        <f t="shared" ca="1" si="302"/>
        <v>21.073684210526316</v>
      </c>
      <c r="EK189" s="56">
        <f t="shared" ca="1" si="302"/>
        <v>21.073684210526316</v>
      </c>
      <c r="EL189" s="56">
        <f t="shared" ca="1" si="302"/>
        <v>21.073684210526316</v>
      </c>
      <c r="EM189" s="56">
        <f t="shared" ca="1" si="302"/>
        <v>21.073684210526316</v>
      </c>
      <c r="EN189" s="56">
        <f t="shared" ca="1" si="302"/>
        <v>21.073684210526316</v>
      </c>
      <c r="EO189" s="56">
        <f t="shared" ca="1" si="302"/>
        <v>21.073684210526316</v>
      </c>
      <c r="EP189" s="56">
        <f t="shared" ca="1" si="302"/>
        <v>21.073684210526316</v>
      </c>
      <c r="EQ189" s="56">
        <f t="shared" ca="1" si="302"/>
        <v>21.073684210526316</v>
      </c>
      <c r="ER189" s="56">
        <f t="shared" ca="1" si="302"/>
        <v>21.073684210526316</v>
      </c>
      <c r="ES189" s="56">
        <f t="shared" ca="1" si="302"/>
        <v>21.073684210526316</v>
      </c>
      <c r="ET189" s="56">
        <f t="shared" ca="1" si="302"/>
        <v>21.073684210526316</v>
      </c>
      <c r="EU189" s="56">
        <f t="shared" ca="1" si="302"/>
        <v>21.073684210526316</v>
      </c>
      <c r="EV189" s="56">
        <f t="shared" ca="1" si="302"/>
        <v>21.073684210526316</v>
      </c>
      <c r="EW189" s="56">
        <f t="shared" ca="1" si="302"/>
        <v>21.073684210526316</v>
      </c>
      <c r="EX189" s="56">
        <f t="shared" ca="1" si="302"/>
        <v>21.073684210526316</v>
      </c>
      <c r="EY189" s="56">
        <f t="shared" ca="1" si="302"/>
        <v>21.073684210526316</v>
      </c>
      <c r="EZ189" s="56">
        <f t="shared" ca="1" si="302"/>
        <v>21.073684210526316</v>
      </c>
      <c r="FA189" s="56">
        <f t="shared" ca="1" si="302"/>
        <v>21.073684210526316</v>
      </c>
      <c r="FB189" s="56">
        <f t="shared" ca="1" si="302"/>
        <v>21.073684210526316</v>
      </c>
      <c r="FC189" s="56">
        <f t="shared" ca="1" si="302"/>
        <v>21.073684210526316</v>
      </c>
      <c r="FD189" s="56">
        <f t="shared" ca="1" si="302"/>
        <v>21.073684210526316</v>
      </c>
      <c r="FE189" s="56">
        <f t="shared" ca="1" si="302"/>
        <v>21.073684210526316</v>
      </c>
      <c r="FF189" s="56">
        <f t="shared" ca="1" si="302"/>
        <v>21.073684210526316</v>
      </c>
      <c r="FG189" s="56">
        <f t="shared" ca="1" si="302"/>
        <v>21.073684210526316</v>
      </c>
      <c r="FH189" s="56">
        <f t="shared" ca="1" si="302"/>
        <v>21.073684210526316</v>
      </c>
      <c r="FI189" s="56">
        <f t="shared" ca="1" si="302"/>
        <v>21.073684210526316</v>
      </c>
      <c r="FJ189" s="56">
        <f t="shared" ca="1" si="302"/>
        <v>21.073684210526316</v>
      </c>
      <c r="FK189" s="56">
        <f t="shared" ca="1" si="302"/>
        <v>21.073684210526316</v>
      </c>
      <c r="FL189" s="56">
        <f t="shared" ca="1" si="302"/>
        <v>21.073684210526316</v>
      </c>
      <c r="FM189" s="56">
        <f t="shared" ca="1" si="302"/>
        <v>21.073684210526316</v>
      </c>
      <c r="FN189" s="56">
        <f t="shared" ca="1" si="302"/>
        <v>21.073684210526316</v>
      </c>
      <c r="FO189" s="56">
        <f t="shared" ref="FO189:GP189" ca="1" si="303">IF(FO$139&gt;=$B$88,$C136,0)</f>
        <v>21.073684210526316</v>
      </c>
      <c r="FP189" s="56">
        <f t="shared" ca="1" si="303"/>
        <v>21.073684210526316</v>
      </c>
      <c r="FQ189" s="56">
        <f t="shared" ca="1" si="303"/>
        <v>21.073684210526316</v>
      </c>
      <c r="FR189" s="56">
        <f t="shared" ca="1" si="303"/>
        <v>21.073684210526316</v>
      </c>
      <c r="FS189" s="56">
        <f t="shared" ca="1" si="303"/>
        <v>21.073684210526316</v>
      </c>
      <c r="FT189" s="56">
        <f t="shared" ca="1" si="303"/>
        <v>21.073684210526316</v>
      </c>
      <c r="FU189" s="56">
        <f t="shared" ca="1" si="303"/>
        <v>21.073684210526316</v>
      </c>
      <c r="FV189" s="56">
        <f t="shared" ca="1" si="303"/>
        <v>21.073684210526316</v>
      </c>
      <c r="FW189" s="56">
        <f t="shared" ca="1" si="303"/>
        <v>21.073684210526316</v>
      </c>
      <c r="FX189" s="56">
        <f t="shared" ca="1" si="303"/>
        <v>21.073684210526316</v>
      </c>
      <c r="FY189" s="56">
        <f t="shared" ca="1" si="303"/>
        <v>21.073684210526316</v>
      </c>
      <c r="FZ189" s="56">
        <f t="shared" ca="1" si="303"/>
        <v>21.073684210526316</v>
      </c>
      <c r="GA189" s="56">
        <f t="shared" ca="1" si="303"/>
        <v>21.073684210526316</v>
      </c>
      <c r="GB189" s="56">
        <f t="shared" ca="1" si="303"/>
        <v>21.073684210526316</v>
      </c>
      <c r="GC189" s="56">
        <f t="shared" ca="1" si="303"/>
        <v>21.073684210526316</v>
      </c>
      <c r="GD189" s="56">
        <f t="shared" ca="1" si="303"/>
        <v>21.073684210526316</v>
      </c>
      <c r="GE189" s="56">
        <f t="shared" ca="1" si="303"/>
        <v>21.073684210526316</v>
      </c>
      <c r="GF189" s="56">
        <f t="shared" ca="1" si="303"/>
        <v>21.073684210526316</v>
      </c>
      <c r="GG189" s="56">
        <f t="shared" ca="1" si="303"/>
        <v>21.073684210526316</v>
      </c>
      <c r="GH189" s="56">
        <f t="shared" ca="1" si="303"/>
        <v>21.073684210526316</v>
      </c>
      <c r="GI189" s="56">
        <f t="shared" ca="1" si="303"/>
        <v>21.073684210526316</v>
      </c>
      <c r="GJ189" s="56">
        <f t="shared" ca="1" si="303"/>
        <v>21.073684210526316</v>
      </c>
      <c r="GK189" s="56">
        <f t="shared" ca="1" si="303"/>
        <v>21.073684210526316</v>
      </c>
      <c r="GL189" s="56">
        <f t="shared" ca="1" si="303"/>
        <v>21.073684210526316</v>
      </c>
      <c r="GM189" s="56">
        <f t="shared" ca="1" si="303"/>
        <v>21.073684210526316</v>
      </c>
      <c r="GN189" s="56">
        <f t="shared" ca="1" si="303"/>
        <v>21.073684210526316</v>
      </c>
      <c r="GO189" s="56">
        <f t="shared" ca="1" si="303"/>
        <v>21.073684210526316</v>
      </c>
      <c r="GP189" s="56">
        <f t="shared" ca="1" si="303"/>
        <v>21.073684210526316</v>
      </c>
    </row>
    <row r="191" spans="1:198" x14ac:dyDescent="0.35">
      <c r="A191" s="53" t="s">
        <v>302</v>
      </c>
      <c r="B191" s="54"/>
      <c r="C191" s="54"/>
      <c r="D191" s="54"/>
      <c r="E191" s="54"/>
      <c r="F191" s="54"/>
      <c r="G191" s="54"/>
      <c r="H191" s="54"/>
      <c r="I191" s="54"/>
    </row>
    <row r="192" spans="1:198" x14ac:dyDescent="0.35">
      <c r="A192" s="55" t="str">
        <f t="shared" ref="A192:A214" si="304">A114</f>
        <v>USA &gt; available now</v>
      </c>
      <c r="B192" s="55" t="s">
        <v>297</v>
      </c>
      <c r="K192" s="56">
        <f t="shared" ref="K192:AP192" ca="1" si="305">IF(K167&gt;0,K142+K167,0)</f>
        <v>5.6736842105263152</v>
      </c>
      <c r="L192" s="56">
        <f t="shared" ca="1" si="305"/>
        <v>5.6736842105263152</v>
      </c>
      <c r="M192" s="56">
        <f t="shared" ca="1" si="305"/>
        <v>5.6736842105263152</v>
      </c>
      <c r="N192" s="56">
        <f t="shared" ca="1" si="305"/>
        <v>5.6736842105263152</v>
      </c>
      <c r="O192" s="56">
        <f t="shared" ca="1" si="305"/>
        <v>5.6736842105263152</v>
      </c>
      <c r="P192" s="56">
        <f t="shared" ca="1" si="305"/>
        <v>5.6736842105263152</v>
      </c>
      <c r="Q192" s="56">
        <f t="shared" ca="1" si="305"/>
        <v>5.6736842105263152</v>
      </c>
      <c r="R192" s="56">
        <f t="shared" ca="1" si="305"/>
        <v>5.6736842105263152</v>
      </c>
      <c r="S192" s="56">
        <f t="shared" ca="1" si="305"/>
        <v>5.6736842105263152</v>
      </c>
      <c r="T192" s="56">
        <f t="shared" ca="1" si="305"/>
        <v>5.6736842105263152</v>
      </c>
      <c r="U192" s="56">
        <f t="shared" ca="1" si="305"/>
        <v>5.6736842105263152</v>
      </c>
      <c r="V192" s="56">
        <f t="shared" ca="1" si="305"/>
        <v>5.6736842105263152</v>
      </c>
      <c r="W192" s="56">
        <f t="shared" ca="1" si="305"/>
        <v>5.6736842105263152</v>
      </c>
      <c r="X192" s="56">
        <f t="shared" ca="1" si="305"/>
        <v>5.6736842105263152</v>
      </c>
      <c r="Y192" s="56">
        <f t="shared" ca="1" si="305"/>
        <v>5.6736842105263152</v>
      </c>
      <c r="Z192" s="56">
        <f t="shared" ca="1" si="305"/>
        <v>5.6736842105263152</v>
      </c>
      <c r="AA192" s="56">
        <f t="shared" ca="1" si="305"/>
        <v>5.6736842105263152</v>
      </c>
      <c r="AB192" s="56">
        <f t="shared" ca="1" si="305"/>
        <v>5.6736842105263152</v>
      </c>
      <c r="AC192" s="56">
        <f t="shared" ca="1" si="305"/>
        <v>5.6736842105263152</v>
      </c>
      <c r="AD192" s="56">
        <f t="shared" ca="1" si="305"/>
        <v>5.6736842105263152</v>
      </c>
      <c r="AE192" s="56">
        <f t="shared" ca="1" si="305"/>
        <v>5.6736842105263152</v>
      </c>
      <c r="AF192" s="56">
        <f t="shared" ca="1" si="305"/>
        <v>5.6736842105263152</v>
      </c>
      <c r="AG192" s="56">
        <f t="shared" ca="1" si="305"/>
        <v>5.6736842105263152</v>
      </c>
      <c r="AH192" s="56">
        <f t="shared" ca="1" si="305"/>
        <v>5.6736842105263152</v>
      </c>
      <c r="AI192" s="56">
        <f t="shared" ca="1" si="305"/>
        <v>5.6736842105263152</v>
      </c>
      <c r="AJ192" s="56">
        <f t="shared" ca="1" si="305"/>
        <v>5.6736842105263152</v>
      </c>
      <c r="AK192" s="56">
        <f t="shared" ca="1" si="305"/>
        <v>5.6736842105263152</v>
      </c>
      <c r="AL192" s="56">
        <f t="shared" ca="1" si="305"/>
        <v>5.6736842105263152</v>
      </c>
      <c r="AM192" s="56">
        <f t="shared" ca="1" si="305"/>
        <v>5.6736842105263152</v>
      </c>
      <c r="AN192" s="56">
        <f t="shared" ca="1" si="305"/>
        <v>5.6736842105263152</v>
      </c>
      <c r="AO192" s="56">
        <f t="shared" ca="1" si="305"/>
        <v>5.6736842105263152</v>
      </c>
      <c r="AP192" s="56">
        <f t="shared" ca="1" si="305"/>
        <v>5.6736842105263152</v>
      </c>
      <c r="AQ192" s="56">
        <f t="shared" ref="AQ192:BV192" ca="1" si="306">IF(AQ167&gt;0,AQ142+AQ167,0)</f>
        <v>5.6736842105263152</v>
      </c>
      <c r="AR192" s="56">
        <f t="shared" ca="1" si="306"/>
        <v>5.6736842105263152</v>
      </c>
      <c r="AS192" s="56">
        <f t="shared" ca="1" si="306"/>
        <v>5.6736842105263152</v>
      </c>
      <c r="AT192" s="56">
        <f t="shared" ca="1" si="306"/>
        <v>5.6736842105263152</v>
      </c>
      <c r="AU192" s="56">
        <f t="shared" ca="1" si="306"/>
        <v>5.6736842105263152</v>
      </c>
      <c r="AV192" s="56">
        <f t="shared" ca="1" si="306"/>
        <v>5.6736842105263152</v>
      </c>
      <c r="AW192" s="56">
        <f t="shared" ca="1" si="306"/>
        <v>5.6736842105263152</v>
      </c>
      <c r="AX192" s="56">
        <f t="shared" ca="1" si="306"/>
        <v>5.6736842105263152</v>
      </c>
      <c r="AY192" s="56">
        <f t="shared" ca="1" si="306"/>
        <v>5.6736842105263152</v>
      </c>
      <c r="AZ192" s="56">
        <f t="shared" ca="1" si="306"/>
        <v>5.6736842105263152</v>
      </c>
      <c r="BA192" s="56">
        <f t="shared" ca="1" si="306"/>
        <v>5.6736842105263152</v>
      </c>
      <c r="BB192" s="56">
        <f t="shared" ca="1" si="306"/>
        <v>5.6736842105263152</v>
      </c>
      <c r="BC192" s="56">
        <f t="shared" ca="1" si="306"/>
        <v>5.6736842105263152</v>
      </c>
      <c r="BD192" s="56">
        <f t="shared" ca="1" si="306"/>
        <v>5.6736842105263152</v>
      </c>
      <c r="BE192" s="56">
        <f t="shared" ca="1" si="306"/>
        <v>5.6736842105263152</v>
      </c>
      <c r="BF192" s="56">
        <f t="shared" ca="1" si="306"/>
        <v>5.6736842105263152</v>
      </c>
      <c r="BG192" s="56">
        <f t="shared" ca="1" si="306"/>
        <v>5.6736842105263152</v>
      </c>
      <c r="BH192" s="56">
        <f t="shared" ca="1" si="306"/>
        <v>5.6736842105263152</v>
      </c>
      <c r="BI192" s="56">
        <f t="shared" ca="1" si="306"/>
        <v>5.6736842105263152</v>
      </c>
      <c r="BJ192" s="56">
        <f t="shared" ca="1" si="306"/>
        <v>5.6736842105263152</v>
      </c>
      <c r="BK192" s="56">
        <f t="shared" ca="1" si="306"/>
        <v>5.6736842105263152</v>
      </c>
      <c r="BL192" s="56">
        <f t="shared" ca="1" si="306"/>
        <v>5.6736842105263152</v>
      </c>
      <c r="BM192" s="56">
        <f t="shared" ca="1" si="306"/>
        <v>5.6736842105263152</v>
      </c>
      <c r="BN192" s="56">
        <f t="shared" ca="1" si="306"/>
        <v>5.6736842105263152</v>
      </c>
      <c r="BO192" s="56">
        <f t="shared" ca="1" si="306"/>
        <v>5.6736842105263152</v>
      </c>
      <c r="BP192" s="56">
        <f t="shared" ca="1" si="306"/>
        <v>5.6736842105263152</v>
      </c>
      <c r="BQ192" s="56">
        <f t="shared" ca="1" si="306"/>
        <v>5.6736842105263152</v>
      </c>
      <c r="BR192" s="56">
        <f t="shared" ca="1" si="306"/>
        <v>5.6736842105263152</v>
      </c>
      <c r="BS192" s="56">
        <f t="shared" ca="1" si="306"/>
        <v>5.6736842105263152</v>
      </c>
      <c r="BT192" s="56">
        <f t="shared" ca="1" si="306"/>
        <v>5.6736842105263152</v>
      </c>
      <c r="BU192" s="56">
        <f t="shared" ca="1" si="306"/>
        <v>5.6736842105263152</v>
      </c>
      <c r="BV192" s="56">
        <f t="shared" ca="1" si="306"/>
        <v>5.6736842105263152</v>
      </c>
      <c r="BW192" s="56">
        <f t="shared" ref="BW192:DB192" ca="1" si="307">IF(BW167&gt;0,BW142+BW167,0)</f>
        <v>5.6736842105263152</v>
      </c>
      <c r="BX192" s="56">
        <f t="shared" ca="1" si="307"/>
        <v>5.6736842105263152</v>
      </c>
      <c r="BY192" s="56">
        <f t="shared" ca="1" si="307"/>
        <v>5.6736842105263152</v>
      </c>
      <c r="BZ192" s="56">
        <f t="shared" ca="1" si="307"/>
        <v>5.6736842105263152</v>
      </c>
      <c r="CA192" s="56">
        <f t="shared" ca="1" si="307"/>
        <v>5.6736842105263152</v>
      </c>
      <c r="CB192" s="56">
        <f t="shared" ca="1" si="307"/>
        <v>5.6736842105263152</v>
      </c>
      <c r="CC192" s="56">
        <f t="shared" ca="1" si="307"/>
        <v>5.6736842105263152</v>
      </c>
      <c r="CD192" s="56">
        <f t="shared" ca="1" si="307"/>
        <v>5.6736842105263152</v>
      </c>
      <c r="CE192" s="56">
        <f t="shared" ca="1" si="307"/>
        <v>5.6736842105263152</v>
      </c>
      <c r="CF192" s="56">
        <f t="shared" ca="1" si="307"/>
        <v>5.6736842105263152</v>
      </c>
      <c r="CG192" s="56">
        <f t="shared" ca="1" si="307"/>
        <v>5.6736842105263152</v>
      </c>
      <c r="CH192" s="56">
        <f t="shared" ca="1" si="307"/>
        <v>5.6736842105263152</v>
      </c>
      <c r="CI192" s="56">
        <f t="shared" ca="1" si="307"/>
        <v>5.6736842105263152</v>
      </c>
      <c r="CJ192" s="56">
        <f t="shared" ca="1" si="307"/>
        <v>5.6736842105263152</v>
      </c>
      <c r="CK192" s="56">
        <f t="shared" si="307"/>
        <v>0</v>
      </c>
      <c r="CL192" s="56">
        <f t="shared" si="307"/>
        <v>0</v>
      </c>
      <c r="CM192" s="56">
        <f t="shared" si="307"/>
        <v>0</v>
      </c>
      <c r="CN192" s="56">
        <f t="shared" si="307"/>
        <v>0</v>
      </c>
      <c r="CO192" s="56">
        <f t="shared" si="307"/>
        <v>0</v>
      </c>
      <c r="CP192" s="56">
        <f t="shared" si="307"/>
        <v>0</v>
      </c>
      <c r="CQ192" s="56">
        <f t="shared" si="307"/>
        <v>0</v>
      </c>
      <c r="CR192" s="56">
        <f t="shared" si="307"/>
        <v>0</v>
      </c>
      <c r="CS192" s="56">
        <f t="shared" si="307"/>
        <v>0</v>
      </c>
      <c r="CT192" s="56">
        <f t="shared" si="307"/>
        <v>0</v>
      </c>
      <c r="CU192" s="56">
        <f t="shared" si="307"/>
        <v>0</v>
      </c>
      <c r="CV192" s="56">
        <f t="shared" si="307"/>
        <v>0</v>
      </c>
      <c r="CW192" s="56">
        <f t="shared" si="307"/>
        <v>0</v>
      </c>
      <c r="CX192" s="56">
        <f t="shared" si="307"/>
        <v>0</v>
      </c>
      <c r="CY192" s="56">
        <f t="shared" si="307"/>
        <v>0</v>
      </c>
      <c r="CZ192" s="56">
        <f t="shared" si="307"/>
        <v>0</v>
      </c>
      <c r="DA192" s="56">
        <f t="shared" si="307"/>
        <v>0</v>
      </c>
      <c r="DB192" s="56">
        <f t="shared" si="307"/>
        <v>0</v>
      </c>
      <c r="DC192" s="56">
        <f t="shared" ref="DC192:EH192" si="308">IF(DC167&gt;0,DC142+DC167,0)</f>
        <v>0</v>
      </c>
      <c r="DD192" s="56">
        <f t="shared" si="308"/>
        <v>0</v>
      </c>
      <c r="DE192" s="56">
        <f t="shared" si="308"/>
        <v>0</v>
      </c>
      <c r="DF192" s="56">
        <f t="shared" si="308"/>
        <v>0</v>
      </c>
      <c r="DG192" s="56">
        <f t="shared" si="308"/>
        <v>0</v>
      </c>
      <c r="DH192" s="56">
        <f t="shared" si="308"/>
        <v>0</v>
      </c>
      <c r="DI192" s="56">
        <f t="shared" si="308"/>
        <v>0</v>
      </c>
      <c r="DJ192" s="56">
        <f t="shared" si="308"/>
        <v>0</v>
      </c>
      <c r="DK192" s="56">
        <f t="shared" si="308"/>
        <v>0</v>
      </c>
      <c r="DL192" s="56">
        <f t="shared" si="308"/>
        <v>0</v>
      </c>
      <c r="DM192" s="56">
        <f t="shared" si="308"/>
        <v>0</v>
      </c>
      <c r="DN192" s="56">
        <f t="shared" si="308"/>
        <v>0</v>
      </c>
      <c r="DO192" s="56">
        <f t="shared" si="308"/>
        <v>0</v>
      </c>
      <c r="DP192" s="56">
        <f t="shared" si="308"/>
        <v>0</v>
      </c>
      <c r="DQ192" s="56">
        <f t="shared" si="308"/>
        <v>0</v>
      </c>
      <c r="DR192" s="56">
        <f t="shared" si="308"/>
        <v>0</v>
      </c>
      <c r="DS192" s="56">
        <f t="shared" si="308"/>
        <v>0</v>
      </c>
      <c r="DT192" s="56">
        <f t="shared" si="308"/>
        <v>0</v>
      </c>
      <c r="DU192" s="56">
        <f t="shared" si="308"/>
        <v>0</v>
      </c>
      <c r="DV192" s="56">
        <f t="shared" si="308"/>
        <v>0</v>
      </c>
      <c r="DW192" s="56">
        <f t="shared" si="308"/>
        <v>0</v>
      </c>
      <c r="DX192" s="56">
        <f t="shared" si="308"/>
        <v>0</v>
      </c>
      <c r="DY192" s="56">
        <f t="shared" si="308"/>
        <v>0</v>
      </c>
      <c r="DZ192" s="56">
        <f t="shared" si="308"/>
        <v>0</v>
      </c>
      <c r="EA192" s="56">
        <f t="shared" si="308"/>
        <v>0</v>
      </c>
      <c r="EB192" s="56">
        <f t="shared" si="308"/>
        <v>0</v>
      </c>
      <c r="EC192" s="56">
        <f t="shared" si="308"/>
        <v>0</v>
      </c>
      <c r="ED192" s="56">
        <f t="shared" si="308"/>
        <v>0</v>
      </c>
      <c r="EE192" s="56">
        <f t="shared" si="308"/>
        <v>0</v>
      </c>
      <c r="EF192" s="56">
        <f t="shared" si="308"/>
        <v>0</v>
      </c>
      <c r="EG192" s="56">
        <f t="shared" si="308"/>
        <v>0</v>
      </c>
      <c r="EH192" s="56">
        <f t="shared" si="308"/>
        <v>0</v>
      </c>
      <c r="EI192" s="56">
        <f t="shared" ref="EI192:FN192" si="309">IF(EI167&gt;0,EI142+EI167,0)</f>
        <v>0</v>
      </c>
      <c r="EJ192" s="56">
        <f t="shared" si="309"/>
        <v>0</v>
      </c>
      <c r="EK192" s="56">
        <f t="shared" si="309"/>
        <v>0</v>
      </c>
      <c r="EL192" s="56">
        <f t="shared" si="309"/>
        <v>0</v>
      </c>
      <c r="EM192" s="56">
        <f t="shared" si="309"/>
        <v>0</v>
      </c>
      <c r="EN192" s="56">
        <f t="shared" si="309"/>
        <v>0</v>
      </c>
      <c r="EO192" s="56">
        <f t="shared" si="309"/>
        <v>0</v>
      </c>
      <c r="EP192" s="56">
        <f t="shared" si="309"/>
        <v>0</v>
      </c>
      <c r="EQ192" s="56">
        <f t="shared" si="309"/>
        <v>0</v>
      </c>
      <c r="ER192" s="56">
        <f t="shared" si="309"/>
        <v>0</v>
      </c>
      <c r="ES192" s="56">
        <f t="shared" si="309"/>
        <v>0</v>
      </c>
      <c r="ET192" s="56">
        <f t="shared" si="309"/>
        <v>0</v>
      </c>
      <c r="EU192" s="56">
        <f t="shared" si="309"/>
        <v>0</v>
      </c>
      <c r="EV192" s="56">
        <f t="shared" si="309"/>
        <v>0</v>
      </c>
      <c r="EW192" s="56">
        <f t="shared" si="309"/>
        <v>0</v>
      </c>
      <c r="EX192" s="56">
        <f t="shared" si="309"/>
        <v>0</v>
      </c>
      <c r="EY192" s="56">
        <f t="shared" si="309"/>
        <v>0</v>
      </c>
      <c r="EZ192" s="56">
        <f t="shared" si="309"/>
        <v>0</v>
      </c>
      <c r="FA192" s="56">
        <f t="shared" si="309"/>
        <v>0</v>
      </c>
      <c r="FB192" s="56">
        <f t="shared" si="309"/>
        <v>0</v>
      </c>
      <c r="FC192" s="56">
        <f t="shared" si="309"/>
        <v>0</v>
      </c>
      <c r="FD192" s="56">
        <f t="shared" si="309"/>
        <v>0</v>
      </c>
      <c r="FE192" s="56">
        <f t="shared" si="309"/>
        <v>0</v>
      </c>
      <c r="FF192" s="56">
        <f t="shared" si="309"/>
        <v>0</v>
      </c>
      <c r="FG192" s="56">
        <f t="shared" si="309"/>
        <v>0</v>
      </c>
      <c r="FH192" s="56">
        <f t="shared" si="309"/>
        <v>0</v>
      </c>
      <c r="FI192" s="56">
        <f t="shared" si="309"/>
        <v>0</v>
      </c>
      <c r="FJ192" s="56">
        <f t="shared" si="309"/>
        <v>0</v>
      </c>
      <c r="FK192" s="56">
        <f t="shared" si="309"/>
        <v>0</v>
      </c>
      <c r="FL192" s="56">
        <f t="shared" si="309"/>
        <v>0</v>
      </c>
      <c r="FM192" s="56">
        <f t="shared" si="309"/>
        <v>0</v>
      </c>
      <c r="FN192" s="56">
        <f t="shared" si="309"/>
        <v>0</v>
      </c>
      <c r="FO192" s="56">
        <f t="shared" ref="FO192:GP192" si="310">IF(FO167&gt;0,FO142+FO167,0)</f>
        <v>0</v>
      </c>
      <c r="FP192" s="56">
        <f t="shared" si="310"/>
        <v>0</v>
      </c>
      <c r="FQ192" s="56">
        <f t="shared" si="310"/>
        <v>0</v>
      </c>
      <c r="FR192" s="56">
        <f t="shared" si="310"/>
        <v>0</v>
      </c>
      <c r="FS192" s="56">
        <f t="shared" si="310"/>
        <v>0</v>
      </c>
      <c r="FT192" s="56">
        <f t="shared" si="310"/>
        <v>0</v>
      </c>
      <c r="FU192" s="56">
        <f t="shared" si="310"/>
        <v>0</v>
      </c>
      <c r="FV192" s="56">
        <f t="shared" si="310"/>
        <v>0</v>
      </c>
      <c r="FW192" s="56">
        <f t="shared" si="310"/>
        <v>0</v>
      </c>
      <c r="FX192" s="56">
        <f t="shared" si="310"/>
        <v>0</v>
      </c>
      <c r="FY192" s="56">
        <f t="shared" si="310"/>
        <v>0</v>
      </c>
      <c r="FZ192" s="56">
        <f t="shared" si="310"/>
        <v>0</v>
      </c>
      <c r="GA192" s="56">
        <f t="shared" si="310"/>
        <v>0</v>
      </c>
      <c r="GB192" s="56">
        <f t="shared" si="310"/>
        <v>0</v>
      </c>
      <c r="GC192" s="56">
        <f t="shared" si="310"/>
        <v>0</v>
      </c>
      <c r="GD192" s="56">
        <f t="shared" si="310"/>
        <v>0</v>
      </c>
      <c r="GE192" s="56">
        <f t="shared" si="310"/>
        <v>0</v>
      </c>
      <c r="GF192" s="56">
        <f t="shared" si="310"/>
        <v>0</v>
      </c>
      <c r="GG192" s="56">
        <f t="shared" si="310"/>
        <v>0</v>
      </c>
      <c r="GH192" s="56">
        <f t="shared" si="310"/>
        <v>0</v>
      </c>
      <c r="GI192" s="56">
        <f t="shared" si="310"/>
        <v>0</v>
      </c>
      <c r="GJ192" s="56">
        <f t="shared" si="310"/>
        <v>0</v>
      </c>
      <c r="GK192" s="56">
        <f t="shared" si="310"/>
        <v>0</v>
      </c>
      <c r="GL192" s="56">
        <f t="shared" si="310"/>
        <v>0</v>
      </c>
      <c r="GM192" s="56">
        <f t="shared" si="310"/>
        <v>0</v>
      </c>
      <c r="GN192" s="56">
        <f t="shared" si="310"/>
        <v>0</v>
      </c>
      <c r="GO192" s="56">
        <f t="shared" si="310"/>
        <v>0</v>
      </c>
      <c r="GP192" s="56">
        <f t="shared" si="310"/>
        <v>0</v>
      </c>
    </row>
    <row r="193" spans="1:198" x14ac:dyDescent="0.35">
      <c r="A193" s="55" t="str">
        <f t="shared" si="304"/>
        <v>India &gt; available now</v>
      </c>
      <c r="B193" s="55" t="s">
        <v>297</v>
      </c>
      <c r="K193" s="56">
        <f t="shared" ref="K193:K206" ca="1" si="311">IF(K168&gt;0,K143+K168,K192)</f>
        <v>24.715789473684207</v>
      </c>
      <c r="L193" s="56">
        <f t="shared" ref="L193:L206" ca="1" si="312">IF(L168&gt;0,L143+L168,L192)</f>
        <v>24.715789473684207</v>
      </c>
      <c r="M193" s="56">
        <f t="shared" ref="M193:M206" ca="1" si="313">IF(M168&gt;0,M143+M168,M192)</f>
        <v>24.715789473684207</v>
      </c>
      <c r="N193" s="56">
        <f t="shared" ref="N193:N206" ca="1" si="314">IF(N168&gt;0,N143+N168,N192)</f>
        <v>24.715789473684207</v>
      </c>
      <c r="O193" s="56">
        <f t="shared" ref="O193:O206" ca="1" si="315">IF(O168&gt;0,O143+O168,O192)</f>
        <v>24.715789473684207</v>
      </c>
      <c r="P193" s="56">
        <f t="shared" ref="P193:P206" ca="1" si="316">IF(P168&gt;0,P143+P168,P192)</f>
        <v>24.715789473684207</v>
      </c>
      <c r="Q193" s="56">
        <f t="shared" ref="Q193:Q206" ca="1" si="317">IF(Q168&gt;0,Q143+Q168,Q192)</f>
        <v>24.715789473684207</v>
      </c>
      <c r="R193" s="56">
        <f t="shared" ref="R193:R206" ca="1" si="318">IF(R168&gt;0,R143+R168,R192)</f>
        <v>24.715789473684207</v>
      </c>
      <c r="S193" s="56">
        <f t="shared" ref="S193:S206" ca="1" si="319">IF(S168&gt;0,S143+S168,S192)</f>
        <v>24.715789473684207</v>
      </c>
      <c r="T193" s="56">
        <f t="shared" ref="T193:T206" ca="1" si="320">IF(T168&gt;0,T143+T168,T192)</f>
        <v>24.715789473684207</v>
      </c>
      <c r="U193" s="56">
        <f t="shared" ref="U193:U206" ca="1" si="321">IF(U168&gt;0,U143+U168,U192)</f>
        <v>24.706495122620662</v>
      </c>
      <c r="V193" s="56">
        <f t="shared" ref="V193:V206" ca="1" si="322">IF(V168&gt;0,V143+V168,V192)</f>
        <v>24.678631904043588</v>
      </c>
      <c r="W193" s="56">
        <f t="shared" ref="W193:W206" ca="1" si="323">IF(W168&gt;0,W143+W168,W192)</f>
        <v>24.6322592794656</v>
      </c>
      <c r="X193" s="56">
        <f t="shared" ref="X193:X206" ca="1" si="324">IF(X168&gt;0,X143+X168,X192)</f>
        <v>24.567476210404511</v>
      </c>
      <c r="Y193" s="56">
        <f t="shared" ref="Y193:Y206" ca="1" si="325">IF(Y168&gt;0,Y143+Y168,Y192)</f>
        <v>24.484420947194454</v>
      </c>
      <c r="Z193" s="56">
        <f t="shared" ref="Z193:Z206" ca="1" si="326">IF(Z168&gt;0,Z143+Z168,Z192)</f>
        <v>24.38327073395271</v>
      </c>
      <c r="AA193" s="56">
        <f t="shared" ref="AA193:AA206" ca="1" si="327">IF(AA168&gt;0,AA143+AA168,AA192)</f>
        <v>24.264241430331833</v>
      </c>
      <c r="AB193" s="56">
        <f t="shared" ref="AB193:AB206" ca="1" si="328">IF(AB168&gt;0,AB143+AB168,AB192)</f>
        <v>24.127587050864253</v>
      </c>
      <c r="AC193" s="56">
        <f t="shared" ref="AC193:AC206" ca="1" si="329">IF(AC168&gt;0,AC143+AC168,AC192)</f>
        <v>23.973599222882495</v>
      </c>
      <c r="AD193" s="56">
        <f t="shared" ref="AD193:AD206" ca="1" si="330">IF(AD168&gt;0,AD143+AD168,AD192)</f>
        <v>23.802606564171725</v>
      </c>
      <c r="AE193" s="56">
        <f t="shared" ref="AE193:AE206" ca="1" si="331">IF(AE168&gt;0,AE143+AE168,AE192)</f>
        <v>23.614973981682848</v>
      </c>
      <c r="AF193" s="56">
        <f t="shared" ref="AF193:AF206" ca="1" si="332">IF(AF168&gt;0,AF143+AF168,AF192)</f>
        <v>23.411101892802691</v>
      </c>
      <c r="AG193" s="56">
        <f t="shared" ref="AG193:AG206" ca="1" si="333">IF(AG168&gt;0,AG143+AG168,AG192)</f>
        <v>23.191425370843103</v>
      </c>
      <c r="AH193" s="56">
        <f t="shared" ref="AH193:AH206" ca="1" si="334">IF(AH168&gt;0,AH143+AH168,AH192)</f>
        <v>22.95641321657261</v>
      </c>
      <c r="AI193" s="56">
        <f t="shared" ref="AI193:AI206" ca="1" si="335">IF(AI168&gt;0,AI143+AI168,AI192)</f>
        <v>22.706566957771916</v>
      </c>
      <c r="AJ193" s="56">
        <f t="shared" ref="AJ193:AJ206" ca="1" si="336">IF(AJ168&gt;0,AJ143+AJ168,AJ192)</f>
        <v>22.44241977894837</v>
      </c>
      <c r="AK193" s="56">
        <f t="shared" ref="AK193:AK206" ca="1" si="337">IF(AK168&gt;0,AK143+AK168,AK192)</f>
        <v>22.164535383493345</v>
      </c>
      <c r="AL193" s="56">
        <f t="shared" ref="AL193:AL206" ca="1" si="338">IF(AL168&gt;0,AL143+AL168,AL192)</f>
        <v>21.873506790710799</v>
      </c>
      <c r="AM193" s="56">
        <f t="shared" ref="AM193:AM206" ca="1" si="339">IF(AM168&gt;0,AM143+AM168,AM192)</f>
        <v>21.569955070284188</v>
      </c>
      <c r="AN193" s="56">
        <f t="shared" ref="AN193:AN206" ca="1" si="340">IF(AN168&gt;0,AN143+AN168,AN192)</f>
        <v>21.254528016882468</v>
      </c>
      <c r="AO193" s="56">
        <f t="shared" ref="AO193:AO206" ca="1" si="341">IF(AO168&gt;0,AO143+AO168,AO192)</f>
        <v>20.927898767733627</v>
      </c>
      <c r="AP193" s="56">
        <f t="shared" ref="AP193:AP206" ca="1" si="342">IF(AP168&gt;0,AP143+AP168,AP192)</f>
        <v>20.590764366115913</v>
      </c>
      <c r="AQ193" s="56">
        <f t="shared" ref="AQ193:AQ206" ca="1" si="343">IF(AQ168&gt;0,AQ143+AQ168,AQ192)</f>
        <v>20.243844273832352</v>
      </c>
      <c r="AR193" s="56">
        <f t="shared" ref="AR193:AR206" ca="1" si="344">IF(AR168&gt;0,AR143+AR168,AR192)</f>
        <v>19.887878835843004</v>
      </c>
      <c r="AS193" s="56">
        <f t="shared" ref="AS193:AS206" ca="1" si="345">IF(AS168&gt;0,AS143+AS168,AS192)</f>
        <v>19.523627700331502</v>
      </c>
      <c r="AT193" s="56">
        <f t="shared" ref="AT193:AT206" ca="1" si="346">IF(AT168&gt;0,AT143+AT168,AT192)</f>
        <v>19.151868197577567</v>
      </c>
      <c r="AU193" s="56">
        <f t="shared" ref="AU193:AU206" ca="1" si="347">IF(AU168&gt;0,AU143+AU168,AU192)</f>
        <v>18.773393681094984</v>
      </c>
      <c r="AV193" s="56">
        <f t="shared" ref="AV193:AV206" ca="1" si="348">IF(AV168&gt;0,AV143+AV168,AV192)</f>
        <v>18.389011834575246</v>
      </c>
      <c r="AW193" s="56">
        <f t="shared" ref="AW193:AW206" ca="1" si="349">IF(AW168&gt;0,AW143+AW168,AW192)</f>
        <v>17.99954294824985</v>
      </c>
      <c r="AX193" s="56">
        <f t="shared" ref="AX193:AX206" ca="1" si="350">IF(AX168&gt;0,AX143+AX168,AX192)</f>
        <v>17.6058181683496</v>
      </c>
      <c r="AY193" s="56">
        <f t="shared" ref="AY193:AY206" ca="1" si="351">IF(AY168&gt;0,AY143+AY168,AY192)</f>
        <v>17.208677723396658</v>
      </c>
      <c r="AZ193" s="56">
        <f t="shared" ref="AZ193:AZ206" ca="1" si="352">IF(AZ168&gt;0,AZ143+AZ168,AZ192)</f>
        <v>16.808969131114548</v>
      </c>
      <c r="BA193" s="56">
        <f t="shared" ref="BA193:BA206" ca="1" si="353">IF(BA168&gt;0,BA143+BA168,BA192)</f>
        <v>16.407545389782623</v>
      </c>
      <c r="BB193" s="56">
        <f t="shared" ref="BB193:BB206" ca="1" si="354">IF(BB168&gt;0,BB143+BB168,BB192)</f>
        <v>16.005263157894735</v>
      </c>
      <c r="BC193" s="56">
        <f t="shared" ref="BC193:BC206" ca="1" si="355">IF(BC168&gt;0,BC143+BC168,BC192)</f>
        <v>15.602980926006847</v>
      </c>
      <c r="BD193" s="56">
        <f t="shared" ref="BD193:BD206" ca="1" si="356">IF(BD168&gt;0,BD143+BD168,BD192)</f>
        <v>15.201557184674922</v>
      </c>
      <c r="BE193" s="56">
        <f t="shared" ref="BE193:BE206" ca="1" si="357">IF(BE168&gt;0,BE143+BE168,BE192)</f>
        <v>14.801848592392815</v>
      </c>
      <c r="BF193" s="56">
        <f t="shared" ref="BF193:BF206" ca="1" si="358">IF(BF168&gt;0,BF143+BF168,BF192)</f>
        <v>14.404708147439871</v>
      </c>
      <c r="BG193" s="56">
        <f t="shared" ref="BG193:BG206" ca="1" si="359">IF(BG168&gt;0,BG143+BG168,BG192)</f>
        <v>14.010983367539621</v>
      </c>
      <c r="BH193" s="56">
        <f t="shared" ref="BH193:BH206" ca="1" si="360">IF(BH168&gt;0,BH143+BH168,BH192)</f>
        <v>13.621514481214223</v>
      </c>
      <c r="BI193" s="56">
        <f t="shared" ref="BI193:BI206" ca="1" si="361">IF(BI168&gt;0,BI143+BI168,BI192)</f>
        <v>13.237132634694486</v>
      </c>
      <c r="BJ193" s="56">
        <f t="shared" ref="BJ193:BJ206" ca="1" si="362">IF(BJ168&gt;0,BJ143+BJ168,BJ192)</f>
        <v>12.858658118211903</v>
      </c>
      <c r="BK193" s="56">
        <f t="shared" ref="BK193:BK206" ca="1" si="363">IF(BK168&gt;0,BK143+BK168,BK192)</f>
        <v>12.486898615457967</v>
      </c>
      <c r="BL193" s="56">
        <f t="shared" ref="BL193:BL206" ca="1" si="364">IF(BL168&gt;0,BL143+BL168,BL192)</f>
        <v>12.122647479946469</v>
      </c>
      <c r="BM193" s="56">
        <f t="shared" ref="BM193:BM206" ca="1" si="365">IF(BM168&gt;0,BM143+BM168,BM192)</f>
        <v>11.76668204195712</v>
      </c>
      <c r="BN193" s="56">
        <f t="shared" ref="BN193:BN206" ca="1" si="366">IF(BN168&gt;0,BN143+BN168,BN192)</f>
        <v>11.419761949673557</v>
      </c>
      <c r="BO193" s="56">
        <f t="shared" ref="BO193:BO206" ca="1" si="367">IF(BO168&gt;0,BO143+BO168,BO192)</f>
        <v>11.082627548055843</v>
      </c>
      <c r="BP193" s="56">
        <f t="shared" ref="BP193:BP206" ca="1" si="368">IF(BP168&gt;0,BP143+BP168,BP192)</f>
        <v>10.755998298907002</v>
      </c>
      <c r="BQ193" s="56">
        <f t="shared" ref="BQ193:BQ206" ca="1" si="369">IF(BQ168&gt;0,BQ143+BQ168,BQ192)</f>
        <v>10.440571245505284</v>
      </c>
      <c r="BR193" s="56">
        <f t="shared" ref="BR193:BR206" ca="1" si="370">IF(BR168&gt;0,BR143+BR168,BR192)</f>
        <v>10.137019525078671</v>
      </c>
      <c r="BS193" s="56">
        <f t="shared" ref="BS193:BS206" ca="1" si="371">IF(BS168&gt;0,BS143+BS168,BS192)</f>
        <v>9.8459909322961252</v>
      </c>
      <c r="BT193" s="56">
        <f t="shared" ref="BT193:BT206" ca="1" si="372">IF(BT168&gt;0,BT143+BT168,BT192)</f>
        <v>9.5681065368410998</v>
      </c>
      <c r="BU193" s="56">
        <f t="shared" ref="BU193:BU206" ca="1" si="373">IF(BU168&gt;0,BU143+BU168,BU192)</f>
        <v>9.3039593580175524</v>
      </c>
      <c r="BV193" s="56">
        <f t="shared" ref="BV193:BV206" ca="1" si="374">IF(BV168&gt;0,BV143+BV168,BV192)</f>
        <v>9.0541130992168597</v>
      </c>
      <c r="BW193" s="56">
        <f t="shared" ref="BW193:BW206" ca="1" si="375">IF(BW168&gt;0,BW143+BW168,BW192)</f>
        <v>8.8191009449463671</v>
      </c>
      <c r="BX193" s="56">
        <f t="shared" ref="BX193:BX206" ca="1" si="376">IF(BX168&gt;0,BX143+BX168,BX192)</f>
        <v>8.5994244229867824</v>
      </c>
      <c r="BY193" s="56">
        <f t="shared" ref="BY193:BY206" ca="1" si="377">IF(BY168&gt;0,BY143+BY168,BY192)</f>
        <v>8.3955523341066218</v>
      </c>
      <c r="BZ193" s="56">
        <f t="shared" ref="BZ193:BZ206" ca="1" si="378">IF(BZ168&gt;0,BZ143+BZ168,BZ192)</f>
        <v>8.207919751617748</v>
      </c>
      <c r="CA193" s="56">
        <f t="shared" ref="CA193:CA206" ca="1" si="379">IF(CA168&gt;0,CA143+CA168,CA192)</f>
        <v>8.0369270929069749</v>
      </c>
      <c r="CB193" s="56">
        <f t="shared" ref="CB193:CB206" ca="1" si="380">IF(CB168&gt;0,CB143+CB168,CB192)</f>
        <v>7.8829392649252155</v>
      </c>
      <c r="CC193" s="56">
        <f t="shared" ref="CC193:CC206" ca="1" si="381">IF(CC168&gt;0,CC143+CC168,CC192)</f>
        <v>7.7462848854576363</v>
      </c>
      <c r="CD193" s="56">
        <f t="shared" ref="CD193:CD206" ca="1" si="382">IF(CD168&gt;0,CD143+CD168,CD192)</f>
        <v>7.6272555818367591</v>
      </c>
      <c r="CE193" s="56">
        <f t="shared" ref="CE193:CE206" ca="1" si="383">IF(CE168&gt;0,CE143+CE168,CE192)</f>
        <v>7.5261053685950143</v>
      </c>
      <c r="CF193" s="56">
        <f t="shared" ref="CF193:CF206" ca="1" si="384">IF(CF168&gt;0,CF143+CF168,CF192)</f>
        <v>7.443050105384958</v>
      </c>
      <c r="CG193" s="56">
        <f t="shared" ref="CG193:CG206" ca="1" si="385">IF(CG168&gt;0,CG143+CG168,CG192)</f>
        <v>7.3782670363238685</v>
      </c>
      <c r="CH193" s="56">
        <f t="shared" ref="CH193:CH206" ca="1" si="386">IF(CH168&gt;0,CH143+CH168,CH192)</f>
        <v>7.3318944117458811</v>
      </c>
      <c r="CI193" s="56">
        <f t="shared" ref="CI193:CI206" ca="1" si="387">IF(CI168&gt;0,CI143+CI168,CI192)</f>
        <v>7.3040311931688064</v>
      </c>
      <c r="CJ193" s="56">
        <f t="shared" ref="CJ193:CJ206" ca="1" si="388">IF(CJ168&gt;0,CJ143+CJ168,CJ192)</f>
        <v>7.2947368421052614</v>
      </c>
      <c r="CK193" s="56">
        <f t="shared" ref="CK193:CK206" si="389">IF(CK168&gt;0,CK143+CK168,CK192)</f>
        <v>0</v>
      </c>
      <c r="CL193" s="56">
        <f t="shared" ref="CL193:CL206" si="390">IF(CL168&gt;0,CL143+CL168,CL192)</f>
        <v>0</v>
      </c>
      <c r="CM193" s="56">
        <f t="shared" ref="CM193:CM206" si="391">IF(CM168&gt;0,CM143+CM168,CM192)</f>
        <v>0</v>
      </c>
      <c r="CN193" s="56">
        <f t="shared" ref="CN193:CN206" si="392">IF(CN168&gt;0,CN143+CN168,CN192)</f>
        <v>0</v>
      </c>
      <c r="CO193" s="56">
        <f t="shared" ref="CO193:CO206" si="393">IF(CO168&gt;0,CO143+CO168,CO192)</f>
        <v>0</v>
      </c>
      <c r="CP193" s="56">
        <f t="shared" ref="CP193:CP206" si="394">IF(CP168&gt;0,CP143+CP168,CP192)</f>
        <v>0</v>
      </c>
      <c r="CQ193" s="56">
        <f t="shared" ref="CQ193:CQ206" si="395">IF(CQ168&gt;0,CQ143+CQ168,CQ192)</f>
        <v>0</v>
      </c>
      <c r="CR193" s="56">
        <f t="shared" ref="CR193:CR206" si="396">IF(CR168&gt;0,CR143+CR168,CR192)</f>
        <v>0</v>
      </c>
      <c r="CS193" s="56">
        <f t="shared" ref="CS193:CS206" si="397">IF(CS168&gt;0,CS143+CS168,CS192)</f>
        <v>0</v>
      </c>
      <c r="CT193" s="56">
        <f t="shared" ref="CT193:CT206" si="398">IF(CT168&gt;0,CT143+CT168,CT192)</f>
        <v>0</v>
      </c>
      <c r="CU193" s="56">
        <f t="shared" ref="CU193:CU206" si="399">IF(CU168&gt;0,CU143+CU168,CU192)</f>
        <v>0</v>
      </c>
      <c r="CV193" s="56">
        <f t="shared" ref="CV193:CV206" si="400">IF(CV168&gt;0,CV143+CV168,CV192)</f>
        <v>0</v>
      </c>
      <c r="CW193" s="56">
        <f t="shared" ref="CW193:CW206" si="401">IF(CW168&gt;0,CW143+CW168,CW192)</f>
        <v>0</v>
      </c>
      <c r="CX193" s="56">
        <f t="shared" ref="CX193:CX206" si="402">IF(CX168&gt;0,CX143+CX168,CX192)</f>
        <v>0</v>
      </c>
      <c r="CY193" s="56">
        <f t="shared" ref="CY193:CY206" si="403">IF(CY168&gt;0,CY143+CY168,CY192)</f>
        <v>0</v>
      </c>
      <c r="CZ193" s="56">
        <f t="shared" ref="CZ193:CZ206" si="404">IF(CZ168&gt;0,CZ143+CZ168,CZ192)</f>
        <v>0</v>
      </c>
      <c r="DA193" s="56">
        <f t="shared" ref="DA193:DA206" si="405">IF(DA168&gt;0,DA143+DA168,DA192)</f>
        <v>0</v>
      </c>
      <c r="DB193" s="56">
        <f t="shared" ref="DB193:DB206" si="406">IF(DB168&gt;0,DB143+DB168,DB192)</f>
        <v>0</v>
      </c>
      <c r="DC193" s="56">
        <f t="shared" ref="DC193:DC206" si="407">IF(DC168&gt;0,DC143+DC168,DC192)</f>
        <v>0</v>
      </c>
      <c r="DD193" s="56">
        <f t="shared" ref="DD193:DD206" si="408">IF(DD168&gt;0,DD143+DD168,DD192)</f>
        <v>0</v>
      </c>
      <c r="DE193" s="56">
        <f t="shared" ref="DE193:DE206" si="409">IF(DE168&gt;0,DE143+DE168,DE192)</f>
        <v>0</v>
      </c>
      <c r="DF193" s="56">
        <f t="shared" ref="DF193:DF206" si="410">IF(DF168&gt;0,DF143+DF168,DF192)</f>
        <v>0</v>
      </c>
      <c r="DG193" s="56">
        <f t="shared" ref="DG193:DG206" si="411">IF(DG168&gt;0,DG143+DG168,DG192)</f>
        <v>0</v>
      </c>
      <c r="DH193" s="56">
        <f t="shared" ref="DH193:DH206" si="412">IF(DH168&gt;0,DH143+DH168,DH192)</f>
        <v>0</v>
      </c>
      <c r="DI193" s="56">
        <f t="shared" ref="DI193:DI206" si="413">IF(DI168&gt;0,DI143+DI168,DI192)</f>
        <v>0</v>
      </c>
      <c r="DJ193" s="56">
        <f t="shared" ref="DJ193:DJ206" si="414">IF(DJ168&gt;0,DJ143+DJ168,DJ192)</f>
        <v>0</v>
      </c>
      <c r="DK193" s="56">
        <f t="shared" ref="DK193:DK206" si="415">IF(DK168&gt;0,DK143+DK168,DK192)</f>
        <v>0</v>
      </c>
      <c r="DL193" s="56">
        <f t="shared" ref="DL193:DL206" si="416">IF(DL168&gt;0,DL143+DL168,DL192)</f>
        <v>0</v>
      </c>
      <c r="DM193" s="56">
        <f t="shared" ref="DM193:DM206" si="417">IF(DM168&gt;0,DM143+DM168,DM192)</f>
        <v>0</v>
      </c>
      <c r="DN193" s="56">
        <f t="shared" ref="DN193:DN206" si="418">IF(DN168&gt;0,DN143+DN168,DN192)</f>
        <v>0</v>
      </c>
      <c r="DO193" s="56">
        <f t="shared" ref="DO193:DO206" si="419">IF(DO168&gt;0,DO143+DO168,DO192)</f>
        <v>0</v>
      </c>
      <c r="DP193" s="56">
        <f t="shared" ref="DP193:DP206" si="420">IF(DP168&gt;0,DP143+DP168,DP192)</f>
        <v>0</v>
      </c>
      <c r="DQ193" s="56">
        <f t="shared" ref="DQ193:DQ206" si="421">IF(DQ168&gt;0,DQ143+DQ168,DQ192)</f>
        <v>0</v>
      </c>
      <c r="DR193" s="56">
        <f t="shared" ref="DR193:DR206" si="422">IF(DR168&gt;0,DR143+DR168,DR192)</f>
        <v>0</v>
      </c>
      <c r="DS193" s="56">
        <f t="shared" ref="DS193:DS206" si="423">IF(DS168&gt;0,DS143+DS168,DS192)</f>
        <v>0</v>
      </c>
      <c r="DT193" s="56">
        <f t="shared" ref="DT193:DT206" si="424">IF(DT168&gt;0,DT143+DT168,DT192)</f>
        <v>0</v>
      </c>
      <c r="DU193" s="56">
        <f t="shared" ref="DU193:DU206" si="425">IF(DU168&gt;0,DU143+DU168,DU192)</f>
        <v>0</v>
      </c>
      <c r="DV193" s="56">
        <f t="shared" ref="DV193:DV206" si="426">IF(DV168&gt;0,DV143+DV168,DV192)</f>
        <v>0</v>
      </c>
      <c r="DW193" s="56">
        <f t="shared" ref="DW193:DW206" si="427">IF(DW168&gt;0,DW143+DW168,DW192)</f>
        <v>0</v>
      </c>
      <c r="DX193" s="56">
        <f t="shared" ref="DX193:DX206" si="428">IF(DX168&gt;0,DX143+DX168,DX192)</f>
        <v>0</v>
      </c>
      <c r="DY193" s="56">
        <f t="shared" ref="DY193:DY206" si="429">IF(DY168&gt;0,DY143+DY168,DY192)</f>
        <v>0</v>
      </c>
      <c r="DZ193" s="56">
        <f t="shared" ref="DZ193:DZ206" si="430">IF(DZ168&gt;0,DZ143+DZ168,DZ192)</f>
        <v>0</v>
      </c>
      <c r="EA193" s="56">
        <f t="shared" ref="EA193:EA206" si="431">IF(EA168&gt;0,EA143+EA168,EA192)</f>
        <v>0</v>
      </c>
      <c r="EB193" s="56">
        <f t="shared" ref="EB193:EB206" si="432">IF(EB168&gt;0,EB143+EB168,EB192)</f>
        <v>0</v>
      </c>
      <c r="EC193" s="56">
        <f t="shared" ref="EC193:EC206" si="433">IF(EC168&gt;0,EC143+EC168,EC192)</f>
        <v>0</v>
      </c>
      <c r="ED193" s="56">
        <f t="shared" ref="ED193:ED206" si="434">IF(ED168&gt;0,ED143+ED168,ED192)</f>
        <v>0</v>
      </c>
      <c r="EE193" s="56">
        <f t="shared" ref="EE193:EE206" si="435">IF(EE168&gt;0,EE143+EE168,EE192)</f>
        <v>0</v>
      </c>
      <c r="EF193" s="56">
        <f t="shared" ref="EF193:EF206" si="436">IF(EF168&gt;0,EF143+EF168,EF192)</f>
        <v>0</v>
      </c>
      <c r="EG193" s="56">
        <f t="shared" ref="EG193:EG206" si="437">IF(EG168&gt;0,EG143+EG168,EG192)</f>
        <v>0</v>
      </c>
      <c r="EH193" s="56">
        <f t="shared" ref="EH193:EH206" si="438">IF(EH168&gt;0,EH143+EH168,EH192)</f>
        <v>0</v>
      </c>
      <c r="EI193" s="56">
        <f t="shared" ref="EI193:EI206" si="439">IF(EI168&gt;0,EI143+EI168,EI192)</f>
        <v>0</v>
      </c>
      <c r="EJ193" s="56">
        <f t="shared" ref="EJ193:EJ206" si="440">IF(EJ168&gt;0,EJ143+EJ168,EJ192)</f>
        <v>0</v>
      </c>
      <c r="EK193" s="56">
        <f t="shared" ref="EK193:EK206" si="441">IF(EK168&gt;0,EK143+EK168,EK192)</f>
        <v>0</v>
      </c>
      <c r="EL193" s="56">
        <f t="shared" ref="EL193:EL206" si="442">IF(EL168&gt;0,EL143+EL168,EL192)</f>
        <v>0</v>
      </c>
      <c r="EM193" s="56">
        <f t="shared" ref="EM193:EM206" si="443">IF(EM168&gt;0,EM143+EM168,EM192)</f>
        <v>0</v>
      </c>
      <c r="EN193" s="56">
        <f t="shared" ref="EN193:EN206" si="444">IF(EN168&gt;0,EN143+EN168,EN192)</f>
        <v>0</v>
      </c>
      <c r="EO193" s="56">
        <f t="shared" ref="EO193:EO206" si="445">IF(EO168&gt;0,EO143+EO168,EO192)</f>
        <v>0</v>
      </c>
      <c r="EP193" s="56">
        <f t="shared" ref="EP193:EP206" si="446">IF(EP168&gt;0,EP143+EP168,EP192)</f>
        <v>0</v>
      </c>
      <c r="EQ193" s="56">
        <f t="shared" ref="EQ193:EQ206" si="447">IF(EQ168&gt;0,EQ143+EQ168,EQ192)</f>
        <v>0</v>
      </c>
      <c r="ER193" s="56">
        <f t="shared" ref="ER193:ER206" si="448">IF(ER168&gt;0,ER143+ER168,ER192)</f>
        <v>0</v>
      </c>
      <c r="ES193" s="56">
        <f t="shared" ref="ES193:ES206" si="449">IF(ES168&gt;0,ES143+ES168,ES192)</f>
        <v>0</v>
      </c>
      <c r="ET193" s="56">
        <f t="shared" ref="ET193:ET206" si="450">IF(ET168&gt;0,ET143+ET168,ET192)</f>
        <v>0</v>
      </c>
      <c r="EU193" s="56">
        <f t="shared" ref="EU193:EU206" si="451">IF(EU168&gt;0,EU143+EU168,EU192)</f>
        <v>0</v>
      </c>
      <c r="EV193" s="56">
        <f t="shared" ref="EV193:EV206" si="452">IF(EV168&gt;0,EV143+EV168,EV192)</f>
        <v>0</v>
      </c>
      <c r="EW193" s="56">
        <f t="shared" ref="EW193:EW206" si="453">IF(EW168&gt;0,EW143+EW168,EW192)</f>
        <v>0</v>
      </c>
      <c r="EX193" s="56">
        <f t="shared" ref="EX193:EX206" si="454">IF(EX168&gt;0,EX143+EX168,EX192)</f>
        <v>0</v>
      </c>
      <c r="EY193" s="56">
        <f t="shared" ref="EY193:EY206" si="455">IF(EY168&gt;0,EY143+EY168,EY192)</f>
        <v>0</v>
      </c>
      <c r="EZ193" s="56">
        <f t="shared" ref="EZ193:EZ206" si="456">IF(EZ168&gt;0,EZ143+EZ168,EZ192)</f>
        <v>0</v>
      </c>
      <c r="FA193" s="56">
        <f t="shared" ref="FA193:FA206" si="457">IF(FA168&gt;0,FA143+FA168,FA192)</f>
        <v>0</v>
      </c>
      <c r="FB193" s="56">
        <f t="shared" ref="FB193:FB206" si="458">IF(FB168&gt;0,FB143+FB168,FB192)</f>
        <v>0</v>
      </c>
      <c r="FC193" s="56">
        <f t="shared" ref="FC193:FC206" si="459">IF(FC168&gt;0,FC143+FC168,FC192)</f>
        <v>0</v>
      </c>
      <c r="FD193" s="56">
        <f t="shared" ref="FD193:FD206" si="460">IF(FD168&gt;0,FD143+FD168,FD192)</f>
        <v>0</v>
      </c>
      <c r="FE193" s="56">
        <f t="shared" ref="FE193:FE206" si="461">IF(FE168&gt;0,FE143+FE168,FE192)</f>
        <v>0</v>
      </c>
      <c r="FF193" s="56">
        <f t="shared" ref="FF193:FF206" si="462">IF(FF168&gt;0,FF143+FF168,FF192)</f>
        <v>0</v>
      </c>
      <c r="FG193" s="56">
        <f t="shared" ref="FG193:FG206" si="463">IF(FG168&gt;0,FG143+FG168,FG192)</f>
        <v>0</v>
      </c>
      <c r="FH193" s="56">
        <f t="shared" ref="FH193:FH206" si="464">IF(FH168&gt;0,FH143+FH168,FH192)</f>
        <v>0</v>
      </c>
      <c r="FI193" s="56">
        <f t="shared" ref="FI193:FI206" si="465">IF(FI168&gt;0,FI143+FI168,FI192)</f>
        <v>0</v>
      </c>
      <c r="FJ193" s="56">
        <f t="shared" ref="FJ193:FJ206" si="466">IF(FJ168&gt;0,FJ143+FJ168,FJ192)</f>
        <v>0</v>
      </c>
      <c r="FK193" s="56">
        <f t="shared" ref="FK193:FK206" si="467">IF(FK168&gt;0,FK143+FK168,FK192)</f>
        <v>0</v>
      </c>
      <c r="FL193" s="56">
        <f t="shared" ref="FL193:FL206" si="468">IF(FL168&gt;0,FL143+FL168,FL192)</f>
        <v>0</v>
      </c>
      <c r="FM193" s="56">
        <f t="shared" ref="FM193:FM206" si="469">IF(FM168&gt;0,FM143+FM168,FM192)</f>
        <v>0</v>
      </c>
      <c r="FN193" s="56">
        <f t="shared" ref="FN193:FN206" si="470">IF(FN168&gt;0,FN143+FN168,FN192)</f>
        <v>0</v>
      </c>
      <c r="FO193" s="56">
        <f t="shared" ref="FO193:FO206" si="471">IF(FO168&gt;0,FO143+FO168,FO192)</f>
        <v>0</v>
      </c>
      <c r="FP193" s="56">
        <f t="shared" ref="FP193:FP206" si="472">IF(FP168&gt;0,FP143+FP168,FP192)</f>
        <v>0</v>
      </c>
      <c r="FQ193" s="56">
        <f t="shared" ref="FQ193:FQ206" si="473">IF(FQ168&gt;0,FQ143+FQ168,FQ192)</f>
        <v>0</v>
      </c>
      <c r="FR193" s="56">
        <f t="shared" ref="FR193:FR206" si="474">IF(FR168&gt;0,FR143+FR168,FR192)</f>
        <v>0</v>
      </c>
      <c r="FS193" s="56">
        <f t="shared" ref="FS193:FS206" si="475">IF(FS168&gt;0,FS143+FS168,FS192)</f>
        <v>0</v>
      </c>
      <c r="FT193" s="56">
        <f t="shared" ref="FT193:FT206" si="476">IF(FT168&gt;0,FT143+FT168,FT192)</f>
        <v>0</v>
      </c>
      <c r="FU193" s="56">
        <f t="shared" ref="FU193:FU206" si="477">IF(FU168&gt;0,FU143+FU168,FU192)</f>
        <v>0</v>
      </c>
      <c r="FV193" s="56">
        <f t="shared" ref="FV193:FV206" si="478">IF(FV168&gt;0,FV143+FV168,FV192)</f>
        <v>0</v>
      </c>
      <c r="FW193" s="56">
        <f t="shared" ref="FW193:FW206" si="479">IF(FW168&gt;0,FW143+FW168,FW192)</f>
        <v>0</v>
      </c>
      <c r="FX193" s="56">
        <f t="shared" ref="FX193:FX206" si="480">IF(FX168&gt;0,FX143+FX168,FX192)</f>
        <v>0</v>
      </c>
      <c r="FY193" s="56">
        <f t="shared" ref="FY193:FY206" si="481">IF(FY168&gt;0,FY143+FY168,FY192)</f>
        <v>0</v>
      </c>
      <c r="FZ193" s="56">
        <f t="shared" ref="FZ193:FZ206" si="482">IF(FZ168&gt;0,FZ143+FZ168,FZ192)</f>
        <v>0</v>
      </c>
      <c r="GA193" s="56">
        <f t="shared" ref="GA193:GA206" si="483">IF(GA168&gt;0,GA143+GA168,GA192)</f>
        <v>0</v>
      </c>
      <c r="GB193" s="56">
        <f t="shared" ref="GB193:GB206" si="484">IF(GB168&gt;0,GB143+GB168,GB192)</f>
        <v>0</v>
      </c>
      <c r="GC193" s="56">
        <f t="shared" ref="GC193:GC206" si="485">IF(GC168&gt;0,GC143+GC168,GC192)</f>
        <v>0</v>
      </c>
      <c r="GD193" s="56">
        <f t="shared" ref="GD193:GD206" si="486">IF(GD168&gt;0,GD143+GD168,GD192)</f>
        <v>0</v>
      </c>
      <c r="GE193" s="56">
        <f t="shared" ref="GE193:GE206" si="487">IF(GE168&gt;0,GE143+GE168,GE192)</f>
        <v>0</v>
      </c>
      <c r="GF193" s="56">
        <f t="shared" ref="GF193:GF206" si="488">IF(GF168&gt;0,GF143+GF168,GF192)</f>
        <v>0</v>
      </c>
      <c r="GG193" s="56">
        <f t="shared" ref="GG193:GG206" si="489">IF(GG168&gt;0,GG143+GG168,GG192)</f>
        <v>0</v>
      </c>
      <c r="GH193" s="56">
        <f t="shared" ref="GH193:GH206" si="490">IF(GH168&gt;0,GH143+GH168,GH192)</f>
        <v>0</v>
      </c>
      <c r="GI193" s="56">
        <f t="shared" ref="GI193:GI206" si="491">IF(GI168&gt;0,GI143+GI168,GI192)</f>
        <v>0</v>
      </c>
      <c r="GJ193" s="56">
        <f t="shared" ref="GJ193:GJ206" si="492">IF(GJ168&gt;0,GJ143+GJ168,GJ192)</f>
        <v>0</v>
      </c>
      <c r="GK193" s="56">
        <f t="shared" ref="GK193:GK206" si="493">IF(GK168&gt;0,GK143+GK168,GK192)</f>
        <v>0</v>
      </c>
      <c r="GL193" s="56">
        <f t="shared" ref="GL193:GL206" si="494">IF(GL168&gt;0,GL143+GL168,GL192)</f>
        <v>0</v>
      </c>
      <c r="GM193" s="56">
        <f t="shared" ref="GM193:GM206" si="495">IF(GM168&gt;0,GM143+GM168,GM192)</f>
        <v>0</v>
      </c>
      <c r="GN193" s="56">
        <f t="shared" ref="GN193:GN206" si="496">IF(GN168&gt;0,GN143+GN168,GN192)</f>
        <v>0</v>
      </c>
      <c r="GO193" s="56">
        <f t="shared" ref="GO193:GO206" si="497">IF(GO168&gt;0,GO143+GO168,GO192)</f>
        <v>0</v>
      </c>
      <c r="GP193" s="56">
        <f t="shared" ref="GP193:GP206" si="498">IF(GP168&gt;0,GP143+GP168,GP192)</f>
        <v>0</v>
      </c>
    </row>
    <row r="194" spans="1:198" x14ac:dyDescent="0.35">
      <c r="A194" s="55" t="str">
        <f t="shared" si="304"/>
        <v>UK &gt; available now</v>
      </c>
      <c r="B194" s="55" t="s">
        <v>297</v>
      </c>
      <c r="K194" s="56">
        <f t="shared" ca="1" si="311"/>
        <v>25.92631578947368</v>
      </c>
      <c r="L194" s="56">
        <f t="shared" ca="1" si="312"/>
        <v>25.92631578947368</v>
      </c>
      <c r="M194" s="56">
        <f t="shared" ca="1" si="313"/>
        <v>25.92631578947368</v>
      </c>
      <c r="N194" s="56">
        <f t="shared" ca="1" si="314"/>
        <v>25.92631578947368</v>
      </c>
      <c r="O194" s="56">
        <f t="shared" ca="1" si="315"/>
        <v>25.92631578947368</v>
      </c>
      <c r="P194" s="56">
        <f t="shared" ca="1" si="316"/>
        <v>25.92631578947368</v>
      </c>
      <c r="Q194" s="56">
        <f t="shared" ca="1" si="317"/>
        <v>25.92631578947368</v>
      </c>
      <c r="R194" s="56">
        <f t="shared" ca="1" si="318"/>
        <v>25.92631578947368</v>
      </c>
      <c r="S194" s="56">
        <f t="shared" ca="1" si="319"/>
        <v>25.92631578947368</v>
      </c>
      <c r="T194" s="56">
        <f t="shared" ca="1" si="320"/>
        <v>25.92631578947368</v>
      </c>
      <c r="U194" s="56">
        <f t="shared" ca="1" si="321"/>
        <v>25.916808033370607</v>
      </c>
      <c r="V194" s="56">
        <f t="shared" ca="1" si="322"/>
        <v>25.888305055092065</v>
      </c>
      <c r="W194" s="56">
        <f t="shared" ca="1" si="323"/>
        <v>25.840867681430115</v>
      </c>
      <c r="X194" s="56">
        <f t="shared" ca="1" si="324"/>
        <v>25.774597146130763</v>
      </c>
      <c r="Y194" s="56">
        <f t="shared" ca="1" si="325"/>
        <v>25.689634873856065</v>
      </c>
      <c r="Z194" s="56">
        <f t="shared" ca="1" si="326"/>
        <v>25.586162178376746</v>
      </c>
      <c r="AA194" s="56">
        <f t="shared" ca="1" si="327"/>
        <v>25.464399875639497</v>
      </c>
      <c r="AB194" s="56">
        <f t="shared" ca="1" si="328"/>
        <v>25.324607812534598</v>
      </c>
      <c r="AC194" s="56">
        <f t="shared" ca="1" si="329"/>
        <v>25.167084312369571</v>
      </c>
      <c r="AD194" s="56">
        <f t="shared" ca="1" si="330"/>
        <v>24.992165538232211</v>
      </c>
      <c r="AE194" s="56">
        <f t="shared" ca="1" si="331"/>
        <v>24.800224775601595</v>
      </c>
      <c r="AF194" s="56">
        <f t="shared" ca="1" si="332"/>
        <v>24.591671635738084</v>
      </c>
      <c r="AG194" s="56">
        <f t="shared" ca="1" si="333"/>
        <v>24.366951181552238</v>
      </c>
      <c r="AH194" s="56">
        <f t="shared" ca="1" si="334"/>
        <v>24.126542977818133</v>
      </c>
      <c r="AI194" s="56">
        <f t="shared" ca="1" si="335"/>
        <v>23.870960067757963</v>
      </c>
      <c r="AJ194" s="56">
        <f t="shared" ca="1" si="336"/>
        <v>23.600747878181974</v>
      </c>
      <c r="AK194" s="56">
        <f t="shared" ca="1" si="337"/>
        <v>23.316483055520127</v>
      </c>
      <c r="AL194" s="56">
        <f t="shared" ca="1" si="338"/>
        <v>23.018772235229584</v>
      </c>
      <c r="AM194" s="56">
        <f t="shared" ca="1" si="339"/>
        <v>22.708250747204051</v>
      </c>
      <c r="AN194" s="56">
        <f t="shared" ca="1" si="340"/>
        <v>22.385581259947791</v>
      </c>
      <c r="AO194" s="56">
        <f t="shared" ca="1" si="341"/>
        <v>22.051452366407617</v>
      </c>
      <c r="AP194" s="56">
        <f t="shared" ca="1" si="342"/>
        <v>21.706577114480858</v>
      </c>
      <c r="AQ194" s="56">
        <f t="shared" ca="1" si="343"/>
        <v>21.351691485335195</v>
      </c>
      <c r="AR194" s="56">
        <f t="shared" ca="1" si="344"/>
        <v>20.987552822787784</v>
      </c>
      <c r="AS194" s="56">
        <f t="shared" ca="1" si="345"/>
        <v>20.614938217095354</v>
      </c>
      <c r="AT194" s="56">
        <f t="shared" ca="1" si="346"/>
        <v>20.234642846604473</v>
      </c>
      <c r="AU194" s="56">
        <f t="shared" ca="1" si="347"/>
        <v>19.847478280800836</v>
      </c>
      <c r="AV194" s="56">
        <f t="shared" ca="1" si="348"/>
        <v>19.454270748379138</v>
      </c>
      <c r="AW194" s="56">
        <f t="shared" ca="1" si="349"/>
        <v>19.05585937402935</v>
      </c>
      <c r="AX194" s="56">
        <f t="shared" ca="1" si="350"/>
        <v>18.653094387702389</v>
      </c>
      <c r="AY194" s="56">
        <f t="shared" ca="1" si="351"/>
        <v>18.246835310176508</v>
      </c>
      <c r="AZ194" s="56">
        <f t="shared" ca="1" si="352"/>
        <v>17.837949118796683</v>
      </c>
      <c r="BA194" s="56">
        <f t="shared" ca="1" si="353"/>
        <v>17.427308397301246</v>
      </c>
      <c r="BB194" s="56">
        <f t="shared" ca="1" si="354"/>
        <v>17.015789473684208</v>
      </c>
      <c r="BC194" s="56">
        <f t="shared" ca="1" si="355"/>
        <v>16.60427055006717</v>
      </c>
      <c r="BD194" s="56">
        <f t="shared" ca="1" si="356"/>
        <v>16.193629828571733</v>
      </c>
      <c r="BE194" s="56">
        <f t="shared" ca="1" si="357"/>
        <v>15.784743637191912</v>
      </c>
      <c r="BF194" s="56">
        <f t="shared" ca="1" si="358"/>
        <v>15.378484559666031</v>
      </c>
      <c r="BG194" s="56">
        <f t="shared" ca="1" si="359"/>
        <v>14.975719573339068</v>
      </c>
      <c r="BH194" s="56">
        <f t="shared" ca="1" si="360"/>
        <v>14.577308198989281</v>
      </c>
      <c r="BI194" s="56">
        <f t="shared" ca="1" si="361"/>
        <v>14.184100666567581</v>
      </c>
      <c r="BJ194" s="56">
        <f t="shared" ca="1" si="362"/>
        <v>13.796936100763947</v>
      </c>
      <c r="BK194" s="56">
        <f t="shared" ca="1" si="363"/>
        <v>13.416640730273061</v>
      </c>
      <c r="BL194" s="56">
        <f t="shared" ca="1" si="364"/>
        <v>13.044026124580634</v>
      </c>
      <c r="BM194" s="56">
        <f t="shared" ca="1" si="365"/>
        <v>12.679887462033221</v>
      </c>
      <c r="BN194" s="56">
        <f t="shared" ca="1" si="366"/>
        <v>12.32500183288756</v>
      </c>
      <c r="BO194" s="56">
        <f t="shared" ca="1" si="367"/>
        <v>11.980126580960798</v>
      </c>
      <c r="BP194" s="56">
        <f t="shared" ca="1" si="368"/>
        <v>11.645997687420625</v>
      </c>
      <c r="BQ194" s="56">
        <f t="shared" ca="1" si="369"/>
        <v>11.323328200164365</v>
      </c>
      <c r="BR194" s="56">
        <f t="shared" ca="1" si="370"/>
        <v>11.012806712138833</v>
      </c>
      <c r="BS194" s="56">
        <f t="shared" ca="1" si="371"/>
        <v>10.715095891848289</v>
      </c>
      <c r="BT194" s="56">
        <f t="shared" ca="1" si="372"/>
        <v>10.430831069186443</v>
      </c>
      <c r="BU194" s="56">
        <f t="shared" ca="1" si="373"/>
        <v>10.16061887961045</v>
      </c>
      <c r="BV194" s="56">
        <f t="shared" ca="1" si="374"/>
        <v>9.905035969550287</v>
      </c>
      <c r="BW194" s="56">
        <f t="shared" ca="1" si="375"/>
        <v>9.6646277658161814</v>
      </c>
      <c r="BX194" s="56">
        <f t="shared" ca="1" si="376"/>
        <v>9.439907311630332</v>
      </c>
      <c r="BY194" s="56">
        <f t="shared" ca="1" si="377"/>
        <v>9.2313541717668208</v>
      </c>
      <c r="BZ194" s="56">
        <f t="shared" ca="1" si="378"/>
        <v>9.0394134091362091</v>
      </c>
      <c r="CA194" s="56">
        <f t="shared" ca="1" si="379"/>
        <v>8.8644946349988452</v>
      </c>
      <c r="CB194" s="56">
        <f t="shared" ca="1" si="380"/>
        <v>8.7069711348338181</v>
      </c>
      <c r="CC194" s="56">
        <f t="shared" ca="1" si="381"/>
        <v>8.5671790717289191</v>
      </c>
      <c r="CD194" s="56">
        <f t="shared" ca="1" si="382"/>
        <v>8.4454167689916702</v>
      </c>
      <c r="CE194" s="56">
        <f t="shared" ca="1" si="383"/>
        <v>8.3419440735123516</v>
      </c>
      <c r="CF194" s="56">
        <f t="shared" ca="1" si="384"/>
        <v>8.2569818012376537</v>
      </c>
      <c r="CG194" s="56">
        <f t="shared" ca="1" si="385"/>
        <v>8.1907112659383046</v>
      </c>
      <c r="CH194" s="56">
        <f t="shared" ca="1" si="386"/>
        <v>8.1432738922763512</v>
      </c>
      <c r="CI194" s="56">
        <f t="shared" ca="1" si="387"/>
        <v>8.1147709139978055</v>
      </c>
      <c r="CJ194" s="56">
        <f t="shared" ca="1" si="388"/>
        <v>8.1052631578947363</v>
      </c>
      <c r="CK194" s="56">
        <f t="shared" si="389"/>
        <v>0</v>
      </c>
      <c r="CL194" s="56">
        <f t="shared" si="390"/>
        <v>0</v>
      </c>
      <c r="CM194" s="56">
        <f t="shared" si="391"/>
        <v>0</v>
      </c>
      <c r="CN194" s="56">
        <f t="shared" si="392"/>
        <v>0</v>
      </c>
      <c r="CO194" s="56">
        <f t="shared" si="393"/>
        <v>0</v>
      </c>
      <c r="CP194" s="56">
        <f t="shared" si="394"/>
        <v>0</v>
      </c>
      <c r="CQ194" s="56">
        <f t="shared" si="395"/>
        <v>0</v>
      </c>
      <c r="CR194" s="56">
        <f t="shared" si="396"/>
        <v>0</v>
      </c>
      <c r="CS194" s="56">
        <f t="shared" si="397"/>
        <v>0</v>
      </c>
      <c r="CT194" s="56">
        <f t="shared" si="398"/>
        <v>0</v>
      </c>
      <c r="CU194" s="56">
        <f t="shared" si="399"/>
        <v>0</v>
      </c>
      <c r="CV194" s="56">
        <f t="shared" si="400"/>
        <v>0</v>
      </c>
      <c r="CW194" s="56">
        <f t="shared" si="401"/>
        <v>0</v>
      </c>
      <c r="CX194" s="56">
        <f t="shared" si="402"/>
        <v>0</v>
      </c>
      <c r="CY194" s="56">
        <f t="shared" si="403"/>
        <v>0</v>
      </c>
      <c r="CZ194" s="56">
        <f t="shared" si="404"/>
        <v>0</v>
      </c>
      <c r="DA194" s="56">
        <f t="shared" si="405"/>
        <v>0</v>
      </c>
      <c r="DB194" s="56">
        <f t="shared" si="406"/>
        <v>0</v>
      </c>
      <c r="DC194" s="56">
        <f t="shared" si="407"/>
        <v>0</v>
      </c>
      <c r="DD194" s="56">
        <f t="shared" si="408"/>
        <v>0</v>
      </c>
      <c r="DE194" s="56">
        <f t="shared" si="409"/>
        <v>0</v>
      </c>
      <c r="DF194" s="56">
        <f t="shared" si="410"/>
        <v>0</v>
      </c>
      <c r="DG194" s="56">
        <f t="shared" si="411"/>
        <v>0</v>
      </c>
      <c r="DH194" s="56">
        <f t="shared" si="412"/>
        <v>0</v>
      </c>
      <c r="DI194" s="56">
        <f t="shared" si="413"/>
        <v>0</v>
      </c>
      <c r="DJ194" s="56">
        <f t="shared" si="414"/>
        <v>0</v>
      </c>
      <c r="DK194" s="56">
        <f t="shared" si="415"/>
        <v>0</v>
      </c>
      <c r="DL194" s="56">
        <f t="shared" si="416"/>
        <v>0</v>
      </c>
      <c r="DM194" s="56">
        <f t="shared" si="417"/>
        <v>0</v>
      </c>
      <c r="DN194" s="56">
        <f t="shared" si="418"/>
        <v>0</v>
      </c>
      <c r="DO194" s="56">
        <f t="shared" si="419"/>
        <v>0</v>
      </c>
      <c r="DP194" s="56">
        <f t="shared" si="420"/>
        <v>0</v>
      </c>
      <c r="DQ194" s="56">
        <f t="shared" si="421"/>
        <v>0</v>
      </c>
      <c r="DR194" s="56">
        <f t="shared" si="422"/>
        <v>0</v>
      </c>
      <c r="DS194" s="56">
        <f t="shared" si="423"/>
        <v>0</v>
      </c>
      <c r="DT194" s="56">
        <f t="shared" si="424"/>
        <v>0</v>
      </c>
      <c r="DU194" s="56">
        <f t="shared" si="425"/>
        <v>0</v>
      </c>
      <c r="DV194" s="56">
        <f t="shared" si="426"/>
        <v>0</v>
      </c>
      <c r="DW194" s="56">
        <f t="shared" si="427"/>
        <v>0</v>
      </c>
      <c r="DX194" s="56">
        <f t="shared" si="428"/>
        <v>0</v>
      </c>
      <c r="DY194" s="56">
        <f t="shared" si="429"/>
        <v>0</v>
      </c>
      <c r="DZ194" s="56">
        <f t="shared" si="430"/>
        <v>0</v>
      </c>
      <c r="EA194" s="56">
        <f t="shared" si="431"/>
        <v>0</v>
      </c>
      <c r="EB194" s="56">
        <f t="shared" si="432"/>
        <v>0</v>
      </c>
      <c r="EC194" s="56">
        <f t="shared" si="433"/>
        <v>0</v>
      </c>
      <c r="ED194" s="56">
        <f t="shared" si="434"/>
        <v>0</v>
      </c>
      <c r="EE194" s="56">
        <f t="shared" si="435"/>
        <v>0</v>
      </c>
      <c r="EF194" s="56">
        <f t="shared" si="436"/>
        <v>0</v>
      </c>
      <c r="EG194" s="56">
        <f t="shared" si="437"/>
        <v>0</v>
      </c>
      <c r="EH194" s="56">
        <f t="shared" si="438"/>
        <v>0</v>
      </c>
      <c r="EI194" s="56">
        <f t="shared" si="439"/>
        <v>0</v>
      </c>
      <c r="EJ194" s="56">
        <f t="shared" si="440"/>
        <v>0</v>
      </c>
      <c r="EK194" s="56">
        <f t="shared" si="441"/>
        <v>0</v>
      </c>
      <c r="EL194" s="56">
        <f t="shared" si="442"/>
        <v>0</v>
      </c>
      <c r="EM194" s="56">
        <f t="shared" si="443"/>
        <v>0</v>
      </c>
      <c r="EN194" s="56">
        <f t="shared" si="444"/>
        <v>0</v>
      </c>
      <c r="EO194" s="56">
        <f t="shared" si="445"/>
        <v>0</v>
      </c>
      <c r="EP194" s="56">
        <f t="shared" si="446"/>
        <v>0</v>
      </c>
      <c r="EQ194" s="56">
        <f t="shared" si="447"/>
        <v>0</v>
      </c>
      <c r="ER194" s="56">
        <f t="shared" si="448"/>
        <v>0</v>
      </c>
      <c r="ES194" s="56">
        <f t="shared" si="449"/>
        <v>0</v>
      </c>
      <c r="ET194" s="56">
        <f t="shared" si="450"/>
        <v>0</v>
      </c>
      <c r="EU194" s="56">
        <f t="shared" si="451"/>
        <v>0</v>
      </c>
      <c r="EV194" s="56">
        <f t="shared" si="452"/>
        <v>0</v>
      </c>
      <c r="EW194" s="56">
        <f t="shared" si="453"/>
        <v>0</v>
      </c>
      <c r="EX194" s="56">
        <f t="shared" si="454"/>
        <v>0</v>
      </c>
      <c r="EY194" s="56">
        <f t="shared" si="455"/>
        <v>0</v>
      </c>
      <c r="EZ194" s="56">
        <f t="shared" si="456"/>
        <v>0</v>
      </c>
      <c r="FA194" s="56">
        <f t="shared" si="457"/>
        <v>0</v>
      </c>
      <c r="FB194" s="56">
        <f t="shared" si="458"/>
        <v>0</v>
      </c>
      <c r="FC194" s="56">
        <f t="shared" si="459"/>
        <v>0</v>
      </c>
      <c r="FD194" s="56">
        <f t="shared" si="460"/>
        <v>0</v>
      </c>
      <c r="FE194" s="56">
        <f t="shared" si="461"/>
        <v>0</v>
      </c>
      <c r="FF194" s="56">
        <f t="shared" si="462"/>
        <v>0</v>
      </c>
      <c r="FG194" s="56">
        <f t="shared" si="463"/>
        <v>0</v>
      </c>
      <c r="FH194" s="56">
        <f t="shared" si="464"/>
        <v>0</v>
      </c>
      <c r="FI194" s="56">
        <f t="shared" si="465"/>
        <v>0</v>
      </c>
      <c r="FJ194" s="56">
        <f t="shared" si="466"/>
        <v>0</v>
      </c>
      <c r="FK194" s="56">
        <f t="shared" si="467"/>
        <v>0</v>
      </c>
      <c r="FL194" s="56">
        <f t="shared" si="468"/>
        <v>0</v>
      </c>
      <c r="FM194" s="56">
        <f t="shared" si="469"/>
        <v>0</v>
      </c>
      <c r="FN194" s="56">
        <f t="shared" si="470"/>
        <v>0</v>
      </c>
      <c r="FO194" s="56">
        <f t="shared" si="471"/>
        <v>0</v>
      </c>
      <c r="FP194" s="56">
        <f t="shared" si="472"/>
        <v>0</v>
      </c>
      <c r="FQ194" s="56">
        <f t="shared" si="473"/>
        <v>0</v>
      </c>
      <c r="FR194" s="56">
        <f t="shared" si="474"/>
        <v>0</v>
      </c>
      <c r="FS194" s="56">
        <f t="shared" si="475"/>
        <v>0</v>
      </c>
      <c r="FT194" s="56">
        <f t="shared" si="476"/>
        <v>0</v>
      </c>
      <c r="FU194" s="56">
        <f t="shared" si="477"/>
        <v>0</v>
      </c>
      <c r="FV194" s="56">
        <f t="shared" si="478"/>
        <v>0</v>
      </c>
      <c r="FW194" s="56">
        <f t="shared" si="479"/>
        <v>0</v>
      </c>
      <c r="FX194" s="56">
        <f t="shared" si="480"/>
        <v>0</v>
      </c>
      <c r="FY194" s="56">
        <f t="shared" si="481"/>
        <v>0</v>
      </c>
      <c r="FZ194" s="56">
        <f t="shared" si="482"/>
        <v>0</v>
      </c>
      <c r="GA194" s="56">
        <f t="shared" si="483"/>
        <v>0</v>
      </c>
      <c r="GB194" s="56">
        <f t="shared" si="484"/>
        <v>0</v>
      </c>
      <c r="GC194" s="56">
        <f t="shared" si="485"/>
        <v>0</v>
      </c>
      <c r="GD194" s="56">
        <f t="shared" si="486"/>
        <v>0</v>
      </c>
      <c r="GE194" s="56">
        <f t="shared" si="487"/>
        <v>0</v>
      </c>
      <c r="GF194" s="56">
        <f t="shared" si="488"/>
        <v>0</v>
      </c>
      <c r="GG194" s="56">
        <f t="shared" si="489"/>
        <v>0</v>
      </c>
      <c r="GH194" s="56">
        <f t="shared" si="490"/>
        <v>0</v>
      </c>
      <c r="GI194" s="56">
        <f t="shared" si="491"/>
        <v>0</v>
      </c>
      <c r="GJ194" s="56">
        <f t="shared" si="492"/>
        <v>0</v>
      </c>
      <c r="GK194" s="56">
        <f t="shared" si="493"/>
        <v>0</v>
      </c>
      <c r="GL194" s="56">
        <f t="shared" si="494"/>
        <v>0</v>
      </c>
      <c r="GM194" s="56">
        <f t="shared" si="495"/>
        <v>0</v>
      </c>
      <c r="GN194" s="56">
        <f t="shared" si="496"/>
        <v>0</v>
      </c>
      <c r="GO194" s="56">
        <f t="shared" si="497"/>
        <v>0</v>
      </c>
      <c r="GP194" s="56">
        <f t="shared" si="498"/>
        <v>0</v>
      </c>
    </row>
    <row r="195" spans="1:198" x14ac:dyDescent="0.35">
      <c r="A195" s="55" t="str">
        <f t="shared" si="304"/>
        <v>LATAM &gt; available now</v>
      </c>
      <c r="B195" s="55" t="s">
        <v>297</v>
      </c>
      <c r="K195" s="56">
        <f t="shared" ca="1" si="311"/>
        <v>29.568421052631574</v>
      </c>
      <c r="L195" s="56">
        <f t="shared" ca="1" si="312"/>
        <v>29.568421052631574</v>
      </c>
      <c r="M195" s="56">
        <f t="shared" ca="1" si="313"/>
        <v>29.568421052631574</v>
      </c>
      <c r="N195" s="56">
        <f t="shared" ca="1" si="314"/>
        <v>29.568421052631574</v>
      </c>
      <c r="O195" s="56">
        <f t="shared" ca="1" si="315"/>
        <v>29.568421052631574</v>
      </c>
      <c r="P195" s="56">
        <f t="shared" ca="1" si="316"/>
        <v>29.568421052631574</v>
      </c>
      <c r="Q195" s="56">
        <f t="shared" ca="1" si="317"/>
        <v>29.568421052631574</v>
      </c>
      <c r="R195" s="56">
        <f t="shared" ca="1" si="318"/>
        <v>29.568421052631574</v>
      </c>
      <c r="S195" s="56">
        <f t="shared" ca="1" si="319"/>
        <v>29.568421052631574</v>
      </c>
      <c r="T195" s="56">
        <f t="shared" ca="1" si="320"/>
        <v>29.568421052631574</v>
      </c>
      <c r="U195" s="56">
        <f t="shared" ca="1" si="321"/>
        <v>29.55783503948669</v>
      </c>
      <c r="V195" s="56">
        <f t="shared" ca="1" si="322"/>
        <v>29.526099591137573</v>
      </c>
      <c r="W195" s="56">
        <f t="shared" ca="1" si="323"/>
        <v>29.47328243263032</v>
      </c>
      <c r="X195" s="56">
        <f t="shared" ca="1" si="324"/>
        <v>29.399496278442918</v>
      </c>
      <c r="Y195" s="56">
        <f t="shared" ca="1" si="325"/>
        <v>29.30489859194687</v>
      </c>
      <c r="Z195" s="56">
        <f t="shared" ca="1" si="326"/>
        <v>29.189691249372437</v>
      </c>
      <c r="AA195" s="56">
        <f t="shared" ca="1" si="327"/>
        <v>29.054120108994578</v>
      </c>
      <c r="AB195" s="56">
        <f t="shared" ca="1" si="328"/>
        <v>28.898474486458998</v>
      </c>
      <c r="AC195" s="56">
        <f t="shared" ca="1" si="329"/>
        <v>28.723086537367994</v>
      </c>
      <c r="AD195" s="56">
        <f t="shared" ca="1" si="330"/>
        <v>28.528330548443641</v>
      </c>
      <c r="AE195" s="56">
        <f t="shared" ca="1" si="331"/>
        <v>28.314622138781083</v>
      </c>
      <c r="AF195" s="56">
        <f t="shared" ca="1" si="332"/>
        <v>28.082417372896433</v>
      </c>
      <c r="AG195" s="56">
        <f t="shared" ca="1" si="333"/>
        <v>27.8322117874621</v>
      </c>
      <c r="AH195" s="56">
        <f t="shared" ca="1" si="334"/>
        <v>27.564539333806582</v>
      </c>
      <c r="AI195" s="56">
        <f t="shared" ca="1" si="335"/>
        <v>27.279971238435401</v>
      </c>
      <c r="AJ195" s="56">
        <f t="shared" ca="1" si="336"/>
        <v>26.979114784004956</v>
      </c>
      <c r="AK195" s="56">
        <f t="shared" ca="1" si="337"/>
        <v>26.662612013350746</v>
      </c>
      <c r="AL195" s="56">
        <f t="shared" ca="1" si="338"/>
        <v>26.331138359335576</v>
      </c>
      <c r="AM195" s="56">
        <f t="shared" ca="1" si="339"/>
        <v>25.985401203441825</v>
      </c>
      <c r="AN195" s="56">
        <f t="shared" ca="1" si="340"/>
        <v>25.626138366183671</v>
      </c>
      <c r="AO195" s="56">
        <f t="shared" ca="1" si="341"/>
        <v>25.254116532560975</v>
      </c>
      <c r="AP195" s="56">
        <f t="shared" ca="1" si="342"/>
        <v>24.870129615914816</v>
      </c>
      <c r="AQ195" s="56">
        <f t="shared" ca="1" si="343"/>
        <v>24.47499706367644</v>
      </c>
      <c r="AR195" s="56">
        <f t="shared" ca="1" si="344"/>
        <v>24.069562108625128</v>
      </c>
      <c r="AS195" s="56">
        <f t="shared" ca="1" si="345"/>
        <v>23.654689969386954</v>
      </c>
      <c r="AT195" s="56">
        <f t="shared" ca="1" si="346"/>
        <v>23.231266004014646</v>
      </c>
      <c r="AU195" s="56">
        <f t="shared" ca="1" si="347"/>
        <v>22.800193820588863</v>
      </c>
      <c r="AV195" s="56">
        <f t="shared" ca="1" si="348"/>
        <v>22.362393348873031</v>
      </c>
      <c r="AW195" s="56">
        <f t="shared" ca="1" si="349"/>
        <v>21.918798877136854</v>
      </c>
      <c r="AX195" s="56">
        <f t="shared" ca="1" si="350"/>
        <v>21.470357058338081</v>
      </c>
      <c r="AY195" s="56">
        <f t="shared" ca="1" si="351"/>
        <v>21.018024889917356</v>
      </c>
      <c r="AZ195" s="56">
        <f t="shared" ca="1" si="352"/>
        <v>20.562767671517491</v>
      </c>
      <c r="BA195" s="56">
        <f t="shared" ca="1" si="353"/>
        <v>20.105556944985363</v>
      </c>
      <c r="BB195" s="56">
        <f t="shared" ca="1" si="354"/>
        <v>19.647368421052633</v>
      </c>
      <c r="BC195" s="56">
        <f t="shared" ca="1" si="355"/>
        <v>19.189179897119899</v>
      </c>
      <c r="BD195" s="56">
        <f t="shared" ca="1" si="356"/>
        <v>18.731969170587767</v>
      </c>
      <c r="BE195" s="56">
        <f t="shared" ca="1" si="357"/>
        <v>18.276711952187902</v>
      </c>
      <c r="BF195" s="56">
        <f t="shared" ca="1" si="358"/>
        <v>17.824379783767181</v>
      </c>
      <c r="BG195" s="56">
        <f t="shared" ca="1" si="359"/>
        <v>17.375937964968408</v>
      </c>
      <c r="BH195" s="56">
        <f t="shared" ca="1" si="360"/>
        <v>16.932343493232228</v>
      </c>
      <c r="BI195" s="56">
        <f t="shared" ca="1" si="361"/>
        <v>16.494543021516396</v>
      </c>
      <c r="BJ195" s="56">
        <f t="shared" ca="1" si="362"/>
        <v>16.063470838090613</v>
      </c>
      <c r="BK195" s="56">
        <f t="shared" ca="1" si="363"/>
        <v>15.640046872718305</v>
      </c>
      <c r="BL195" s="56">
        <f t="shared" ca="1" si="364"/>
        <v>15.225174733480133</v>
      </c>
      <c r="BM195" s="56">
        <f t="shared" ca="1" si="365"/>
        <v>14.81973977842882</v>
      </c>
      <c r="BN195" s="56">
        <f t="shared" ca="1" si="366"/>
        <v>14.424607226190442</v>
      </c>
      <c r="BO195" s="56">
        <f t="shared" ca="1" si="367"/>
        <v>14.040620309544284</v>
      </c>
      <c r="BP195" s="56">
        <f t="shared" ca="1" si="368"/>
        <v>13.668598475921588</v>
      </c>
      <c r="BQ195" s="56">
        <f t="shared" ca="1" si="369"/>
        <v>13.309335638663438</v>
      </c>
      <c r="BR195" s="56">
        <f t="shared" ca="1" si="370"/>
        <v>12.96359848276968</v>
      </c>
      <c r="BS195" s="56">
        <f t="shared" ca="1" si="371"/>
        <v>12.632124828754517</v>
      </c>
      <c r="BT195" s="56">
        <f t="shared" ca="1" si="372"/>
        <v>12.315622058100303</v>
      </c>
      <c r="BU195" s="56">
        <f t="shared" ca="1" si="373"/>
        <v>12.014765603669858</v>
      </c>
      <c r="BV195" s="56">
        <f t="shared" ca="1" si="374"/>
        <v>11.730197508298676</v>
      </c>
      <c r="BW195" s="56">
        <f t="shared" ca="1" si="375"/>
        <v>11.462525054643159</v>
      </c>
      <c r="BX195" s="56">
        <f t="shared" ca="1" si="376"/>
        <v>11.212319469208829</v>
      </c>
      <c r="BY195" s="56">
        <f t="shared" ca="1" si="377"/>
        <v>10.980114703324176</v>
      </c>
      <c r="BZ195" s="56">
        <f t="shared" ca="1" si="378"/>
        <v>10.766406293661618</v>
      </c>
      <c r="CA195" s="56">
        <f t="shared" ca="1" si="379"/>
        <v>10.571650304737265</v>
      </c>
      <c r="CB195" s="56">
        <f t="shared" ca="1" si="380"/>
        <v>10.396262355646261</v>
      </c>
      <c r="CC195" s="56">
        <f t="shared" ca="1" si="381"/>
        <v>10.240616733110681</v>
      </c>
      <c r="CD195" s="56">
        <f t="shared" ca="1" si="382"/>
        <v>10.105045592732822</v>
      </c>
      <c r="CE195" s="56">
        <f t="shared" ca="1" si="383"/>
        <v>9.9898382501583889</v>
      </c>
      <c r="CF195" s="56">
        <f t="shared" ca="1" si="384"/>
        <v>9.8952405636623411</v>
      </c>
      <c r="CG195" s="56">
        <f t="shared" ca="1" si="385"/>
        <v>9.8214544094749385</v>
      </c>
      <c r="CH195" s="56">
        <f t="shared" ca="1" si="386"/>
        <v>9.7686372509676858</v>
      </c>
      <c r="CI195" s="56">
        <f t="shared" ca="1" si="387"/>
        <v>9.7369018026185685</v>
      </c>
      <c r="CJ195" s="56">
        <f t="shared" ca="1" si="388"/>
        <v>9.7263157894736842</v>
      </c>
      <c r="CK195" s="56">
        <f t="shared" si="389"/>
        <v>0</v>
      </c>
      <c r="CL195" s="56">
        <f t="shared" si="390"/>
        <v>0</v>
      </c>
      <c r="CM195" s="56">
        <f t="shared" si="391"/>
        <v>0</v>
      </c>
      <c r="CN195" s="56">
        <f t="shared" si="392"/>
        <v>0</v>
      </c>
      <c r="CO195" s="56">
        <f t="shared" si="393"/>
        <v>0</v>
      </c>
      <c r="CP195" s="56">
        <f t="shared" si="394"/>
        <v>0</v>
      </c>
      <c r="CQ195" s="56">
        <f t="shared" si="395"/>
        <v>0</v>
      </c>
      <c r="CR195" s="56">
        <f t="shared" si="396"/>
        <v>0</v>
      </c>
      <c r="CS195" s="56">
        <f t="shared" si="397"/>
        <v>0</v>
      </c>
      <c r="CT195" s="56">
        <f t="shared" si="398"/>
        <v>0</v>
      </c>
      <c r="CU195" s="56">
        <f t="shared" si="399"/>
        <v>0</v>
      </c>
      <c r="CV195" s="56">
        <f t="shared" si="400"/>
        <v>0</v>
      </c>
      <c r="CW195" s="56">
        <f t="shared" si="401"/>
        <v>0</v>
      </c>
      <c r="CX195" s="56">
        <f t="shared" si="402"/>
        <v>0</v>
      </c>
      <c r="CY195" s="56">
        <f t="shared" si="403"/>
        <v>0</v>
      </c>
      <c r="CZ195" s="56">
        <f t="shared" si="404"/>
        <v>0</v>
      </c>
      <c r="DA195" s="56">
        <f t="shared" si="405"/>
        <v>0</v>
      </c>
      <c r="DB195" s="56">
        <f t="shared" si="406"/>
        <v>0</v>
      </c>
      <c r="DC195" s="56">
        <f t="shared" si="407"/>
        <v>0</v>
      </c>
      <c r="DD195" s="56">
        <f t="shared" si="408"/>
        <v>0</v>
      </c>
      <c r="DE195" s="56">
        <f t="shared" si="409"/>
        <v>0</v>
      </c>
      <c r="DF195" s="56">
        <f t="shared" si="410"/>
        <v>0</v>
      </c>
      <c r="DG195" s="56">
        <f t="shared" si="411"/>
        <v>0</v>
      </c>
      <c r="DH195" s="56">
        <f t="shared" si="412"/>
        <v>0</v>
      </c>
      <c r="DI195" s="56">
        <f t="shared" si="413"/>
        <v>0</v>
      </c>
      <c r="DJ195" s="56">
        <f t="shared" si="414"/>
        <v>0</v>
      </c>
      <c r="DK195" s="56">
        <f t="shared" si="415"/>
        <v>0</v>
      </c>
      <c r="DL195" s="56">
        <f t="shared" si="416"/>
        <v>0</v>
      </c>
      <c r="DM195" s="56">
        <f t="shared" si="417"/>
        <v>0</v>
      </c>
      <c r="DN195" s="56">
        <f t="shared" si="418"/>
        <v>0</v>
      </c>
      <c r="DO195" s="56">
        <f t="shared" si="419"/>
        <v>0</v>
      </c>
      <c r="DP195" s="56">
        <f t="shared" si="420"/>
        <v>0</v>
      </c>
      <c r="DQ195" s="56">
        <f t="shared" si="421"/>
        <v>0</v>
      </c>
      <c r="DR195" s="56">
        <f t="shared" si="422"/>
        <v>0</v>
      </c>
      <c r="DS195" s="56">
        <f t="shared" si="423"/>
        <v>0</v>
      </c>
      <c r="DT195" s="56">
        <f t="shared" si="424"/>
        <v>0</v>
      </c>
      <c r="DU195" s="56">
        <f t="shared" si="425"/>
        <v>0</v>
      </c>
      <c r="DV195" s="56">
        <f t="shared" si="426"/>
        <v>0</v>
      </c>
      <c r="DW195" s="56">
        <f t="shared" si="427"/>
        <v>0</v>
      </c>
      <c r="DX195" s="56">
        <f t="shared" si="428"/>
        <v>0</v>
      </c>
      <c r="DY195" s="56">
        <f t="shared" si="429"/>
        <v>0</v>
      </c>
      <c r="DZ195" s="56">
        <f t="shared" si="430"/>
        <v>0</v>
      </c>
      <c r="EA195" s="56">
        <f t="shared" si="431"/>
        <v>0</v>
      </c>
      <c r="EB195" s="56">
        <f t="shared" si="432"/>
        <v>0</v>
      </c>
      <c r="EC195" s="56">
        <f t="shared" si="433"/>
        <v>0</v>
      </c>
      <c r="ED195" s="56">
        <f t="shared" si="434"/>
        <v>0</v>
      </c>
      <c r="EE195" s="56">
        <f t="shared" si="435"/>
        <v>0</v>
      </c>
      <c r="EF195" s="56">
        <f t="shared" si="436"/>
        <v>0</v>
      </c>
      <c r="EG195" s="56">
        <f t="shared" si="437"/>
        <v>0</v>
      </c>
      <c r="EH195" s="56">
        <f t="shared" si="438"/>
        <v>0</v>
      </c>
      <c r="EI195" s="56">
        <f t="shared" si="439"/>
        <v>0</v>
      </c>
      <c r="EJ195" s="56">
        <f t="shared" si="440"/>
        <v>0</v>
      </c>
      <c r="EK195" s="56">
        <f t="shared" si="441"/>
        <v>0</v>
      </c>
      <c r="EL195" s="56">
        <f t="shared" si="442"/>
        <v>0</v>
      </c>
      <c r="EM195" s="56">
        <f t="shared" si="443"/>
        <v>0</v>
      </c>
      <c r="EN195" s="56">
        <f t="shared" si="444"/>
        <v>0</v>
      </c>
      <c r="EO195" s="56">
        <f t="shared" si="445"/>
        <v>0</v>
      </c>
      <c r="EP195" s="56">
        <f t="shared" si="446"/>
        <v>0</v>
      </c>
      <c r="EQ195" s="56">
        <f t="shared" si="447"/>
        <v>0</v>
      </c>
      <c r="ER195" s="56">
        <f t="shared" si="448"/>
        <v>0</v>
      </c>
      <c r="ES195" s="56">
        <f t="shared" si="449"/>
        <v>0</v>
      </c>
      <c r="ET195" s="56">
        <f t="shared" si="450"/>
        <v>0</v>
      </c>
      <c r="EU195" s="56">
        <f t="shared" si="451"/>
        <v>0</v>
      </c>
      <c r="EV195" s="56">
        <f t="shared" si="452"/>
        <v>0</v>
      </c>
      <c r="EW195" s="56">
        <f t="shared" si="453"/>
        <v>0</v>
      </c>
      <c r="EX195" s="56">
        <f t="shared" si="454"/>
        <v>0</v>
      </c>
      <c r="EY195" s="56">
        <f t="shared" si="455"/>
        <v>0</v>
      </c>
      <c r="EZ195" s="56">
        <f t="shared" si="456"/>
        <v>0</v>
      </c>
      <c r="FA195" s="56">
        <f t="shared" si="457"/>
        <v>0</v>
      </c>
      <c r="FB195" s="56">
        <f t="shared" si="458"/>
        <v>0</v>
      </c>
      <c r="FC195" s="56">
        <f t="shared" si="459"/>
        <v>0</v>
      </c>
      <c r="FD195" s="56">
        <f t="shared" si="460"/>
        <v>0</v>
      </c>
      <c r="FE195" s="56">
        <f t="shared" si="461"/>
        <v>0</v>
      </c>
      <c r="FF195" s="56">
        <f t="shared" si="462"/>
        <v>0</v>
      </c>
      <c r="FG195" s="56">
        <f t="shared" si="463"/>
        <v>0</v>
      </c>
      <c r="FH195" s="56">
        <f t="shared" si="464"/>
        <v>0</v>
      </c>
      <c r="FI195" s="56">
        <f t="shared" si="465"/>
        <v>0</v>
      </c>
      <c r="FJ195" s="56">
        <f t="shared" si="466"/>
        <v>0</v>
      </c>
      <c r="FK195" s="56">
        <f t="shared" si="467"/>
        <v>0</v>
      </c>
      <c r="FL195" s="56">
        <f t="shared" si="468"/>
        <v>0</v>
      </c>
      <c r="FM195" s="56">
        <f t="shared" si="469"/>
        <v>0</v>
      </c>
      <c r="FN195" s="56">
        <f t="shared" si="470"/>
        <v>0</v>
      </c>
      <c r="FO195" s="56">
        <f t="shared" si="471"/>
        <v>0</v>
      </c>
      <c r="FP195" s="56">
        <f t="shared" si="472"/>
        <v>0</v>
      </c>
      <c r="FQ195" s="56">
        <f t="shared" si="473"/>
        <v>0</v>
      </c>
      <c r="FR195" s="56">
        <f t="shared" si="474"/>
        <v>0</v>
      </c>
      <c r="FS195" s="56">
        <f t="shared" si="475"/>
        <v>0</v>
      </c>
      <c r="FT195" s="56">
        <f t="shared" si="476"/>
        <v>0</v>
      </c>
      <c r="FU195" s="56">
        <f t="shared" si="477"/>
        <v>0</v>
      </c>
      <c r="FV195" s="56">
        <f t="shared" si="478"/>
        <v>0</v>
      </c>
      <c r="FW195" s="56">
        <f t="shared" si="479"/>
        <v>0</v>
      </c>
      <c r="FX195" s="56">
        <f t="shared" si="480"/>
        <v>0</v>
      </c>
      <c r="FY195" s="56">
        <f t="shared" si="481"/>
        <v>0</v>
      </c>
      <c r="FZ195" s="56">
        <f t="shared" si="482"/>
        <v>0</v>
      </c>
      <c r="GA195" s="56">
        <f t="shared" si="483"/>
        <v>0</v>
      </c>
      <c r="GB195" s="56">
        <f t="shared" si="484"/>
        <v>0</v>
      </c>
      <c r="GC195" s="56">
        <f t="shared" si="485"/>
        <v>0</v>
      </c>
      <c r="GD195" s="56">
        <f t="shared" si="486"/>
        <v>0</v>
      </c>
      <c r="GE195" s="56">
        <f t="shared" si="487"/>
        <v>0</v>
      </c>
      <c r="GF195" s="56">
        <f t="shared" si="488"/>
        <v>0</v>
      </c>
      <c r="GG195" s="56">
        <f t="shared" si="489"/>
        <v>0</v>
      </c>
      <c r="GH195" s="56">
        <f t="shared" si="490"/>
        <v>0</v>
      </c>
      <c r="GI195" s="56">
        <f t="shared" si="491"/>
        <v>0</v>
      </c>
      <c r="GJ195" s="56">
        <f t="shared" si="492"/>
        <v>0</v>
      </c>
      <c r="GK195" s="56">
        <f t="shared" si="493"/>
        <v>0</v>
      </c>
      <c r="GL195" s="56">
        <f t="shared" si="494"/>
        <v>0</v>
      </c>
      <c r="GM195" s="56">
        <f t="shared" si="495"/>
        <v>0</v>
      </c>
      <c r="GN195" s="56">
        <f t="shared" si="496"/>
        <v>0</v>
      </c>
      <c r="GO195" s="56">
        <f t="shared" si="497"/>
        <v>0</v>
      </c>
      <c r="GP195" s="56">
        <f t="shared" si="498"/>
        <v>0</v>
      </c>
    </row>
    <row r="196" spans="1:198" x14ac:dyDescent="0.35">
      <c r="A196" s="55" t="str">
        <f t="shared" si="304"/>
        <v>Canada &gt; available now</v>
      </c>
      <c r="B196" s="55" t="s">
        <v>297</v>
      </c>
      <c r="K196" s="56">
        <f t="shared" ca="1" si="311"/>
        <v>29.568421052631574</v>
      </c>
      <c r="L196" s="56">
        <f t="shared" ca="1" si="312"/>
        <v>29.568421052631574</v>
      </c>
      <c r="M196" s="56">
        <f t="shared" ca="1" si="313"/>
        <v>29.568421052631574</v>
      </c>
      <c r="N196" s="56">
        <f t="shared" ca="1" si="314"/>
        <v>29.568421052631574</v>
      </c>
      <c r="O196" s="56">
        <f t="shared" ca="1" si="315"/>
        <v>29.568421052631574</v>
      </c>
      <c r="P196" s="56">
        <f t="shared" ca="1" si="316"/>
        <v>29.568421052631574</v>
      </c>
      <c r="Q196" s="56">
        <f t="shared" ca="1" si="317"/>
        <v>29.568421052631574</v>
      </c>
      <c r="R196" s="56">
        <f t="shared" ca="1" si="318"/>
        <v>29.568421052631574</v>
      </c>
      <c r="S196" s="56">
        <f t="shared" ca="1" si="319"/>
        <v>29.568421052631574</v>
      </c>
      <c r="T196" s="56">
        <f t="shared" ca="1" si="320"/>
        <v>29.568421052631574</v>
      </c>
      <c r="U196" s="56">
        <f t="shared" ca="1" si="321"/>
        <v>29.55783503948669</v>
      </c>
      <c r="V196" s="56">
        <f t="shared" ca="1" si="322"/>
        <v>29.526099591137573</v>
      </c>
      <c r="W196" s="56">
        <f t="shared" ca="1" si="323"/>
        <v>29.47328243263032</v>
      </c>
      <c r="X196" s="56">
        <f t="shared" ca="1" si="324"/>
        <v>29.399496278442918</v>
      </c>
      <c r="Y196" s="56">
        <f t="shared" ca="1" si="325"/>
        <v>29.30489859194687</v>
      </c>
      <c r="Z196" s="56">
        <f t="shared" ca="1" si="326"/>
        <v>29.189691249372437</v>
      </c>
      <c r="AA196" s="56">
        <f t="shared" ca="1" si="327"/>
        <v>29.054120108994578</v>
      </c>
      <c r="AB196" s="56">
        <f t="shared" ca="1" si="328"/>
        <v>28.898474486458998</v>
      </c>
      <c r="AC196" s="56">
        <f t="shared" ca="1" si="329"/>
        <v>28.723086537367994</v>
      </c>
      <c r="AD196" s="56">
        <f t="shared" ca="1" si="330"/>
        <v>28.528330548443641</v>
      </c>
      <c r="AE196" s="56">
        <f t="shared" ca="1" si="331"/>
        <v>28.314622138781083</v>
      </c>
      <c r="AF196" s="56">
        <f t="shared" ca="1" si="332"/>
        <v>28.082417372896433</v>
      </c>
      <c r="AG196" s="56">
        <f t="shared" ca="1" si="333"/>
        <v>27.8322117874621</v>
      </c>
      <c r="AH196" s="56">
        <f t="shared" ca="1" si="334"/>
        <v>27.564539333806582</v>
      </c>
      <c r="AI196" s="56">
        <f t="shared" ca="1" si="335"/>
        <v>27.279971238435401</v>
      </c>
      <c r="AJ196" s="56">
        <f t="shared" ca="1" si="336"/>
        <v>26.979114784004956</v>
      </c>
      <c r="AK196" s="56">
        <f t="shared" ca="1" si="337"/>
        <v>26.662612013350746</v>
      </c>
      <c r="AL196" s="56">
        <f t="shared" ca="1" si="338"/>
        <v>26.331138359335576</v>
      </c>
      <c r="AM196" s="56">
        <f t="shared" ca="1" si="339"/>
        <v>25.985401203441825</v>
      </c>
      <c r="AN196" s="56">
        <f t="shared" ca="1" si="340"/>
        <v>25.626138366183671</v>
      </c>
      <c r="AO196" s="56">
        <f t="shared" ca="1" si="341"/>
        <v>25.254116532560975</v>
      </c>
      <c r="AP196" s="56">
        <f t="shared" ca="1" si="342"/>
        <v>24.870129615914816</v>
      </c>
      <c r="AQ196" s="56">
        <f t="shared" ca="1" si="343"/>
        <v>24.47499706367644</v>
      </c>
      <c r="AR196" s="56">
        <f t="shared" ca="1" si="344"/>
        <v>24.069562108625128</v>
      </c>
      <c r="AS196" s="56">
        <f t="shared" ca="1" si="345"/>
        <v>23.654689969386954</v>
      </c>
      <c r="AT196" s="56">
        <f t="shared" ca="1" si="346"/>
        <v>23.231266004014646</v>
      </c>
      <c r="AU196" s="56">
        <f t="shared" ca="1" si="347"/>
        <v>22.800193820588863</v>
      </c>
      <c r="AV196" s="56">
        <f t="shared" ca="1" si="348"/>
        <v>22.362393348873031</v>
      </c>
      <c r="AW196" s="56">
        <f t="shared" ca="1" si="349"/>
        <v>21.918798877136854</v>
      </c>
      <c r="AX196" s="56">
        <f t="shared" ca="1" si="350"/>
        <v>21.470357058338081</v>
      </c>
      <c r="AY196" s="56">
        <f t="shared" ca="1" si="351"/>
        <v>21.018024889917356</v>
      </c>
      <c r="AZ196" s="56">
        <f t="shared" ca="1" si="352"/>
        <v>20.562767671517491</v>
      </c>
      <c r="BA196" s="56">
        <f t="shared" ca="1" si="353"/>
        <v>20.105556944985363</v>
      </c>
      <c r="BB196" s="56">
        <f t="shared" ca="1" si="354"/>
        <v>19.647368421052633</v>
      </c>
      <c r="BC196" s="56">
        <f t="shared" ca="1" si="355"/>
        <v>19.189179897119899</v>
      </c>
      <c r="BD196" s="56">
        <f t="shared" ca="1" si="356"/>
        <v>18.731969170587767</v>
      </c>
      <c r="BE196" s="56">
        <f t="shared" ca="1" si="357"/>
        <v>18.276711952187902</v>
      </c>
      <c r="BF196" s="56">
        <f t="shared" ca="1" si="358"/>
        <v>17.824379783767181</v>
      </c>
      <c r="BG196" s="56">
        <f t="shared" ca="1" si="359"/>
        <v>17.375937964968408</v>
      </c>
      <c r="BH196" s="56">
        <f t="shared" ca="1" si="360"/>
        <v>16.932343493232228</v>
      </c>
      <c r="BI196" s="56">
        <f t="shared" ca="1" si="361"/>
        <v>16.494543021516396</v>
      </c>
      <c r="BJ196" s="56">
        <f t="shared" ca="1" si="362"/>
        <v>16.063470838090613</v>
      </c>
      <c r="BK196" s="56">
        <f t="shared" ca="1" si="363"/>
        <v>15.640046872718305</v>
      </c>
      <c r="BL196" s="56">
        <f t="shared" ca="1" si="364"/>
        <v>15.225174733480133</v>
      </c>
      <c r="BM196" s="56">
        <f t="shared" ca="1" si="365"/>
        <v>14.81973977842882</v>
      </c>
      <c r="BN196" s="56">
        <f t="shared" ca="1" si="366"/>
        <v>14.424607226190442</v>
      </c>
      <c r="BO196" s="56">
        <f t="shared" ca="1" si="367"/>
        <v>14.040620309544284</v>
      </c>
      <c r="BP196" s="56">
        <f t="shared" ca="1" si="368"/>
        <v>13.668598475921588</v>
      </c>
      <c r="BQ196" s="56">
        <f t="shared" ca="1" si="369"/>
        <v>13.309335638663438</v>
      </c>
      <c r="BR196" s="56">
        <f t="shared" ca="1" si="370"/>
        <v>12.96359848276968</v>
      </c>
      <c r="BS196" s="56">
        <f t="shared" ca="1" si="371"/>
        <v>12.632124828754517</v>
      </c>
      <c r="BT196" s="56">
        <f t="shared" ca="1" si="372"/>
        <v>12.315622058100303</v>
      </c>
      <c r="BU196" s="56">
        <f t="shared" ca="1" si="373"/>
        <v>12.014765603669858</v>
      </c>
      <c r="BV196" s="56">
        <f t="shared" ca="1" si="374"/>
        <v>11.730197508298676</v>
      </c>
      <c r="BW196" s="56">
        <f t="shared" ca="1" si="375"/>
        <v>11.462525054643159</v>
      </c>
      <c r="BX196" s="56">
        <f t="shared" ca="1" si="376"/>
        <v>11.212319469208829</v>
      </c>
      <c r="BY196" s="56">
        <f t="shared" ca="1" si="377"/>
        <v>10.980114703324176</v>
      </c>
      <c r="BZ196" s="56">
        <f t="shared" ca="1" si="378"/>
        <v>10.766406293661618</v>
      </c>
      <c r="CA196" s="56">
        <f t="shared" ca="1" si="379"/>
        <v>10.571650304737265</v>
      </c>
      <c r="CB196" s="56">
        <f t="shared" ca="1" si="380"/>
        <v>10.396262355646261</v>
      </c>
      <c r="CC196" s="56">
        <f t="shared" ca="1" si="381"/>
        <v>10.240616733110681</v>
      </c>
      <c r="CD196" s="56">
        <f t="shared" ca="1" si="382"/>
        <v>10.105045592732822</v>
      </c>
      <c r="CE196" s="56">
        <f t="shared" ca="1" si="383"/>
        <v>9.9898382501583889</v>
      </c>
      <c r="CF196" s="56">
        <f t="shared" ca="1" si="384"/>
        <v>9.8952405636623411</v>
      </c>
      <c r="CG196" s="56">
        <f t="shared" ca="1" si="385"/>
        <v>9.8214544094749385</v>
      </c>
      <c r="CH196" s="56">
        <f t="shared" ca="1" si="386"/>
        <v>9.7686372509676858</v>
      </c>
      <c r="CI196" s="56">
        <f t="shared" ca="1" si="387"/>
        <v>9.7369018026185685</v>
      </c>
      <c r="CJ196" s="56">
        <f t="shared" ca="1" si="388"/>
        <v>9.7263157894736842</v>
      </c>
      <c r="CK196" s="56">
        <f t="shared" si="389"/>
        <v>0</v>
      </c>
      <c r="CL196" s="56">
        <f t="shared" si="390"/>
        <v>0</v>
      </c>
      <c r="CM196" s="56">
        <f t="shared" si="391"/>
        <v>0</v>
      </c>
      <c r="CN196" s="56">
        <f t="shared" si="392"/>
        <v>0</v>
      </c>
      <c r="CO196" s="56">
        <f t="shared" si="393"/>
        <v>0</v>
      </c>
      <c r="CP196" s="56">
        <f t="shared" si="394"/>
        <v>0</v>
      </c>
      <c r="CQ196" s="56">
        <f t="shared" si="395"/>
        <v>0</v>
      </c>
      <c r="CR196" s="56">
        <f t="shared" si="396"/>
        <v>0</v>
      </c>
      <c r="CS196" s="56">
        <f t="shared" si="397"/>
        <v>0</v>
      </c>
      <c r="CT196" s="56">
        <f t="shared" si="398"/>
        <v>0</v>
      </c>
      <c r="CU196" s="56">
        <f t="shared" si="399"/>
        <v>0</v>
      </c>
      <c r="CV196" s="56">
        <f t="shared" si="400"/>
        <v>0</v>
      </c>
      <c r="CW196" s="56">
        <f t="shared" si="401"/>
        <v>0</v>
      </c>
      <c r="CX196" s="56">
        <f t="shared" si="402"/>
        <v>0</v>
      </c>
      <c r="CY196" s="56">
        <f t="shared" si="403"/>
        <v>0</v>
      </c>
      <c r="CZ196" s="56">
        <f t="shared" si="404"/>
        <v>0</v>
      </c>
      <c r="DA196" s="56">
        <f t="shared" si="405"/>
        <v>0</v>
      </c>
      <c r="DB196" s="56">
        <f t="shared" si="406"/>
        <v>0</v>
      </c>
      <c r="DC196" s="56">
        <f t="shared" si="407"/>
        <v>0</v>
      </c>
      <c r="DD196" s="56">
        <f t="shared" si="408"/>
        <v>0</v>
      </c>
      <c r="DE196" s="56">
        <f t="shared" si="409"/>
        <v>0</v>
      </c>
      <c r="DF196" s="56">
        <f t="shared" si="410"/>
        <v>0</v>
      </c>
      <c r="DG196" s="56">
        <f t="shared" si="411"/>
        <v>0</v>
      </c>
      <c r="DH196" s="56">
        <f t="shared" si="412"/>
        <v>0</v>
      </c>
      <c r="DI196" s="56">
        <f t="shared" si="413"/>
        <v>0</v>
      </c>
      <c r="DJ196" s="56">
        <f t="shared" si="414"/>
        <v>0</v>
      </c>
      <c r="DK196" s="56">
        <f t="shared" si="415"/>
        <v>0</v>
      </c>
      <c r="DL196" s="56">
        <f t="shared" si="416"/>
        <v>0</v>
      </c>
      <c r="DM196" s="56">
        <f t="shared" si="417"/>
        <v>0</v>
      </c>
      <c r="DN196" s="56">
        <f t="shared" si="418"/>
        <v>0</v>
      </c>
      <c r="DO196" s="56">
        <f t="shared" si="419"/>
        <v>0</v>
      </c>
      <c r="DP196" s="56">
        <f t="shared" si="420"/>
        <v>0</v>
      </c>
      <c r="DQ196" s="56">
        <f t="shared" si="421"/>
        <v>0</v>
      </c>
      <c r="DR196" s="56">
        <f t="shared" si="422"/>
        <v>0</v>
      </c>
      <c r="DS196" s="56">
        <f t="shared" si="423"/>
        <v>0</v>
      </c>
      <c r="DT196" s="56">
        <f t="shared" si="424"/>
        <v>0</v>
      </c>
      <c r="DU196" s="56">
        <f t="shared" si="425"/>
        <v>0</v>
      </c>
      <c r="DV196" s="56">
        <f t="shared" si="426"/>
        <v>0</v>
      </c>
      <c r="DW196" s="56">
        <f t="shared" si="427"/>
        <v>0</v>
      </c>
      <c r="DX196" s="56">
        <f t="shared" si="428"/>
        <v>0</v>
      </c>
      <c r="DY196" s="56">
        <f t="shared" si="429"/>
        <v>0</v>
      </c>
      <c r="DZ196" s="56">
        <f t="shared" si="430"/>
        <v>0</v>
      </c>
      <c r="EA196" s="56">
        <f t="shared" si="431"/>
        <v>0</v>
      </c>
      <c r="EB196" s="56">
        <f t="shared" si="432"/>
        <v>0</v>
      </c>
      <c r="EC196" s="56">
        <f t="shared" si="433"/>
        <v>0</v>
      </c>
      <c r="ED196" s="56">
        <f t="shared" si="434"/>
        <v>0</v>
      </c>
      <c r="EE196" s="56">
        <f t="shared" si="435"/>
        <v>0</v>
      </c>
      <c r="EF196" s="56">
        <f t="shared" si="436"/>
        <v>0</v>
      </c>
      <c r="EG196" s="56">
        <f t="shared" si="437"/>
        <v>0</v>
      </c>
      <c r="EH196" s="56">
        <f t="shared" si="438"/>
        <v>0</v>
      </c>
      <c r="EI196" s="56">
        <f t="shared" si="439"/>
        <v>0</v>
      </c>
      <c r="EJ196" s="56">
        <f t="shared" si="440"/>
        <v>0</v>
      </c>
      <c r="EK196" s="56">
        <f t="shared" si="441"/>
        <v>0</v>
      </c>
      <c r="EL196" s="56">
        <f t="shared" si="442"/>
        <v>0</v>
      </c>
      <c r="EM196" s="56">
        <f t="shared" si="443"/>
        <v>0</v>
      </c>
      <c r="EN196" s="56">
        <f t="shared" si="444"/>
        <v>0</v>
      </c>
      <c r="EO196" s="56">
        <f t="shared" si="445"/>
        <v>0</v>
      </c>
      <c r="EP196" s="56">
        <f t="shared" si="446"/>
        <v>0</v>
      </c>
      <c r="EQ196" s="56">
        <f t="shared" si="447"/>
        <v>0</v>
      </c>
      <c r="ER196" s="56">
        <f t="shared" si="448"/>
        <v>0</v>
      </c>
      <c r="ES196" s="56">
        <f t="shared" si="449"/>
        <v>0</v>
      </c>
      <c r="ET196" s="56">
        <f t="shared" si="450"/>
        <v>0</v>
      </c>
      <c r="EU196" s="56">
        <f t="shared" si="451"/>
        <v>0</v>
      </c>
      <c r="EV196" s="56">
        <f t="shared" si="452"/>
        <v>0</v>
      </c>
      <c r="EW196" s="56">
        <f t="shared" si="453"/>
        <v>0</v>
      </c>
      <c r="EX196" s="56">
        <f t="shared" si="454"/>
        <v>0</v>
      </c>
      <c r="EY196" s="56">
        <f t="shared" si="455"/>
        <v>0</v>
      </c>
      <c r="EZ196" s="56">
        <f t="shared" si="456"/>
        <v>0</v>
      </c>
      <c r="FA196" s="56">
        <f t="shared" si="457"/>
        <v>0</v>
      </c>
      <c r="FB196" s="56">
        <f t="shared" si="458"/>
        <v>0</v>
      </c>
      <c r="FC196" s="56">
        <f t="shared" si="459"/>
        <v>0</v>
      </c>
      <c r="FD196" s="56">
        <f t="shared" si="460"/>
        <v>0</v>
      </c>
      <c r="FE196" s="56">
        <f t="shared" si="461"/>
        <v>0</v>
      </c>
      <c r="FF196" s="56">
        <f t="shared" si="462"/>
        <v>0</v>
      </c>
      <c r="FG196" s="56">
        <f t="shared" si="463"/>
        <v>0</v>
      </c>
      <c r="FH196" s="56">
        <f t="shared" si="464"/>
        <v>0</v>
      </c>
      <c r="FI196" s="56">
        <f t="shared" si="465"/>
        <v>0</v>
      </c>
      <c r="FJ196" s="56">
        <f t="shared" si="466"/>
        <v>0</v>
      </c>
      <c r="FK196" s="56">
        <f t="shared" si="467"/>
        <v>0</v>
      </c>
      <c r="FL196" s="56">
        <f t="shared" si="468"/>
        <v>0</v>
      </c>
      <c r="FM196" s="56">
        <f t="shared" si="469"/>
        <v>0</v>
      </c>
      <c r="FN196" s="56">
        <f t="shared" si="470"/>
        <v>0</v>
      </c>
      <c r="FO196" s="56">
        <f t="shared" si="471"/>
        <v>0</v>
      </c>
      <c r="FP196" s="56">
        <f t="shared" si="472"/>
        <v>0</v>
      </c>
      <c r="FQ196" s="56">
        <f t="shared" si="473"/>
        <v>0</v>
      </c>
      <c r="FR196" s="56">
        <f t="shared" si="474"/>
        <v>0</v>
      </c>
      <c r="FS196" s="56">
        <f t="shared" si="475"/>
        <v>0</v>
      </c>
      <c r="FT196" s="56">
        <f t="shared" si="476"/>
        <v>0</v>
      </c>
      <c r="FU196" s="56">
        <f t="shared" si="477"/>
        <v>0</v>
      </c>
      <c r="FV196" s="56">
        <f t="shared" si="478"/>
        <v>0</v>
      </c>
      <c r="FW196" s="56">
        <f t="shared" si="479"/>
        <v>0</v>
      </c>
      <c r="FX196" s="56">
        <f t="shared" si="480"/>
        <v>0</v>
      </c>
      <c r="FY196" s="56">
        <f t="shared" si="481"/>
        <v>0</v>
      </c>
      <c r="FZ196" s="56">
        <f t="shared" si="482"/>
        <v>0</v>
      </c>
      <c r="GA196" s="56">
        <f t="shared" si="483"/>
        <v>0</v>
      </c>
      <c r="GB196" s="56">
        <f t="shared" si="484"/>
        <v>0</v>
      </c>
      <c r="GC196" s="56">
        <f t="shared" si="485"/>
        <v>0</v>
      </c>
      <c r="GD196" s="56">
        <f t="shared" si="486"/>
        <v>0</v>
      </c>
      <c r="GE196" s="56">
        <f t="shared" si="487"/>
        <v>0</v>
      </c>
      <c r="GF196" s="56">
        <f t="shared" si="488"/>
        <v>0</v>
      </c>
      <c r="GG196" s="56">
        <f t="shared" si="489"/>
        <v>0</v>
      </c>
      <c r="GH196" s="56">
        <f t="shared" si="490"/>
        <v>0</v>
      </c>
      <c r="GI196" s="56">
        <f t="shared" si="491"/>
        <v>0</v>
      </c>
      <c r="GJ196" s="56">
        <f t="shared" si="492"/>
        <v>0</v>
      </c>
      <c r="GK196" s="56">
        <f t="shared" si="493"/>
        <v>0</v>
      </c>
      <c r="GL196" s="56">
        <f t="shared" si="494"/>
        <v>0</v>
      </c>
      <c r="GM196" s="56">
        <f t="shared" si="495"/>
        <v>0</v>
      </c>
      <c r="GN196" s="56">
        <f t="shared" si="496"/>
        <v>0</v>
      </c>
      <c r="GO196" s="56">
        <f t="shared" si="497"/>
        <v>0</v>
      </c>
      <c r="GP196" s="56">
        <f t="shared" si="498"/>
        <v>0</v>
      </c>
    </row>
    <row r="197" spans="1:198" x14ac:dyDescent="0.35">
      <c r="A197" s="55" t="str">
        <f t="shared" si="304"/>
        <v>Other &gt; available now</v>
      </c>
      <c r="B197" s="55" t="s">
        <v>297</v>
      </c>
      <c r="K197" s="56">
        <f t="shared" ca="1" si="311"/>
        <v>29.568421052631574</v>
      </c>
      <c r="L197" s="56">
        <f t="shared" ca="1" si="312"/>
        <v>29.568421052631574</v>
      </c>
      <c r="M197" s="56">
        <f t="shared" ca="1" si="313"/>
        <v>29.568421052631574</v>
      </c>
      <c r="N197" s="56">
        <f t="shared" ca="1" si="314"/>
        <v>29.568421052631574</v>
      </c>
      <c r="O197" s="56">
        <f t="shared" ca="1" si="315"/>
        <v>29.568421052631574</v>
      </c>
      <c r="P197" s="56">
        <f t="shared" ca="1" si="316"/>
        <v>29.568421052631574</v>
      </c>
      <c r="Q197" s="56">
        <f t="shared" ca="1" si="317"/>
        <v>29.568421052631574</v>
      </c>
      <c r="R197" s="56">
        <f t="shared" ca="1" si="318"/>
        <v>29.568421052631574</v>
      </c>
      <c r="S197" s="56">
        <f t="shared" ca="1" si="319"/>
        <v>29.568421052631574</v>
      </c>
      <c r="T197" s="56">
        <f t="shared" ca="1" si="320"/>
        <v>29.568421052631574</v>
      </c>
      <c r="U197" s="56">
        <f t="shared" ca="1" si="321"/>
        <v>29.55783503948669</v>
      </c>
      <c r="V197" s="56">
        <f t="shared" ca="1" si="322"/>
        <v>29.526099591137573</v>
      </c>
      <c r="W197" s="56">
        <f t="shared" ca="1" si="323"/>
        <v>29.47328243263032</v>
      </c>
      <c r="X197" s="56">
        <f t="shared" ca="1" si="324"/>
        <v>29.399496278442918</v>
      </c>
      <c r="Y197" s="56">
        <f t="shared" ca="1" si="325"/>
        <v>29.30489859194687</v>
      </c>
      <c r="Z197" s="56">
        <f t="shared" ca="1" si="326"/>
        <v>29.189691249372437</v>
      </c>
      <c r="AA197" s="56">
        <f t="shared" ca="1" si="327"/>
        <v>29.054120108994578</v>
      </c>
      <c r="AB197" s="56">
        <f t="shared" ca="1" si="328"/>
        <v>28.898474486458998</v>
      </c>
      <c r="AC197" s="56">
        <f t="shared" ca="1" si="329"/>
        <v>28.723086537367994</v>
      </c>
      <c r="AD197" s="56">
        <f t="shared" ca="1" si="330"/>
        <v>28.528330548443641</v>
      </c>
      <c r="AE197" s="56">
        <f t="shared" ca="1" si="331"/>
        <v>28.314622138781083</v>
      </c>
      <c r="AF197" s="56">
        <f t="shared" ca="1" si="332"/>
        <v>28.082417372896433</v>
      </c>
      <c r="AG197" s="56">
        <f t="shared" ca="1" si="333"/>
        <v>27.8322117874621</v>
      </c>
      <c r="AH197" s="56">
        <f t="shared" ca="1" si="334"/>
        <v>27.564539333806582</v>
      </c>
      <c r="AI197" s="56">
        <f t="shared" ca="1" si="335"/>
        <v>27.279971238435401</v>
      </c>
      <c r="AJ197" s="56">
        <f t="shared" ca="1" si="336"/>
        <v>26.979114784004956</v>
      </c>
      <c r="AK197" s="56">
        <f t="shared" ca="1" si="337"/>
        <v>26.662612013350746</v>
      </c>
      <c r="AL197" s="56">
        <f t="shared" ca="1" si="338"/>
        <v>26.331138359335576</v>
      </c>
      <c r="AM197" s="56">
        <f t="shared" ca="1" si="339"/>
        <v>25.985401203441825</v>
      </c>
      <c r="AN197" s="56">
        <f t="shared" ca="1" si="340"/>
        <v>25.626138366183671</v>
      </c>
      <c r="AO197" s="56">
        <f t="shared" ca="1" si="341"/>
        <v>25.254116532560975</v>
      </c>
      <c r="AP197" s="56">
        <f t="shared" ca="1" si="342"/>
        <v>24.870129615914816</v>
      </c>
      <c r="AQ197" s="56">
        <f t="shared" ca="1" si="343"/>
        <v>24.47499706367644</v>
      </c>
      <c r="AR197" s="56">
        <f t="shared" ca="1" si="344"/>
        <v>24.069562108625128</v>
      </c>
      <c r="AS197" s="56">
        <f t="shared" ca="1" si="345"/>
        <v>23.654689969386954</v>
      </c>
      <c r="AT197" s="56">
        <f t="shared" ca="1" si="346"/>
        <v>23.231266004014646</v>
      </c>
      <c r="AU197" s="56">
        <f t="shared" ca="1" si="347"/>
        <v>22.800193820588863</v>
      </c>
      <c r="AV197" s="56">
        <f t="shared" ca="1" si="348"/>
        <v>22.362393348873031</v>
      </c>
      <c r="AW197" s="56">
        <f t="shared" ca="1" si="349"/>
        <v>21.918798877136854</v>
      </c>
      <c r="AX197" s="56">
        <f t="shared" ca="1" si="350"/>
        <v>21.470357058338081</v>
      </c>
      <c r="AY197" s="56">
        <f t="shared" ca="1" si="351"/>
        <v>21.018024889917356</v>
      </c>
      <c r="AZ197" s="56">
        <f t="shared" ca="1" si="352"/>
        <v>20.562767671517491</v>
      </c>
      <c r="BA197" s="56">
        <f t="shared" ca="1" si="353"/>
        <v>20.105556944985363</v>
      </c>
      <c r="BB197" s="56">
        <f t="shared" ca="1" si="354"/>
        <v>19.647368421052633</v>
      </c>
      <c r="BC197" s="56">
        <f t="shared" ca="1" si="355"/>
        <v>19.189179897119899</v>
      </c>
      <c r="BD197" s="56">
        <f t="shared" ca="1" si="356"/>
        <v>18.731969170587767</v>
      </c>
      <c r="BE197" s="56">
        <f t="shared" ca="1" si="357"/>
        <v>18.276711952187902</v>
      </c>
      <c r="BF197" s="56">
        <f t="shared" ca="1" si="358"/>
        <v>17.824379783767181</v>
      </c>
      <c r="BG197" s="56">
        <f t="shared" ca="1" si="359"/>
        <v>17.375937964968408</v>
      </c>
      <c r="BH197" s="56">
        <f t="shared" ca="1" si="360"/>
        <v>16.932343493232228</v>
      </c>
      <c r="BI197" s="56">
        <f t="shared" ca="1" si="361"/>
        <v>16.494543021516396</v>
      </c>
      <c r="BJ197" s="56">
        <f t="shared" ca="1" si="362"/>
        <v>16.063470838090613</v>
      </c>
      <c r="BK197" s="56">
        <f t="shared" ca="1" si="363"/>
        <v>15.640046872718305</v>
      </c>
      <c r="BL197" s="56">
        <f t="shared" ca="1" si="364"/>
        <v>15.225174733480133</v>
      </c>
      <c r="BM197" s="56">
        <f t="shared" ca="1" si="365"/>
        <v>14.81973977842882</v>
      </c>
      <c r="BN197" s="56">
        <f t="shared" ca="1" si="366"/>
        <v>14.424607226190442</v>
      </c>
      <c r="BO197" s="56">
        <f t="shared" ca="1" si="367"/>
        <v>14.040620309544284</v>
      </c>
      <c r="BP197" s="56">
        <f t="shared" ca="1" si="368"/>
        <v>13.668598475921588</v>
      </c>
      <c r="BQ197" s="56">
        <f t="shared" ca="1" si="369"/>
        <v>13.309335638663438</v>
      </c>
      <c r="BR197" s="56">
        <f t="shared" ca="1" si="370"/>
        <v>12.96359848276968</v>
      </c>
      <c r="BS197" s="56">
        <f t="shared" ca="1" si="371"/>
        <v>12.632124828754517</v>
      </c>
      <c r="BT197" s="56">
        <f t="shared" ca="1" si="372"/>
        <v>12.315622058100303</v>
      </c>
      <c r="BU197" s="56">
        <f t="shared" ca="1" si="373"/>
        <v>12.014765603669858</v>
      </c>
      <c r="BV197" s="56">
        <f t="shared" ca="1" si="374"/>
        <v>11.730197508298676</v>
      </c>
      <c r="BW197" s="56">
        <f t="shared" ca="1" si="375"/>
        <v>11.462525054643159</v>
      </c>
      <c r="BX197" s="56">
        <f t="shared" ca="1" si="376"/>
        <v>11.212319469208829</v>
      </c>
      <c r="BY197" s="56">
        <f t="shared" ca="1" si="377"/>
        <v>10.980114703324176</v>
      </c>
      <c r="BZ197" s="56">
        <f t="shared" ca="1" si="378"/>
        <v>10.766406293661618</v>
      </c>
      <c r="CA197" s="56">
        <f t="shared" ca="1" si="379"/>
        <v>10.571650304737265</v>
      </c>
      <c r="CB197" s="56">
        <f t="shared" ca="1" si="380"/>
        <v>10.396262355646261</v>
      </c>
      <c r="CC197" s="56">
        <f t="shared" ca="1" si="381"/>
        <v>10.240616733110681</v>
      </c>
      <c r="CD197" s="56">
        <f t="shared" ca="1" si="382"/>
        <v>10.105045592732822</v>
      </c>
      <c r="CE197" s="56">
        <f t="shared" ca="1" si="383"/>
        <v>9.9898382501583889</v>
      </c>
      <c r="CF197" s="56">
        <f t="shared" ca="1" si="384"/>
        <v>9.8952405636623411</v>
      </c>
      <c r="CG197" s="56">
        <f t="shared" ca="1" si="385"/>
        <v>9.8214544094749385</v>
      </c>
      <c r="CH197" s="56">
        <f t="shared" ca="1" si="386"/>
        <v>9.7686372509676858</v>
      </c>
      <c r="CI197" s="56">
        <f t="shared" ca="1" si="387"/>
        <v>9.7369018026185685</v>
      </c>
      <c r="CJ197" s="56">
        <f t="shared" ca="1" si="388"/>
        <v>9.7263157894736842</v>
      </c>
      <c r="CK197" s="56">
        <f t="shared" si="389"/>
        <v>0</v>
      </c>
      <c r="CL197" s="56">
        <f t="shared" si="390"/>
        <v>0</v>
      </c>
      <c r="CM197" s="56">
        <f t="shared" si="391"/>
        <v>0</v>
      </c>
      <c r="CN197" s="56">
        <f t="shared" si="392"/>
        <v>0</v>
      </c>
      <c r="CO197" s="56">
        <f t="shared" si="393"/>
        <v>0</v>
      </c>
      <c r="CP197" s="56">
        <f t="shared" si="394"/>
        <v>0</v>
      </c>
      <c r="CQ197" s="56">
        <f t="shared" si="395"/>
        <v>0</v>
      </c>
      <c r="CR197" s="56">
        <f t="shared" si="396"/>
        <v>0</v>
      </c>
      <c r="CS197" s="56">
        <f t="shared" si="397"/>
        <v>0</v>
      </c>
      <c r="CT197" s="56">
        <f t="shared" si="398"/>
        <v>0</v>
      </c>
      <c r="CU197" s="56">
        <f t="shared" si="399"/>
        <v>0</v>
      </c>
      <c r="CV197" s="56">
        <f t="shared" si="400"/>
        <v>0</v>
      </c>
      <c r="CW197" s="56">
        <f t="shared" si="401"/>
        <v>0</v>
      </c>
      <c r="CX197" s="56">
        <f t="shared" si="402"/>
        <v>0</v>
      </c>
      <c r="CY197" s="56">
        <f t="shared" si="403"/>
        <v>0</v>
      </c>
      <c r="CZ197" s="56">
        <f t="shared" si="404"/>
        <v>0</v>
      </c>
      <c r="DA197" s="56">
        <f t="shared" si="405"/>
        <v>0</v>
      </c>
      <c r="DB197" s="56">
        <f t="shared" si="406"/>
        <v>0</v>
      </c>
      <c r="DC197" s="56">
        <f t="shared" si="407"/>
        <v>0</v>
      </c>
      <c r="DD197" s="56">
        <f t="shared" si="408"/>
        <v>0</v>
      </c>
      <c r="DE197" s="56">
        <f t="shared" si="409"/>
        <v>0</v>
      </c>
      <c r="DF197" s="56">
        <f t="shared" si="410"/>
        <v>0</v>
      </c>
      <c r="DG197" s="56">
        <f t="shared" si="411"/>
        <v>0</v>
      </c>
      <c r="DH197" s="56">
        <f t="shared" si="412"/>
        <v>0</v>
      </c>
      <c r="DI197" s="56">
        <f t="shared" si="413"/>
        <v>0</v>
      </c>
      <c r="DJ197" s="56">
        <f t="shared" si="414"/>
        <v>0</v>
      </c>
      <c r="DK197" s="56">
        <f t="shared" si="415"/>
        <v>0</v>
      </c>
      <c r="DL197" s="56">
        <f t="shared" si="416"/>
        <v>0</v>
      </c>
      <c r="DM197" s="56">
        <f t="shared" si="417"/>
        <v>0</v>
      </c>
      <c r="DN197" s="56">
        <f t="shared" si="418"/>
        <v>0</v>
      </c>
      <c r="DO197" s="56">
        <f t="shared" si="419"/>
        <v>0</v>
      </c>
      <c r="DP197" s="56">
        <f t="shared" si="420"/>
        <v>0</v>
      </c>
      <c r="DQ197" s="56">
        <f t="shared" si="421"/>
        <v>0</v>
      </c>
      <c r="DR197" s="56">
        <f t="shared" si="422"/>
        <v>0</v>
      </c>
      <c r="DS197" s="56">
        <f t="shared" si="423"/>
        <v>0</v>
      </c>
      <c r="DT197" s="56">
        <f t="shared" si="424"/>
        <v>0</v>
      </c>
      <c r="DU197" s="56">
        <f t="shared" si="425"/>
        <v>0</v>
      </c>
      <c r="DV197" s="56">
        <f t="shared" si="426"/>
        <v>0</v>
      </c>
      <c r="DW197" s="56">
        <f t="shared" si="427"/>
        <v>0</v>
      </c>
      <c r="DX197" s="56">
        <f t="shared" si="428"/>
        <v>0</v>
      </c>
      <c r="DY197" s="56">
        <f t="shared" si="429"/>
        <v>0</v>
      </c>
      <c r="DZ197" s="56">
        <f t="shared" si="430"/>
        <v>0</v>
      </c>
      <c r="EA197" s="56">
        <f t="shared" si="431"/>
        <v>0</v>
      </c>
      <c r="EB197" s="56">
        <f t="shared" si="432"/>
        <v>0</v>
      </c>
      <c r="EC197" s="56">
        <f t="shared" si="433"/>
        <v>0</v>
      </c>
      <c r="ED197" s="56">
        <f t="shared" si="434"/>
        <v>0</v>
      </c>
      <c r="EE197" s="56">
        <f t="shared" si="435"/>
        <v>0</v>
      </c>
      <c r="EF197" s="56">
        <f t="shared" si="436"/>
        <v>0</v>
      </c>
      <c r="EG197" s="56">
        <f t="shared" si="437"/>
        <v>0</v>
      </c>
      <c r="EH197" s="56">
        <f t="shared" si="438"/>
        <v>0</v>
      </c>
      <c r="EI197" s="56">
        <f t="shared" si="439"/>
        <v>0</v>
      </c>
      <c r="EJ197" s="56">
        <f t="shared" si="440"/>
        <v>0</v>
      </c>
      <c r="EK197" s="56">
        <f t="shared" si="441"/>
        <v>0</v>
      </c>
      <c r="EL197" s="56">
        <f t="shared" si="442"/>
        <v>0</v>
      </c>
      <c r="EM197" s="56">
        <f t="shared" si="443"/>
        <v>0</v>
      </c>
      <c r="EN197" s="56">
        <f t="shared" si="444"/>
        <v>0</v>
      </c>
      <c r="EO197" s="56">
        <f t="shared" si="445"/>
        <v>0</v>
      </c>
      <c r="EP197" s="56">
        <f t="shared" si="446"/>
        <v>0</v>
      </c>
      <c r="EQ197" s="56">
        <f t="shared" si="447"/>
        <v>0</v>
      </c>
      <c r="ER197" s="56">
        <f t="shared" si="448"/>
        <v>0</v>
      </c>
      <c r="ES197" s="56">
        <f t="shared" si="449"/>
        <v>0</v>
      </c>
      <c r="ET197" s="56">
        <f t="shared" si="450"/>
        <v>0</v>
      </c>
      <c r="EU197" s="56">
        <f t="shared" si="451"/>
        <v>0</v>
      </c>
      <c r="EV197" s="56">
        <f t="shared" si="452"/>
        <v>0</v>
      </c>
      <c r="EW197" s="56">
        <f t="shared" si="453"/>
        <v>0</v>
      </c>
      <c r="EX197" s="56">
        <f t="shared" si="454"/>
        <v>0</v>
      </c>
      <c r="EY197" s="56">
        <f t="shared" si="455"/>
        <v>0</v>
      </c>
      <c r="EZ197" s="56">
        <f t="shared" si="456"/>
        <v>0</v>
      </c>
      <c r="FA197" s="56">
        <f t="shared" si="457"/>
        <v>0</v>
      </c>
      <c r="FB197" s="56">
        <f t="shared" si="458"/>
        <v>0</v>
      </c>
      <c r="FC197" s="56">
        <f t="shared" si="459"/>
        <v>0</v>
      </c>
      <c r="FD197" s="56">
        <f t="shared" si="460"/>
        <v>0</v>
      </c>
      <c r="FE197" s="56">
        <f t="shared" si="461"/>
        <v>0</v>
      </c>
      <c r="FF197" s="56">
        <f t="shared" si="462"/>
        <v>0</v>
      </c>
      <c r="FG197" s="56">
        <f t="shared" si="463"/>
        <v>0</v>
      </c>
      <c r="FH197" s="56">
        <f t="shared" si="464"/>
        <v>0</v>
      </c>
      <c r="FI197" s="56">
        <f t="shared" si="465"/>
        <v>0</v>
      </c>
      <c r="FJ197" s="56">
        <f t="shared" si="466"/>
        <v>0</v>
      </c>
      <c r="FK197" s="56">
        <f t="shared" si="467"/>
        <v>0</v>
      </c>
      <c r="FL197" s="56">
        <f t="shared" si="468"/>
        <v>0</v>
      </c>
      <c r="FM197" s="56">
        <f t="shared" si="469"/>
        <v>0</v>
      </c>
      <c r="FN197" s="56">
        <f t="shared" si="470"/>
        <v>0</v>
      </c>
      <c r="FO197" s="56">
        <f t="shared" si="471"/>
        <v>0</v>
      </c>
      <c r="FP197" s="56">
        <f t="shared" si="472"/>
        <v>0</v>
      </c>
      <c r="FQ197" s="56">
        <f t="shared" si="473"/>
        <v>0</v>
      </c>
      <c r="FR197" s="56">
        <f t="shared" si="474"/>
        <v>0</v>
      </c>
      <c r="FS197" s="56">
        <f t="shared" si="475"/>
        <v>0</v>
      </c>
      <c r="FT197" s="56">
        <f t="shared" si="476"/>
        <v>0</v>
      </c>
      <c r="FU197" s="56">
        <f t="shared" si="477"/>
        <v>0</v>
      </c>
      <c r="FV197" s="56">
        <f t="shared" si="478"/>
        <v>0</v>
      </c>
      <c r="FW197" s="56">
        <f t="shared" si="479"/>
        <v>0</v>
      </c>
      <c r="FX197" s="56">
        <f t="shared" si="480"/>
        <v>0</v>
      </c>
      <c r="FY197" s="56">
        <f t="shared" si="481"/>
        <v>0</v>
      </c>
      <c r="FZ197" s="56">
        <f t="shared" si="482"/>
        <v>0</v>
      </c>
      <c r="GA197" s="56">
        <f t="shared" si="483"/>
        <v>0</v>
      </c>
      <c r="GB197" s="56">
        <f t="shared" si="484"/>
        <v>0</v>
      </c>
      <c r="GC197" s="56">
        <f t="shared" si="485"/>
        <v>0</v>
      </c>
      <c r="GD197" s="56">
        <f t="shared" si="486"/>
        <v>0</v>
      </c>
      <c r="GE197" s="56">
        <f t="shared" si="487"/>
        <v>0</v>
      </c>
      <c r="GF197" s="56">
        <f t="shared" si="488"/>
        <v>0</v>
      </c>
      <c r="GG197" s="56">
        <f t="shared" si="489"/>
        <v>0</v>
      </c>
      <c r="GH197" s="56">
        <f t="shared" si="490"/>
        <v>0</v>
      </c>
      <c r="GI197" s="56">
        <f t="shared" si="491"/>
        <v>0</v>
      </c>
      <c r="GJ197" s="56">
        <f t="shared" si="492"/>
        <v>0</v>
      </c>
      <c r="GK197" s="56">
        <f t="shared" si="493"/>
        <v>0</v>
      </c>
      <c r="GL197" s="56">
        <f t="shared" si="494"/>
        <v>0</v>
      </c>
      <c r="GM197" s="56">
        <f t="shared" si="495"/>
        <v>0</v>
      </c>
      <c r="GN197" s="56">
        <f t="shared" si="496"/>
        <v>0</v>
      </c>
      <c r="GO197" s="56">
        <f t="shared" si="497"/>
        <v>0</v>
      </c>
      <c r="GP197" s="56">
        <f t="shared" si="498"/>
        <v>0</v>
      </c>
    </row>
    <row r="198" spans="1:198" ht="24" x14ac:dyDescent="0.35">
      <c r="A198" s="57" t="str">
        <f t="shared" ca="1" si="304"/>
        <v>12
Available now</v>
      </c>
      <c r="B198" s="55" t="s">
        <v>297</v>
      </c>
      <c r="K198" s="56">
        <f t="shared" ca="1" si="311"/>
        <v>29.568421052631574</v>
      </c>
      <c r="L198" s="56">
        <f t="shared" ca="1" si="312"/>
        <v>29.568421052631574</v>
      </c>
      <c r="M198" s="56">
        <f t="shared" ca="1" si="313"/>
        <v>29.568421052631574</v>
      </c>
      <c r="N198" s="56">
        <f t="shared" ca="1" si="314"/>
        <v>29.568421052631574</v>
      </c>
      <c r="O198" s="56">
        <f t="shared" ca="1" si="315"/>
        <v>29.568421052631574</v>
      </c>
      <c r="P198" s="56">
        <f t="shared" ca="1" si="316"/>
        <v>29.568421052631574</v>
      </c>
      <c r="Q198" s="56">
        <f t="shared" ca="1" si="317"/>
        <v>29.568421052631574</v>
      </c>
      <c r="R198" s="56">
        <f t="shared" ca="1" si="318"/>
        <v>29.568421052631574</v>
      </c>
      <c r="S198" s="56">
        <f t="shared" ca="1" si="319"/>
        <v>29.568421052631574</v>
      </c>
      <c r="T198" s="56">
        <f t="shared" ca="1" si="320"/>
        <v>29.568421052631574</v>
      </c>
      <c r="U198" s="56">
        <f t="shared" ca="1" si="321"/>
        <v>29.55783503948669</v>
      </c>
      <c r="V198" s="56">
        <f t="shared" ca="1" si="322"/>
        <v>29.526099591137573</v>
      </c>
      <c r="W198" s="56">
        <f t="shared" ca="1" si="323"/>
        <v>29.47328243263032</v>
      </c>
      <c r="X198" s="56">
        <f t="shared" ca="1" si="324"/>
        <v>29.399496278442918</v>
      </c>
      <c r="Y198" s="56">
        <f t="shared" ca="1" si="325"/>
        <v>29.30489859194687</v>
      </c>
      <c r="Z198" s="56">
        <f t="shared" ca="1" si="326"/>
        <v>29.189691249372437</v>
      </c>
      <c r="AA198" s="56">
        <f t="shared" ca="1" si="327"/>
        <v>29.054120108994578</v>
      </c>
      <c r="AB198" s="56">
        <f t="shared" ca="1" si="328"/>
        <v>28.898474486458998</v>
      </c>
      <c r="AC198" s="56">
        <f t="shared" ca="1" si="329"/>
        <v>28.723086537367994</v>
      </c>
      <c r="AD198" s="56">
        <f t="shared" ca="1" si="330"/>
        <v>28.528330548443641</v>
      </c>
      <c r="AE198" s="56">
        <f t="shared" ca="1" si="331"/>
        <v>28.314622138781083</v>
      </c>
      <c r="AF198" s="56">
        <f t="shared" ca="1" si="332"/>
        <v>28.082417372896433</v>
      </c>
      <c r="AG198" s="56">
        <f t="shared" ca="1" si="333"/>
        <v>27.8322117874621</v>
      </c>
      <c r="AH198" s="56">
        <f t="shared" ca="1" si="334"/>
        <v>27.564539333806582</v>
      </c>
      <c r="AI198" s="56">
        <f t="shared" ca="1" si="335"/>
        <v>27.279971238435401</v>
      </c>
      <c r="AJ198" s="56">
        <f t="shared" ca="1" si="336"/>
        <v>26.979114784004956</v>
      </c>
      <c r="AK198" s="56">
        <f t="shared" ca="1" si="337"/>
        <v>26.662612013350746</v>
      </c>
      <c r="AL198" s="56">
        <f t="shared" ca="1" si="338"/>
        <v>26.331138359335576</v>
      </c>
      <c r="AM198" s="56">
        <f t="shared" ca="1" si="339"/>
        <v>25.985401203441825</v>
      </c>
      <c r="AN198" s="56">
        <f t="shared" ca="1" si="340"/>
        <v>25.626138366183671</v>
      </c>
      <c r="AO198" s="56">
        <f t="shared" ca="1" si="341"/>
        <v>25.254116532560975</v>
      </c>
      <c r="AP198" s="56">
        <f t="shared" ca="1" si="342"/>
        <v>24.870129615914816</v>
      </c>
      <c r="AQ198" s="56">
        <f t="shared" ca="1" si="343"/>
        <v>24.47499706367644</v>
      </c>
      <c r="AR198" s="56">
        <f t="shared" ca="1" si="344"/>
        <v>24.069562108625128</v>
      </c>
      <c r="AS198" s="56">
        <f t="shared" ca="1" si="345"/>
        <v>23.654689969386954</v>
      </c>
      <c r="AT198" s="56">
        <f t="shared" ca="1" si="346"/>
        <v>23.231266004014646</v>
      </c>
      <c r="AU198" s="56">
        <f t="shared" ca="1" si="347"/>
        <v>22.800193820588863</v>
      </c>
      <c r="AV198" s="56">
        <f t="shared" ca="1" si="348"/>
        <v>22.362393348873031</v>
      </c>
      <c r="AW198" s="56">
        <f t="shared" ca="1" si="349"/>
        <v>21.918798877136854</v>
      </c>
      <c r="AX198" s="56">
        <f t="shared" ca="1" si="350"/>
        <v>21.470357058338081</v>
      </c>
      <c r="AY198" s="56">
        <f t="shared" ca="1" si="351"/>
        <v>21.018024889917356</v>
      </c>
      <c r="AZ198" s="56">
        <f t="shared" ca="1" si="352"/>
        <v>20.562767671517491</v>
      </c>
      <c r="BA198" s="56">
        <f t="shared" ca="1" si="353"/>
        <v>20.105556944985363</v>
      </c>
      <c r="BB198" s="56">
        <f t="shared" ca="1" si="354"/>
        <v>19.647368421052633</v>
      </c>
      <c r="BC198" s="56">
        <f t="shared" ca="1" si="355"/>
        <v>19.189179897119899</v>
      </c>
      <c r="BD198" s="56">
        <f t="shared" ca="1" si="356"/>
        <v>18.731969170587767</v>
      </c>
      <c r="BE198" s="56">
        <f t="shared" ca="1" si="357"/>
        <v>18.276711952187902</v>
      </c>
      <c r="BF198" s="56">
        <f t="shared" ca="1" si="358"/>
        <v>17.824379783767181</v>
      </c>
      <c r="BG198" s="56">
        <f t="shared" ca="1" si="359"/>
        <v>17.375937964968408</v>
      </c>
      <c r="BH198" s="56">
        <f t="shared" ca="1" si="360"/>
        <v>16.932343493232228</v>
      </c>
      <c r="BI198" s="56">
        <f t="shared" ca="1" si="361"/>
        <v>16.494543021516396</v>
      </c>
      <c r="BJ198" s="56">
        <f t="shared" ca="1" si="362"/>
        <v>16.063470838090613</v>
      </c>
      <c r="BK198" s="56">
        <f t="shared" ca="1" si="363"/>
        <v>15.640046872718305</v>
      </c>
      <c r="BL198" s="56">
        <f t="shared" ca="1" si="364"/>
        <v>15.225174733480133</v>
      </c>
      <c r="BM198" s="56">
        <f t="shared" ca="1" si="365"/>
        <v>14.81973977842882</v>
      </c>
      <c r="BN198" s="56">
        <f t="shared" ca="1" si="366"/>
        <v>14.424607226190442</v>
      </c>
      <c r="BO198" s="56">
        <f t="shared" ca="1" si="367"/>
        <v>14.040620309544284</v>
      </c>
      <c r="BP198" s="56">
        <f t="shared" ca="1" si="368"/>
        <v>13.668598475921588</v>
      </c>
      <c r="BQ198" s="56">
        <f t="shared" ca="1" si="369"/>
        <v>13.309335638663438</v>
      </c>
      <c r="BR198" s="56">
        <f t="shared" ca="1" si="370"/>
        <v>12.96359848276968</v>
      </c>
      <c r="BS198" s="56">
        <f t="shared" ca="1" si="371"/>
        <v>12.632124828754517</v>
      </c>
      <c r="BT198" s="56">
        <f t="shared" ca="1" si="372"/>
        <v>12.315622058100303</v>
      </c>
      <c r="BU198" s="56">
        <f t="shared" ca="1" si="373"/>
        <v>12.014765603669858</v>
      </c>
      <c r="BV198" s="56">
        <f t="shared" ca="1" si="374"/>
        <v>11.730197508298676</v>
      </c>
      <c r="BW198" s="56">
        <f t="shared" ca="1" si="375"/>
        <v>11.462525054643159</v>
      </c>
      <c r="BX198" s="56">
        <f t="shared" ca="1" si="376"/>
        <v>11.212319469208829</v>
      </c>
      <c r="BY198" s="56">
        <f t="shared" ca="1" si="377"/>
        <v>10.980114703324176</v>
      </c>
      <c r="BZ198" s="56">
        <f t="shared" ca="1" si="378"/>
        <v>10.766406293661618</v>
      </c>
      <c r="CA198" s="56">
        <f t="shared" ca="1" si="379"/>
        <v>10.571650304737265</v>
      </c>
      <c r="CB198" s="56">
        <f t="shared" ca="1" si="380"/>
        <v>10.396262355646261</v>
      </c>
      <c r="CC198" s="56">
        <f t="shared" ca="1" si="381"/>
        <v>10.240616733110681</v>
      </c>
      <c r="CD198" s="56">
        <f t="shared" ca="1" si="382"/>
        <v>10.105045592732822</v>
      </c>
      <c r="CE198" s="56">
        <f t="shared" ca="1" si="383"/>
        <v>9.9898382501583889</v>
      </c>
      <c r="CF198" s="56">
        <f t="shared" ca="1" si="384"/>
        <v>9.8952405636623411</v>
      </c>
      <c r="CG198" s="56">
        <f t="shared" ca="1" si="385"/>
        <v>9.8214544094749385</v>
      </c>
      <c r="CH198" s="56">
        <f t="shared" ca="1" si="386"/>
        <v>9.7686372509676858</v>
      </c>
      <c r="CI198" s="56">
        <f t="shared" ca="1" si="387"/>
        <v>9.7369018026185685</v>
      </c>
      <c r="CJ198" s="56">
        <f t="shared" ca="1" si="388"/>
        <v>9.7263157894736842</v>
      </c>
      <c r="CK198" s="56">
        <f t="shared" ca="1" si="389"/>
        <v>9.7263157894736842</v>
      </c>
      <c r="CL198" s="56">
        <f t="shared" ca="1" si="390"/>
        <v>9.7263157894736842</v>
      </c>
      <c r="CM198" s="56">
        <f t="shared" ca="1" si="391"/>
        <v>9.7263157894736842</v>
      </c>
      <c r="CN198" s="56">
        <f t="shared" ca="1" si="392"/>
        <v>9.7263157894736842</v>
      </c>
      <c r="CO198" s="56">
        <f t="shared" ca="1" si="393"/>
        <v>9.7263157894736842</v>
      </c>
      <c r="CP198" s="56">
        <f t="shared" ca="1" si="394"/>
        <v>9.7263157894736842</v>
      </c>
      <c r="CQ198" s="56">
        <f t="shared" ca="1" si="395"/>
        <v>9.7263157894736842</v>
      </c>
      <c r="CR198" s="56">
        <f t="shared" ca="1" si="396"/>
        <v>9.7263157894736842</v>
      </c>
      <c r="CS198" s="56">
        <f t="shared" ca="1" si="397"/>
        <v>9.7263157894736842</v>
      </c>
      <c r="CT198" s="56">
        <f t="shared" ca="1" si="398"/>
        <v>9.7263157894736842</v>
      </c>
      <c r="CU198" s="56">
        <f t="shared" ca="1" si="399"/>
        <v>9.7263157894736842</v>
      </c>
      <c r="CV198" s="56">
        <f t="shared" ca="1" si="400"/>
        <v>9.7263157894736842</v>
      </c>
      <c r="CW198" s="56">
        <f t="shared" ca="1" si="401"/>
        <v>9.7263157894736842</v>
      </c>
      <c r="CX198" s="56">
        <f t="shared" ca="1" si="402"/>
        <v>9.7263157894736842</v>
      </c>
      <c r="CY198" s="56">
        <f t="shared" ca="1" si="403"/>
        <v>9.7263157894736842</v>
      </c>
      <c r="CZ198" s="56">
        <f t="shared" ca="1" si="404"/>
        <v>9.7263157894736842</v>
      </c>
      <c r="DA198" s="56">
        <f t="shared" ca="1" si="405"/>
        <v>9.7263157894736842</v>
      </c>
      <c r="DB198" s="56">
        <f t="shared" ca="1" si="406"/>
        <v>9.7263157894736842</v>
      </c>
      <c r="DC198" s="56">
        <f t="shared" ca="1" si="407"/>
        <v>9.7263157894736842</v>
      </c>
      <c r="DD198" s="56">
        <f t="shared" ca="1" si="408"/>
        <v>9.7263157894736842</v>
      </c>
      <c r="DE198" s="56">
        <f t="shared" ca="1" si="409"/>
        <v>9.7263157894736842</v>
      </c>
      <c r="DF198" s="56">
        <f t="shared" ca="1" si="410"/>
        <v>9.7263157894736842</v>
      </c>
      <c r="DG198" s="56">
        <f t="shared" ca="1" si="411"/>
        <v>9.7263157894736842</v>
      </c>
      <c r="DH198" s="56">
        <f t="shared" ca="1" si="412"/>
        <v>9.7263157894736842</v>
      </c>
      <c r="DI198" s="56">
        <f t="shared" ca="1" si="413"/>
        <v>9.7263157894736842</v>
      </c>
      <c r="DJ198" s="56">
        <f t="shared" ca="1" si="414"/>
        <v>9.7263157894736842</v>
      </c>
      <c r="DK198" s="56">
        <f t="shared" ca="1" si="415"/>
        <v>9.7263157894736842</v>
      </c>
      <c r="DL198" s="56">
        <f t="shared" ca="1" si="416"/>
        <v>9.7263157894736842</v>
      </c>
      <c r="DM198" s="56">
        <f t="shared" ca="1" si="417"/>
        <v>9.7263157894736842</v>
      </c>
      <c r="DN198" s="56">
        <f t="shared" ca="1" si="418"/>
        <v>9.7263157894736842</v>
      </c>
      <c r="DO198" s="56">
        <f t="shared" ca="1" si="419"/>
        <v>9.7263157894736842</v>
      </c>
      <c r="DP198" s="56">
        <f t="shared" ca="1" si="420"/>
        <v>9.7263157894736842</v>
      </c>
      <c r="DQ198" s="56">
        <f t="shared" si="421"/>
        <v>0</v>
      </c>
      <c r="DR198" s="56">
        <f t="shared" si="422"/>
        <v>0</v>
      </c>
      <c r="DS198" s="56">
        <f t="shared" si="423"/>
        <v>0</v>
      </c>
      <c r="DT198" s="56">
        <f t="shared" si="424"/>
        <v>0</v>
      </c>
      <c r="DU198" s="56">
        <f t="shared" si="425"/>
        <v>0</v>
      </c>
      <c r="DV198" s="56">
        <f t="shared" si="426"/>
        <v>0</v>
      </c>
      <c r="DW198" s="56">
        <f t="shared" si="427"/>
        <v>0</v>
      </c>
      <c r="DX198" s="56">
        <f t="shared" si="428"/>
        <v>0</v>
      </c>
      <c r="DY198" s="56">
        <f t="shared" si="429"/>
        <v>0</v>
      </c>
      <c r="DZ198" s="56">
        <f t="shared" si="430"/>
        <v>0</v>
      </c>
      <c r="EA198" s="56">
        <f t="shared" si="431"/>
        <v>0</v>
      </c>
      <c r="EB198" s="56">
        <f t="shared" si="432"/>
        <v>0</v>
      </c>
      <c r="EC198" s="56">
        <f t="shared" si="433"/>
        <v>0</v>
      </c>
      <c r="ED198" s="56">
        <f t="shared" si="434"/>
        <v>0</v>
      </c>
      <c r="EE198" s="56">
        <f t="shared" si="435"/>
        <v>0</v>
      </c>
      <c r="EF198" s="56">
        <f t="shared" si="436"/>
        <v>0</v>
      </c>
      <c r="EG198" s="56">
        <f t="shared" si="437"/>
        <v>0</v>
      </c>
      <c r="EH198" s="56">
        <f t="shared" si="438"/>
        <v>0</v>
      </c>
      <c r="EI198" s="56">
        <f t="shared" si="439"/>
        <v>0</v>
      </c>
      <c r="EJ198" s="56">
        <f t="shared" si="440"/>
        <v>0</v>
      </c>
      <c r="EK198" s="56">
        <f t="shared" si="441"/>
        <v>0</v>
      </c>
      <c r="EL198" s="56">
        <f t="shared" si="442"/>
        <v>0</v>
      </c>
      <c r="EM198" s="56">
        <f t="shared" si="443"/>
        <v>0</v>
      </c>
      <c r="EN198" s="56">
        <f t="shared" si="444"/>
        <v>0</v>
      </c>
      <c r="EO198" s="56">
        <f t="shared" si="445"/>
        <v>0</v>
      </c>
      <c r="EP198" s="56">
        <f t="shared" si="446"/>
        <v>0</v>
      </c>
      <c r="EQ198" s="56">
        <f t="shared" si="447"/>
        <v>0</v>
      </c>
      <c r="ER198" s="56">
        <f t="shared" si="448"/>
        <v>0</v>
      </c>
      <c r="ES198" s="56">
        <f t="shared" si="449"/>
        <v>0</v>
      </c>
      <c r="ET198" s="56">
        <f t="shared" si="450"/>
        <v>0</v>
      </c>
      <c r="EU198" s="56">
        <f t="shared" si="451"/>
        <v>0</v>
      </c>
      <c r="EV198" s="56">
        <f t="shared" si="452"/>
        <v>0</v>
      </c>
      <c r="EW198" s="56">
        <f t="shared" si="453"/>
        <v>0</v>
      </c>
      <c r="EX198" s="56">
        <f t="shared" si="454"/>
        <v>0</v>
      </c>
      <c r="EY198" s="56">
        <f t="shared" si="455"/>
        <v>0</v>
      </c>
      <c r="EZ198" s="56">
        <f t="shared" si="456"/>
        <v>0</v>
      </c>
      <c r="FA198" s="56">
        <f t="shared" si="457"/>
        <v>0</v>
      </c>
      <c r="FB198" s="56">
        <f t="shared" si="458"/>
        <v>0</v>
      </c>
      <c r="FC198" s="56">
        <f t="shared" si="459"/>
        <v>0</v>
      </c>
      <c r="FD198" s="56">
        <f t="shared" si="460"/>
        <v>0</v>
      </c>
      <c r="FE198" s="56">
        <f t="shared" si="461"/>
        <v>0</v>
      </c>
      <c r="FF198" s="56">
        <f t="shared" si="462"/>
        <v>0</v>
      </c>
      <c r="FG198" s="56">
        <f t="shared" si="463"/>
        <v>0</v>
      </c>
      <c r="FH198" s="56">
        <f t="shared" si="464"/>
        <v>0</v>
      </c>
      <c r="FI198" s="56">
        <f t="shared" si="465"/>
        <v>0</v>
      </c>
      <c r="FJ198" s="56">
        <f t="shared" si="466"/>
        <v>0</v>
      </c>
      <c r="FK198" s="56">
        <f t="shared" si="467"/>
        <v>0</v>
      </c>
      <c r="FL198" s="56">
        <f t="shared" si="468"/>
        <v>0</v>
      </c>
      <c r="FM198" s="56">
        <f t="shared" si="469"/>
        <v>0</v>
      </c>
      <c r="FN198" s="56">
        <f t="shared" si="470"/>
        <v>0</v>
      </c>
      <c r="FO198" s="56">
        <f t="shared" si="471"/>
        <v>0</v>
      </c>
      <c r="FP198" s="56">
        <f t="shared" si="472"/>
        <v>0</v>
      </c>
      <c r="FQ198" s="56">
        <f t="shared" si="473"/>
        <v>0</v>
      </c>
      <c r="FR198" s="56">
        <f t="shared" si="474"/>
        <v>0</v>
      </c>
      <c r="FS198" s="56">
        <f t="shared" si="475"/>
        <v>0</v>
      </c>
      <c r="FT198" s="56">
        <f t="shared" si="476"/>
        <v>0</v>
      </c>
      <c r="FU198" s="56">
        <f t="shared" si="477"/>
        <v>0</v>
      </c>
      <c r="FV198" s="56">
        <f t="shared" si="478"/>
        <v>0</v>
      </c>
      <c r="FW198" s="56">
        <f t="shared" si="479"/>
        <v>0</v>
      </c>
      <c r="FX198" s="56">
        <f t="shared" si="480"/>
        <v>0</v>
      </c>
      <c r="FY198" s="56">
        <f t="shared" si="481"/>
        <v>0</v>
      </c>
      <c r="FZ198" s="56">
        <f t="shared" si="482"/>
        <v>0</v>
      </c>
      <c r="GA198" s="56">
        <f t="shared" si="483"/>
        <v>0</v>
      </c>
      <c r="GB198" s="56">
        <f t="shared" si="484"/>
        <v>0</v>
      </c>
      <c r="GC198" s="56">
        <f t="shared" si="485"/>
        <v>0</v>
      </c>
      <c r="GD198" s="56">
        <f t="shared" si="486"/>
        <v>0</v>
      </c>
      <c r="GE198" s="56">
        <f t="shared" si="487"/>
        <v>0</v>
      </c>
      <c r="GF198" s="56">
        <f t="shared" si="488"/>
        <v>0</v>
      </c>
      <c r="GG198" s="56">
        <f t="shared" si="489"/>
        <v>0</v>
      </c>
      <c r="GH198" s="56">
        <f t="shared" si="490"/>
        <v>0</v>
      </c>
      <c r="GI198" s="56">
        <f t="shared" si="491"/>
        <v>0</v>
      </c>
      <c r="GJ198" s="56">
        <f t="shared" si="492"/>
        <v>0</v>
      </c>
      <c r="GK198" s="56">
        <f t="shared" si="493"/>
        <v>0</v>
      </c>
      <c r="GL198" s="56">
        <f t="shared" si="494"/>
        <v>0</v>
      </c>
      <c r="GM198" s="56">
        <f t="shared" si="495"/>
        <v>0</v>
      </c>
      <c r="GN198" s="56">
        <f t="shared" si="496"/>
        <v>0</v>
      </c>
      <c r="GO198" s="56">
        <f t="shared" si="497"/>
        <v>0</v>
      </c>
      <c r="GP198" s="56">
        <f t="shared" si="498"/>
        <v>0</v>
      </c>
    </row>
    <row r="199" spans="1:198" x14ac:dyDescent="0.35">
      <c r="A199" s="55" t="str">
        <f t="shared" si="304"/>
        <v>Available now &gt; TriNet</v>
      </c>
      <c r="B199" s="55" t="s">
        <v>297</v>
      </c>
      <c r="K199" s="56">
        <f t="shared" ca="1" si="311"/>
        <v>29.568421052631574</v>
      </c>
      <c r="L199" s="56">
        <f t="shared" ca="1" si="312"/>
        <v>29.568421052631574</v>
      </c>
      <c r="M199" s="56">
        <f t="shared" ca="1" si="313"/>
        <v>29.568421052631574</v>
      </c>
      <c r="N199" s="56">
        <f t="shared" ca="1" si="314"/>
        <v>29.568421052631574</v>
      </c>
      <c r="O199" s="56">
        <f t="shared" ca="1" si="315"/>
        <v>29.568421052631574</v>
      </c>
      <c r="P199" s="56">
        <f t="shared" ca="1" si="316"/>
        <v>29.568421052631574</v>
      </c>
      <c r="Q199" s="56">
        <f t="shared" ca="1" si="317"/>
        <v>29.568421052631574</v>
      </c>
      <c r="R199" s="56">
        <f t="shared" ca="1" si="318"/>
        <v>29.568421052631574</v>
      </c>
      <c r="S199" s="56">
        <f t="shared" ca="1" si="319"/>
        <v>29.568421052631574</v>
      </c>
      <c r="T199" s="56">
        <f t="shared" ca="1" si="320"/>
        <v>29.568421052631574</v>
      </c>
      <c r="U199" s="56">
        <f t="shared" ca="1" si="321"/>
        <v>29.55783503948669</v>
      </c>
      <c r="V199" s="56">
        <f t="shared" ca="1" si="322"/>
        <v>29.526099591137573</v>
      </c>
      <c r="W199" s="56">
        <f t="shared" ca="1" si="323"/>
        <v>29.47328243263032</v>
      </c>
      <c r="X199" s="56">
        <f t="shared" ca="1" si="324"/>
        <v>29.399496278442918</v>
      </c>
      <c r="Y199" s="56">
        <f t="shared" ca="1" si="325"/>
        <v>29.30489859194687</v>
      </c>
      <c r="Z199" s="56">
        <f t="shared" ca="1" si="326"/>
        <v>29.189691249372437</v>
      </c>
      <c r="AA199" s="56">
        <f t="shared" ca="1" si="327"/>
        <v>29.054120108994578</v>
      </c>
      <c r="AB199" s="56">
        <f t="shared" ca="1" si="328"/>
        <v>28.898474486458998</v>
      </c>
      <c r="AC199" s="56">
        <f t="shared" ca="1" si="329"/>
        <v>28.723086537367994</v>
      </c>
      <c r="AD199" s="56">
        <f t="shared" ca="1" si="330"/>
        <v>28.528330548443641</v>
      </c>
      <c r="AE199" s="56">
        <f t="shared" ca="1" si="331"/>
        <v>28.314622138781083</v>
      </c>
      <c r="AF199" s="56">
        <f t="shared" ca="1" si="332"/>
        <v>28.082417372896433</v>
      </c>
      <c r="AG199" s="56">
        <f t="shared" ca="1" si="333"/>
        <v>27.8322117874621</v>
      </c>
      <c r="AH199" s="56">
        <f t="shared" ca="1" si="334"/>
        <v>27.564539333806582</v>
      </c>
      <c r="AI199" s="56">
        <f t="shared" ca="1" si="335"/>
        <v>27.279971238435401</v>
      </c>
      <c r="AJ199" s="56">
        <f t="shared" ca="1" si="336"/>
        <v>26.979114784004956</v>
      </c>
      <c r="AK199" s="56">
        <f t="shared" ca="1" si="337"/>
        <v>26.662612013350746</v>
      </c>
      <c r="AL199" s="56">
        <f t="shared" ca="1" si="338"/>
        <v>26.331138359335576</v>
      </c>
      <c r="AM199" s="56">
        <f t="shared" ca="1" si="339"/>
        <v>25.985401203441825</v>
      </c>
      <c r="AN199" s="56">
        <f t="shared" ca="1" si="340"/>
        <v>25.626138366183671</v>
      </c>
      <c r="AO199" s="56">
        <f t="shared" ca="1" si="341"/>
        <v>25.254116532560975</v>
      </c>
      <c r="AP199" s="56">
        <f t="shared" ca="1" si="342"/>
        <v>24.870129615914816</v>
      </c>
      <c r="AQ199" s="56">
        <f t="shared" ca="1" si="343"/>
        <v>24.47499706367644</v>
      </c>
      <c r="AR199" s="56">
        <f t="shared" ca="1" si="344"/>
        <v>24.069562108625128</v>
      </c>
      <c r="AS199" s="56">
        <f t="shared" ca="1" si="345"/>
        <v>23.654689969386954</v>
      </c>
      <c r="AT199" s="56">
        <f t="shared" ca="1" si="346"/>
        <v>23.231266004014646</v>
      </c>
      <c r="AU199" s="56">
        <f t="shared" ca="1" si="347"/>
        <v>22.800193820588863</v>
      </c>
      <c r="AV199" s="56">
        <f t="shared" ca="1" si="348"/>
        <v>22.362393348873031</v>
      </c>
      <c r="AW199" s="56">
        <f t="shared" ca="1" si="349"/>
        <v>21.918798877136854</v>
      </c>
      <c r="AX199" s="56">
        <f t="shared" ca="1" si="350"/>
        <v>21.470357058338081</v>
      </c>
      <c r="AY199" s="56">
        <f t="shared" ca="1" si="351"/>
        <v>21.018024889917356</v>
      </c>
      <c r="AZ199" s="56">
        <f t="shared" ca="1" si="352"/>
        <v>20.562767671517491</v>
      </c>
      <c r="BA199" s="56">
        <f t="shared" ca="1" si="353"/>
        <v>20.105556944985363</v>
      </c>
      <c r="BB199" s="56">
        <f t="shared" ca="1" si="354"/>
        <v>19.647368421052633</v>
      </c>
      <c r="BC199" s="56">
        <f t="shared" ca="1" si="355"/>
        <v>19.189179897119899</v>
      </c>
      <c r="BD199" s="56">
        <f t="shared" ca="1" si="356"/>
        <v>18.731969170587767</v>
      </c>
      <c r="BE199" s="56">
        <f t="shared" ca="1" si="357"/>
        <v>18.276711952187902</v>
      </c>
      <c r="BF199" s="56">
        <f t="shared" ca="1" si="358"/>
        <v>17.824379783767181</v>
      </c>
      <c r="BG199" s="56">
        <f t="shared" ca="1" si="359"/>
        <v>17.375937964968408</v>
      </c>
      <c r="BH199" s="56">
        <f t="shared" ca="1" si="360"/>
        <v>16.932343493232228</v>
      </c>
      <c r="BI199" s="56">
        <f t="shared" ca="1" si="361"/>
        <v>16.494543021516396</v>
      </c>
      <c r="BJ199" s="56">
        <f t="shared" ca="1" si="362"/>
        <v>16.063470838090613</v>
      </c>
      <c r="BK199" s="56">
        <f t="shared" ca="1" si="363"/>
        <v>15.640046872718305</v>
      </c>
      <c r="BL199" s="56">
        <f t="shared" ca="1" si="364"/>
        <v>15.225174733480133</v>
      </c>
      <c r="BM199" s="56">
        <f t="shared" ca="1" si="365"/>
        <v>14.81973977842882</v>
      </c>
      <c r="BN199" s="56">
        <f t="shared" ca="1" si="366"/>
        <v>14.424607226190442</v>
      </c>
      <c r="BO199" s="56">
        <f t="shared" ca="1" si="367"/>
        <v>14.040620309544284</v>
      </c>
      <c r="BP199" s="56">
        <f t="shared" ca="1" si="368"/>
        <v>13.668598475921588</v>
      </c>
      <c r="BQ199" s="56">
        <f t="shared" ca="1" si="369"/>
        <v>13.309335638663438</v>
      </c>
      <c r="BR199" s="56">
        <f t="shared" ca="1" si="370"/>
        <v>12.96359848276968</v>
      </c>
      <c r="BS199" s="56">
        <f t="shared" ca="1" si="371"/>
        <v>12.632124828754517</v>
      </c>
      <c r="BT199" s="56">
        <f t="shared" ca="1" si="372"/>
        <v>12.315622058100303</v>
      </c>
      <c r="BU199" s="56">
        <f t="shared" ca="1" si="373"/>
        <v>12.014765603669858</v>
      </c>
      <c r="BV199" s="56">
        <f t="shared" ca="1" si="374"/>
        <v>11.730197508298676</v>
      </c>
      <c r="BW199" s="56">
        <f t="shared" ca="1" si="375"/>
        <v>11.462525054643159</v>
      </c>
      <c r="BX199" s="56">
        <f t="shared" ca="1" si="376"/>
        <v>11.212319469208829</v>
      </c>
      <c r="BY199" s="56">
        <f t="shared" ca="1" si="377"/>
        <v>10.980114703324176</v>
      </c>
      <c r="BZ199" s="56">
        <f t="shared" ca="1" si="378"/>
        <v>10.766406293661618</v>
      </c>
      <c r="CA199" s="56">
        <f t="shared" ca="1" si="379"/>
        <v>10.571650304737265</v>
      </c>
      <c r="CB199" s="56">
        <f t="shared" ca="1" si="380"/>
        <v>10.396262355646261</v>
      </c>
      <c r="CC199" s="56">
        <f t="shared" ca="1" si="381"/>
        <v>10.240616733110681</v>
      </c>
      <c r="CD199" s="56">
        <f t="shared" ca="1" si="382"/>
        <v>10.105045592732822</v>
      </c>
      <c r="CE199" s="56">
        <f t="shared" ca="1" si="383"/>
        <v>9.9898382501583889</v>
      </c>
      <c r="CF199" s="56">
        <f t="shared" ca="1" si="384"/>
        <v>9.8952405636623411</v>
      </c>
      <c r="CG199" s="56">
        <f t="shared" ca="1" si="385"/>
        <v>9.8214544094749385</v>
      </c>
      <c r="CH199" s="56">
        <f t="shared" ca="1" si="386"/>
        <v>9.7686372509676858</v>
      </c>
      <c r="CI199" s="56">
        <f t="shared" ca="1" si="387"/>
        <v>9.7369018026185685</v>
      </c>
      <c r="CJ199" s="56">
        <f t="shared" ca="1" si="388"/>
        <v>9.7263157894736842</v>
      </c>
      <c r="CK199" s="56">
        <f t="shared" ca="1" si="389"/>
        <v>9.7263157894736842</v>
      </c>
      <c r="CL199" s="56">
        <f t="shared" ca="1" si="390"/>
        <v>9.7263157894736842</v>
      </c>
      <c r="CM199" s="56">
        <f t="shared" ca="1" si="391"/>
        <v>9.7263157894736842</v>
      </c>
      <c r="CN199" s="56">
        <f t="shared" ca="1" si="392"/>
        <v>9.7263157894736842</v>
      </c>
      <c r="CO199" s="56">
        <f t="shared" ca="1" si="393"/>
        <v>9.7263157894736842</v>
      </c>
      <c r="CP199" s="56">
        <f t="shared" ca="1" si="394"/>
        <v>9.7263157894736842</v>
      </c>
      <c r="CQ199" s="56">
        <f t="shared" ca="1" si="395"/>
        <v>9.7263157894736842</v>
      </c>
      <c r="CR199" s="56">
        <f t="shared" ca="1" si="396"/>
        <v>9.7263157894736842</v>
      </c>
      <c r="CS199" s="56">
        <f t="shared" ca="1" si="397"/>
        <v>9.7263157894736842</v>
      </c>
      <c r="CT199" s="56">
        <f t="shared" ca="1" si="398"/>
        <v>9.7263157894736842</v>
      </c>
      <c r="CU199" s="56">
        <f t="shared" ca="1" si="399"/>
        <v>9.7263157894736842</v>
      </c>
      <c r="CV199" s="56">
        <f t="shared" ca="1" si="400"/>
        <v>9.7263157894736842</v>
      </c>
      <c r="CW199" s="56">
        <f t="shared" ca="1" si="401"/>
        <v>9.7263157894736842</v>
      </c>
      <c r="CX199" s="56">
        <f t="shared" ca="1" si="402"/>
        <v>9.7263157894736842</v>
      </c>
      <c r="CY199" s="56">
        <f t="shared" ca="1" si="403"/>
        <v>9.7263157894736842</v>
      </c>
      <c r="CZ199" s="56">
        <f t="shared" ca="1" si="404"/>
        <v>9.7263157894736842</v>
      </c>
      <c r="DA199" s="56">
        <f t="shared" ca="1" si="405"/>
        <v>9.7263157894736842</v>
      </c>
      <c r="DB199" s="56">
        <f t="shared" ca="1" si="406"/>
        <v>9.7263157894736842</v>
      </c>
      <c r="DC199" s="56">
        <f t="shared" ca="1" si="407"/>
        <v>9.7263157894736842</v>
      </c>
      <c r="DD199" s="56">
        <f t="shared" ca="1" si="408"/>
        <v>9.7263157894736842</v>
      </c>
      <c r="DE199" s="56">
        <f t="shared" ca="1" si="409"/>
        <v>9.7263157894736842</v>
      </c>
      <c r="DF199" s="56">
        <f t="shared" ca="1" si="410"/>
        <v>9.7263157894736842</v>
      </c>
      <c r="DG199" s="56">
        <f t="shared" ca="1" si="411"/>
        <v>9.7263157894736842</v>
      </c>
      <c r="DH199" s="56">
        <f t="shared" ca="1" si="412"/>
        <v>9.7263157894736842</v>
      </c>
      <c r="DI199" s="56">
        <f t="shared" ca="1" si="413"/>
        <v>9.7263157894736842</v>
      </c>
      <c r="DJ199" s="56">
        <f t="shared" ca="1" si="414"/>
        <v>9.7263157894736842</v>
      </c>
      <c r="DK199" s="56">
        <f t="shared" ca="1" si="415"/>
        <v>9.7263157894736842</v>
      </c>
      <c r="DL199" s="56">
        <f t="shared" ca="1" si="416"/>
        <v>9.7263157894736842</v>
      </c>
      <c r="DM199" s="56">
        <f t="shared" ca="1" si="417"/>
        <v>9.7263157894736842</v>
      </c>
      <c r="DN199" s="56">
        <f t="shared" ca="1" si="418"/>
        <v>9.7263157894736842</v>
      </c>
      <c r="DO199" s="56">
        <f t="shared" ca="1" si="419"/>
        <v>9.7263157894736842</v>
      </c>
      <c r="DP199" s="56">
        <f t="shared" ca="1" si="420"/>
        <v>9.7263157894736842</v>
      </c>
      <c r="DQ199" s="56">
        <f t="shared" ca="1" si="421"/>
        <v>3.2421052631578946</v>
      </c>
      <c r="DR199" s="56">
        <f t="shared" ca="1" si="422"/>
        <v>3.2421052631578946</v>
      </c>
      <c r="DS199" s="56">
        <f t="shared" ca="1" si="423"/>
        <v>3.2421052631578946</v>
      </c>
      <c r="DT199" s="56">
        <f t="shared" ca="1" si="424"/>
        <v>3.2421052631578946</v>
      </c>
      <c r="DU199" s="56">
        <f t="shared" ca="1" si="425"/>
        <v>3.2421052631578946</v>
      </c>
      <c r="DV199" s="56">
        <f t="shared" ca="1" si="426"/>
        <v>3.2421052631578946</v>
      </c>
      <c r="DW199" s="56">
        <f t="shared" ca="1" si="427"/>
        <v>3.2421052631578946</v>
      </c>
      <c r="DX199" s="56">
        <f t="shared" ca="1" si="428"/>
        <v>3.2421052631578946</v>
      </c>
      <c r="DY199" s="56">
        <f t="shared" ca="1" si="429"/>
        <v>3.2421052631578946</v>
      </c>
      <c r="DZ199" s="56">
        <f t="shared" ca="1" si="430"/>
        <v>3.2421052631578946</v>
      </c>
      <c r="EA199" s="56">
        <f t="shared" ca="1" si="431"/>
        <v>3.2421052631578946</v>
      </c>
      <c r="EB199" s="56">
        <f t="shared" ca="1" si="432"/>
        <v>3.2421052631578946</v>
      </c>
      <c r="EC199" s="56">
        <f t="shared" ca="1" si="433"/>
        <v>3.2421052631578946</v>
      </c>
      <c r="ED199" s="56">
        <f t="shared" ca="1" si="434"/>
        <v>3.2421052631578946</v>
      </c>
      <c r="EE199" s="56">
        <f t="shared" ca="1" si="435"/>
        <v>3.2421052631578946</v>
      </c>
      <c r="EF199" s="56">
        <f t="shared" ca="1" si="436"/>
        <v>3.2421052631578946</v>
      </c>
      <c r="EG199" s="56">
        <f t="shared" ca="1" si="437"/>
        <v>3.2421052631578946</v>
      </c>
      <c r="EH199" s="56">
        <f t="shared" ca="1" si="438"/>
        <v>3.2421052631578946</v>
      </c>
      <c r="EI199" s="56">
        <f t="shared" ca="1" si="439"/>
        <v>3.2421052631578946</v>
      </c>
      <c r="EJ199" s="56">
        <f t="shared" ca="1" si="440"/>
        <v>3.2421052631578946</v>
      </c>
      <c r="EK199" s="56">
        <f t="shared" ca="1" si="441"/>
        <v>3.2421052631578946</v>
      </c>
      <c r="EL199" s="56">
        <f t="shared" ca="1" si="442"/>
        <v>3.2421052631578946</v>
      </c>
      <c r="EM199" s="56">
        <f t="shared" ca="1" si="443"/>
        <v>3.2421052631578946</v>
      </c>
      <c r="EN199" s="56">
        <f t="shared" ca="1" si="444"/>
        <v>3.2421052631578946</v>
      </c>
      <c r="EO199" s="56">
        <f t="shared" ca="1" si="445"/>
        <v>3.2421052631578946</v>
      </c>
      <c r="EP199" s="56">
        <f t="shared" ca="1" si="446"/>
        <v>3.2421052631578946</v>
      </c>
      <c r="EQ199" s="56">
        <f t="shared" ca="1" si="447"/>
        <v>3.2421052631578946</v>
      </c>
      <c r="ER199" s="56">
        <f t="shared" ca="1" si="448"/>
        <v>3.2421052631578946</v>
      </c>
      <c r="ES199" s="56">
        <f t="shared" ca="1" si="449"/>
        <v>3.2421052631578946</v>
      </c>
      <c r="ET199" s="56">
        <f t="shared" ca="1" si="450"/>
        <v>3.2421052631578946</v>
      </c>
      <c r="EU199" s="56">
        <f t="shared" ca="1" si="451"/>
        <v>3.2421052631578946</v>
      </c>
      <c r="EV199" s="56">
        <f t="shared" ca="1" si="452"/>
        <v>3.2421052631578946</v>
      </c>
      <c r="EW199" s="56">
        <f t="shared" ca="1" si="453"/>
        <v>3.2421052631578946</v>
      </c>
      <c r="EX199" s="56">
        <f t="shared" ca="1" si="454"/>
        <v>3.2421052631578946</v>
      </c>
      <c r="EY199" s="56">
        <f t="shared" ca="1" si="455"/>
        <v>3.2421052631578946</v>
      </c>
      <c r="EZ199" s="56">
        <f t="shared" ca="1" si="456"/>
        <v>3.2421052631578946</v>
      </c>
      <c r="FA199" s="56">
        <f t="shared" ca="1" si="457"/>
        <v>3.2421052631578946</v>
      </c>
      <c r="FB199" s="56">
        <f t="shared" ca="1" si="458"/>
        <v>3.2421052631578946</v>
      </c>
      <c r="FC199" s="56">
        <f t="shared" ca="1" si="459"/>
        <v>3.2421052631578946</v>
      </c>
      <c r="FD199" s="56">
        <f t="shared" ca="1" si="460"/>
        <v>3.2421052631578946</v>
      </c>
      <c r="FE199" s="56">
        <f t="shared" ca="1" si="461"/>
        <v>3.2421052631578946</v>
      </c>
      <c r="FF199" s="56">
        <f t="shared" ca="1" si="462"/>
        <v>3.2421052631578946</v>
      </c>
      <c r="FG199" s="56">
        <f t="shared" ca="1" si="463"/>
        <v>3.2421052631578946</v>
      </c>
      <c r="FH199" s="56">
        <f t="shared" ca="1" si="464"/>
        <v>3.2421052631578946</v>
      </c>
      <c r="FI199" s="56">
        <f t="shared" ca="1" si="465"/>
        <v>3.2421052631578946</v>
      </c>
      <c r="FJ199" s="56">
        <f t="shared" ca="1" si="466"/>
        <v>3.2421052631578946</v>
      </c>
      <c r="FK199" s="56">
        <f t="shared" ca="1" si="467"/>
        <v>3.2421052631578946</v>
      </c>
      <c r="FL199" s="56">
        <f t="shared" ca="1" si="468"/>
        <v>3.2421052631578946</v>
      </c>
      <c r="FM199" s="56">
        <f t="shared" ca="1" si="469"/>
        <v>3.2421052631578946</v>
      </c>
      <c r="FN199" s="56">
        <f t="shared" ca="1" si="470"/>
        <v>3.2421052631578946</v>
      </c>
      <c r="FO199" s="56">
        <f t="shared" ca="1" si="471"/>
        <v>3.2421052631578946</v>
      </c>
      <c r="FP199" s="56">
        <f t="shared" ca="1" si="472"/>
        <v>3.2421052631578946</v>
      </c>
      <c r="FQ199" s="56">
        <f t="shared" ca="1" si="473"/>
        <v>3.2421052631578946</v>
      </c>
      <c r="FR199" s="56">
        <f t="shared" ca="1" si="474"/>
        <v>3.2421052631578946</v>
      </c>
      <c r="FS199" s="56">
        <f t="shared" ca="1" si="475"/>
        <v>3.2421052631578946</v>
      </c>
      <c r="FT199" s="56">
        <f t="shared" ca="1" si="476"/>
        <v>3.2421052631578946</v>
      </c>
      <c r="FU199" s="56">
        <f t="shared" ca="1" si="477"/>
        <v>3.2421052631578946</v>
      </c>
      <c r="FV199" s="56">
        <f t="shared" ca="1" si="478"/>
        <v>3.2421052631578946</v>
      </c>
      <c r="FW199" s="56">
        <f t="shared" ca="1" si="479"/>
        <v>3.2421052631578946</v>
      </c>
      <c r="FX199" s="56">
        <f t="shared" ca="1" si="480"/>
        <v>3.2421052631578946</v>
      </c>
      <c r="FY199" s="56">
        <f t="shared" ca="1" si="481"/>
        <v>3.2421052631578946</v>
      </c>
      <c r="FZ199" s="56">
        <f t="shared" ca="1" si="482"/>
        <v>3.2421052631578946</v>
      </c>
      <c r="GA199" s="56">
        <f t="shared" ca="1" si="483"/>
        <v>3.2421052631578946</v>
      </c>
      <c r="GB199" s="56">
        <f t="shared" ca="1" si="484"/>
        <v>3.2421052631578946</v>
      </c>
      <c r="GC199" s="56">
        <f t="shared" ca="1" si="485"/>
        <v>3.2421052631578946</v>
      </c>
      <c r="GD199" s="56">
        <f t="shared" ca="1" si="486"/>
        <v>3.2421052631578946</v>
      </c>
      <c r="GE199" s="56">
        <f t="shared" ca="1" si="487"/>
        <v>3.2421052631578946</v>
      </c>
      <c r="GF199" s="56">
        <f t="shared" ca="1" si="488"/>
        <v>3.2421052631578946</v>
      </c>
      <c r="GG199" s="56">
        <f t="shared" ca="1" si="489"/>
        <v>3.2421052631578946</v>
      </c>
      <c r="GH199" s="56">
        <f t="shared" ca="1" si="490"/>
        <v>3.2421052631578946</v>
      </c>
      <c r="GI199" s="56">
        <f t="shared" ca="1" si="491"/>
        <v>3.2421052631578946</v>
      </c>
      <c r="GJ199" s="56">
        <f t="shared" ca="1" si="492"/>
        <v>3.2421052631578946</v>
      </c>
      <c r="GK199" s="56">
        <f t="shared" ca="1" si="493"/>
        <v>3.2421052631578946</v>
      </c>
      <c r="GL199" s="56">
        <f t="shared" ca="1" si="494"/>
        <v>3.2421052631578946</v>
      </c>
      <c r="GM199" s="56">
        <f t="shared" ca="1" si="495"/>
        <v>3.2421052631578946</v>
      </c>
      <c r="GN199" s="56">
        <f t="shared" ca="1" si="496"/>
        <v>3.2421052631578946</v>
      </c>
      <c r="GO199" s="56">
        <f t="shared" ca="1" si="497"/>
        <v>3.2421052631578946</v>
      </c>
      <c r="GP199" s="56">
        <f t="shared" ca="1" si="498"/>
        <v>3.2421052631578946</v>
      </c>
    </row>
    <row r="200" spans="1:198" x14ac:dyDescent="0.35">
      <c r="A200" s="55" t="str">
        <f t="shared" si="304"/>
        <v>Available now &gt; PMI</v>
      </c>
      <c r="B200" s="55" t="s">
        <v>297</v>
      </c>
      <c r="K200" s="56">
        <f t="shared" ca="1" si="311"/>
        <v>29.568421052631574</v>
      </c>
      <c r="L200" s="56">
        <f t="shared" ca="1" si="312"/>
        <v>29.568421052631574</v>
      </c>
      <c r="M200" s="56">
        <f t="shared" ca="1" si="313"/>
        <v>29.568421052631574</v>
      </c>
      <c r="N200" s="56">
        <f t="shared" ca="1" si="314"/>
        <v>29.568421052631574</v>
      </c>
      <c r="O200" s="56">
        <f t="shared" ca="1" si="315"/>
        <v>29.568421052631574</v>
      </c>
      <c r="P200" s="56">
        <f t="shared" ca="1" si="316"/>
        <v>29.568421052631574</v>
      </c>
      <c r="Q200" s="56">
        <f t="shared" ca="1" si="317"/>
        <v>29.568421052631574</v>
      </c>
      <c r="R200" s="56">
        <f t="shared" ca="1" si="318"/>
        <v>29.568421052631574</v>
      </c>
      <c r="S200" s="56">
        <f t="shared" ca="1" si="319"/>
        <v>29.568421052631574</v>
      </c>
      <c r="T200" s="56">
        <f t="shared" ca="1" si="320"/>
        <v>29.568421052631574</v>
      </c>
      <c r="U200" s="56">
        <f t="shared" ca="1" si="321"/>
        <v>29.55783503948669</v>
      </c>
      <c r="V200" s="56">
        <f t="shared" ca="1" si="322"/>
        <v>29.526099591137573</v>
      </c>
      <c r="W200" s="56">
        <f t="shared" ca="1" si="323"/>
        <v>29.47328243263032</v>
      </c>
      <c r="X200" s="56">
        <f t="shared" ca="1" si="324"/>
        <v>29.399496278442918</v>
      </c>
      <c r="Y200" s="56">
        <f t="shared" ca="1" si="325"/>
        <v>29.30489859194687</v>
      </c>
      <c r="Z200" s="56">
        <f t="shared" ca="1" si="326"/>
        <v>29.189691249372437</v>
      </c>
      <c r="AA200" s="56">
        <f t="shared" ca="1" si="327"/>
        <v>29.054120108994578</v>
      </c>
      <c r="AB200" s="56">
        <f t="shared" ca="1" si="328"/>
        <v>28.898474486458998</v>
      </c>
      <c r="AC200" s="56">
        <f t="shared" ca="1" si="329"/>
        <v>28.723086537367994</v>
      </c>
      <c r="AD200" s="56">
        <f t="shared" ca="1" si="330"/>
        <v>28.528330548443641</v>
      </c>
      <c r="AE200" s="56">
        <f t="shared" ca="1" si="331"/>
        <v>28.314622138781083</v>
      </c>
      <c r="AF200" s="56">
        <f t="shared" ca="1" si="332"/>
        <v>28.082417372896433</v>
      </c>
      <c r="AG200" s="56">
        <f t="shared" ca="1" si="333"/>
        <v>27.8322117874621</v>
      </c>
      <c r="AH200" s="56">
        <f t="shared" ca="1" si="334"/>
        <v>27.564539333806582</v>
      </c>
      <c r="AI200" s="56">
        <f t="shared" ca="1" si="335"/>
        <v>27.279971238435401</v>
      </c>
      <c r="AJ200" s="56">
        <f t="shared" ca="1" si="336"/>
        <v>26.979114784004956</v>
      </c>
      <c r="AK200" s="56">
        <f t="shared" ca="1" si="337"/>
        <v>26.662612013350746</v>
      </c>
      <c r="AL200" s="56">
        <f t="shared" ca="1" si="338"/>
        <v>26.331138359335576</v>
      </c>
      <c r="AM200" s="56">
        <f t="shared" ca="1" si="339"/>
        <v>25.985401203441825</v>
      </c>
      <c r="AN200" s="56">
        <f t="shared" ca="1" si="340"/>
        <v>25.626138366183671</v>
      </c>
      <c r="AO200" s="56">
        <f t="shared" ca="1" si="341"/>
        <v>25.254116532560975</v>
      </c>
      <c r="AP200" s="56">
        <f t="shared" ca="1" si="342"/>
        <v>24.870129615914816</v>
      </c>
      <c r="AQ200" s="56">
        <f t="shared" ca="1" si="343"/>
        <v>24.47499706367644</v>
      </c>
      <c r="AR200" s="56">
        <f t="shared" ca="1" si="344"/>
        <v>24.069562108625128</v>
      </c>
      <c r="AS200" s="56">
        <f t="shared" ca="1" si="345"/>
        <v>23.654689969386954</v>
      </c>
      <c r="AT200" s="56">
        <f t="shared" ca="1" si="346"/>
        <v>23.231266004014646</v>
      </c>
      <c r="AU200" s="56">
        <f t="shared" ca="1" si="347"/>
        <v>22.800193820588863</v>
      </c>
      <c r="AV200" s="56">
        <f t="shared" ca="1" si="348"/>
        <v>22.362393348873031</v>
      </c>
      <c r="AW200" s="56">
        <f t="shared" ca="1" si="349"/>
        <v>21.918798877136854</v>
      </c>
      <c r="AX200" s="56">
        <f t="shared" ca="1" si="350"/>
        <v>21.470357058338081</v>
      </c>
      <c r="AY200" s="56">
        <f t="shared" ca="1" si="351"/>
        <v>21.018024889917356</v>
      </c>
      <c r="AZ200" s="56">
        <f t="shared" ca="1" si="352"/>
        <v>20.562767671517491</v>
      </c>
      <c r="BA200" s="56">
        <f t="shared" ca="1" si="353"/>
        <v>20.105556944985363</v>
      </c>
      <c r="BB200" s="56">
        <f t="shared" ca="1" si="354"/>
        <v>19.647368421052633</v>
      </c>
      <c r="BC200" s="56">
        <f t="shared" ca="1" si="355"/>
        <v>19.189179897119899</v>
      </c>
      <c r="BD200" s="56">
        <f t="shared" ca="1" si="356"/>
        <v>18.731969170587767</v>
      </c>
      <c r="BE200" s="56">
        <f t="shared" ca="1" si="357"/>
        <v>18.276711952187902</v>
      </c>
      <c r="BF200" s="56">
        <f t="shared" ca="1" si="358"/>
        <v>17.824379783767181</v>
      </c>
      <c r="BG200" s="56">
        <f t="shared" ca="1" si="359"/>
        <v>17.375937964968408</v>
      </c>
      <c r="BH200" s="56">
        <f t="shared" ca="1" si="360"/>
        <v>16.932343493232228</v>
      </c>
      <c r="BI200" s="56">
        <f t="shared" ca="1" si="361"/>
        <v>16.494543021516396</v>
      </c>
      <c r="BJ200" s="56">
        <f t="shared" ca="1" si="362"/>
        <v>16.063470838090613</v>
      </c>
      <c r="BK200" s="56">
        <f t="shared" ca="1" si="363"/>
        <v>15.640046872718305</v>
      </c>
      <c r="BL200" s="56">
        <f t="shared" ca="1" si="364"/>
        <v>15.225174733480133</v>
      </c>
      <c r="BM200" s="56">
        <f t="shared" ca="1" si="365"/>
        <v>14.81973977842882</v>
      </c>
      <c r="BN200" s="56">
        <f t="shared" ca="1" si="366"/>
        <v>14.424607226190442</v>
      </c>
      <c r="BO200" s="56">
        <f t="shared" ca="1" si="367"/>
        <v>14.040620309544284</v>
      </c>
      <c r="BP200" s="56">
        <f t="shared" ca="1" si="368"/>
        <v>13.668598475921588</v>
      </c>
      <c r="BQ200" s="56">
        <f t="shared" ca="1" si="369"/>
        <v>13.309335638663438</v>
      </c>
      <c r="BR200" s="56">
        <f t="shared" ca="1" si="370"/>
        <v>12.96359848276968</v>
      </c>
      <c r="BS200" s="56">
        <f t="shared" ca="1" si="371"/>
        <v>12.632124828754517</v>
      </c>
      <c r="BT200" s="56">
        <f t="shared" ca="1" si="372"/>
        <v>12.315622058100303</v>
      </c>
      <c r="BU200" s="56">
        <f t="shared" ca="1" si="373"/>
        <v>12.014765603669858</v>
      </c>
      <c r="BV200" s="56">
        <f t="shared" ca="1" si="374"/>
        <v>11.730197508298676</v>
      </c>
      <c r="BW200" s="56">
        <f t="shared" ca="1" si="375"/>
        <v>11.462525054643159</v>
      </c>
      <c r="BX200" s="56">
        <f t="shared" ca="1" si="376"/>
        <v>11.212319469208829</v>
      </c>
      <c r="BY200" s="56">
        <f t="shared" ca="1" si="377"/>
        <v>10.980114703324176</v>
      </c>
      <c r="BZ200" s="56">
        <f t="shared" ca="1" si="378"/>
        <v>10.766406293661618</v>
      </c>
      <c r="CA200" s="56">
        <f t="shared" ca="1" si="379"/>
        <v>10.571650304737265</v>
      </c>
      <c r="CB200" s="56">
        <f t="shared" ca="1" si="380"/>
        <v>10.396262355646261</v>
      </c>
      <c r="CC200" s="56">
        <f t="shared" ca="1" si="381"/>
        <v>10.240616733110681</v>
      </c>
      <c r="CD200" s="56">
        <f t="shared" ca="1" si="382"/>
        <v>10.105045592732822</v>
      </c>
      <c r="CE200" s="56">
        <f t="shared" ca="1" si="383"/>
        <v>9.9898382501583889</v>
      </c>
      <c r="CF200" s="56">
        <f t="shared" ca="1" si="384"/>
        <v>9.8952405636623411</v>
      </c>
      <c r="CG200" s="56">
        <f t="shared" ca="1" si="385"/>
        <v>9.8214544094749385</v>
      </c>
      <c r="CH200" s="56">
        <f t="shared" ca="1" si="386"/>
        <v>9.7686372509676858</v>
      </c>
      <c r="CI200" s="56">
        <f t="shared" ca="1" si="387"/>
        <v>9.7369018026185685</v>
      </c>
      <c r="CJ200" s="56">
        <f t="shared" ca="1" si="388"/>
        <v>9.7263157894736842</v>
      </c>
      <c r="CK200" s="56">
        <f t="shared" ca="1" si="389"/>
        <v>9.7263157894736842</v>
      </c>
      <c r="CL200" s="56">
        <f t="shared" ca="1" si="390"/>
        <v>9.7263157894736842</v>
      </c>
      <c r="CM200" s="56">
        <f t="shared" ca="1" si="391"/>
        <v>9.7263157894736842</v>
      </c>
      <c r="CN200" s="56">
        <f t="shared" ca="1" si="392"/>
        <v>9.7263157894736842</v>
      </c>
      <c r="CO200" s="56">
        <f t="shared" ca="1" si="393"/>
        <v>9.7263157894736842</v>
      </c>
      <c r="CP200" s="56">
        <f t="shared" ca="1" si="394"/>
        <v>9.7263157894736842</v>
      </c>
      <c r="CQ200" s="56">
        <f t="shared" ca="1" si="395"/>
        <v>9.7263157894736842</v>
      </c>
      <c r="CR200" s="56">
        <f t="shared" ca="1" si="396"/>
        <v>9.7263157894736842</v>
      </c>
      <c r="CS200" s="56">
        <f t="shared" ca="1" si="397"/>
        <v>9.7263157894736842</v>
      </c>
      <c r="CT200" s="56">
        <f t="shared" ca="1" si="398"/>
        <v>9.7263157894736842</v>
      </c>
      <c r="CU200" s="56">
        <f t="shared" ca="1" si="399"/>
        <v>9.7263157894736842</v>
      </c>
      <c r="CV200" s="56">
        <f t="shared" ca="1" si="400"/>
        <v>9.7263157894736842</v>
      </c>
      <c r="CW200" s="56">
        <f t="shared" ca="1" si="401"/>
        <v>9.7263157894736842</v>
      </c>
      <c r="CX200" s="56">
        <f t="shared" ca="1" si="402"/>
        <v>9.7263157894736842</v>
      </c>
      <c r="CY200" s="56">
        <f t="shared" ca="1" si="403"/>
        <v>9.7263157894736842</v>
      </c>
      <c r="CZ200" s="56">
        <f t="shared" ca="1" si="404"/>
        <v>9.7263157894736842</v>
      </c>
      <c r="DA200" s="56">
        <f t="shared" ca="1" si="405"/>
        <v>9.7263157894736842</v>
      </c>
      <c r="DB200" s="56">
        <f t="shared" ca="1" si="406"/>
        <v>9.7263157894736842</v>
      </c>
      <c r="DC200" s="56">
        <f t="shared" ca="1" si="407"/>
        <v>9.7263157894736842</v>
      </c>
      <c r="DD200" s="56">
        <f t="shared" ca="1" si="408"/>
        <v>9.7263157894736842</v>
      </c>
      <c r="DE200" s="56">
        <f t="shared" ca="1" si="409"/>
        <v>9.7263157894736842</v>
      </c>
      <c r="DF200" s="56">
        <f t="shared" ca="1" si="410"/>
        <v>9.7263157894736842</v>
      </c>
      <c r="DG200" s="56">
        <f t="shared" ca="1" si="411"/>
        <v>9.7263157894736842</v>
      </c>
      <c r="DH200" s="56">
        <f t="shared" ca="1" si="412"/>
        <v>9.7263157894736842</v>
      </c>
      <c r="DI200" s="56">
        <f t="shared" ca="1" si="413"/>
        <v>9.7263157894736842</v>
      </c>
      <c r="DJ200" s="56">
        <f t="shared" ca="1" si="414"/>
        <v>9.7263157894736842</v>
      </c>
      <c r="DK200" s="56">
        <f t="shared" ca="1" si="415"/>
        <v>9.7263157894736842</v>
      </c>
      <c r="DL200" s="56">
        <f t="shared" ca="1" si="416"/>
        <v>9.7263157894736842</v>
      </c>
      <c r="DM200" s="56">
        <f t="shared" ca="1" si="417"/>
        <v>9.7263157894736842</v>
      </c>
      <c r="DN200" s="56">
        <f t="shared" ca="1" si="418"/>
        <v>9.7263157894736842</v>
      </c>
      <c r="DO200" s="56">
        <f t="shared" ca="1" si="419"/>
        <v>9.7263157894736842</v>
      </c>
      <c r="DP200" s="56">
        <f t="shared" ca="1" si="420"/>
        <v>9.7263157894736842</v>
      </c>
      <c r="DQ200" s="56">
        <f t="shared" ca="1" si="421"/>
        <v>4.0526315789473681</v>
      </c>
      <c r="DR200" s="56">
        <f t="shared" ca="1" si="422"/>
        <v>4.0528514006502263</v>
      </c>
      <c r="DS200" s="56">
        <f t="shared" ca="1" si="423"/>
        <v>4.0535103825429886</v>
      </c>
      <c r="DT200" s="56">
        <f t="shared" ca="1" si="424"/>
        <v>4.0546070760404378</v>
      </c>
      <c r="DU200" s="56">
        <f t="shared" ca="1" si="425"/>
        <v>4.0561390703722529</v>
      </c>
      <c r="DV200" s="56">
        <f t="shared" ca="1" si="426"/>
        <v>4.0581029978824059</v>
      </c>
      <c r="DW200" s="56">
        <f t="shared" ca="1" si="427"/>
        <v>4.0604945414319999</v>
      </c>
      <c r="DX200" s="56">
        <f t="shared" ca="1" si="428"/>
        <v>4.0633084438892819</v>
      </c>
      <c r="DY200" s="56">
        <f t="shared" ca="1" si="429"/>
        <v>4.0665385196859507</v>
      </c>
      <c r="DZ200" s="56">
        <f t="shared" ca="1" si="430"/>
        <v>4.0701776684143889</v>
      </c>
      <c r="EA200" s="56">
        <f t="shared" ca="1" si="431"/>
        <v>4.0742178904358912</v>
      </c>
      <c r="EB200" s="56">
        <f t="shared" ca="1" si="432"/>
        <v>4.0786503044656106</v>
      </c>
      <c r="EC200" s="56">
        <f t="shared" ca="1" si="433"/>
        <v>4.0834651670955493</v>
      </c>
      <c r="ED200" s="56">
        <f t="shared" ca="1" si="434"/>
        <v>4.088651894212683</v>
      </c>
      <c r="EE200" s="56">
        <f t="shared" ca="1" si="435"/>
        <v>4.0941990842651421</v>
      </c>
      <c r="EF200" s="56">
        <f t="shared" ca="1" si="436"/>
        <v>4.1000945433252918</v>
      </c>
      <c r="EG200" s="56">
        <f t="shared" ca="1" si="437"/>
        <v>4.1063253118946346</v>
      </c>
      <c r="EH200" s="56">
        <f t="shared" ca="1" si="438"/>
        <v>4.1128776933916003</v>
      </c>
      <c r="EI200" s="56">
        <f t="shared" ca="1" si="439"/>
        <v>4.1197372842596041</v>
      </c>
      <c r="EJ200" s="56">
        <f t="shared" ca="1" si="440"/>
        <v>4.1268890056291916</v>
      </c>
      <c r="EK200" s="56">
        <f t="shared" ca="1" si="441"/>
        <v>4.1343171364646638</v>
      </c>
      <c r="EL200" s="56">
        <f t="shared" ca="1" si="442"/>
        <v>4.1420053481223285</v>
      </c>
      <c r="EM200" s="56">
        <f t="shared" ca="1" si="443"/>
        <v>4.1499367402444003</v>
      </c>
      <c r="EN200" s="56">
        <f t="shared" ca="1" si="444"/>
        <v>4.1580938779096552</v>
      </c>
      <c r="EO200" s="56">
        <f t="shared" ca="1" si="445"/>
        <v>4.1664588299591738</v>
      </c>
      <c r="EP200" s="56">
        <f t="shared" ca="1" si="446"/>
        <v>4.1750132084129188</v>
      </c>
      <c r="EQ200" s="56">
        <f t="shared" ca="1" si="447"/>
        <v>4.1837382088905022</v>
      </c>
      <c r="ER200" s="56">
        <f t="shared" ca="1" si="448"/>
        <v>4.1926146519473004</v>
      </c>
      <c r="ES200" s="56">
        <f t="shared" ca="1" si="449"/>
        <v>4.2016230252350333</v>
      </c>
      <c r="ET200" s="56">
        <f t="shared" ca="1" si="450"/>
        <v>4.2107435263941397</v>
      </c>
      <c r="EU200" s="56">
        <f t="shared" ca="1" si="451"/>
        <v>4.2199561065836626</v>
      </c>
      <c r="EV200" s="56">
        <f t="shared" ca="1" si="452"/>
        <v>4.2292405145529521</v>
      </c>
      <c r="EW200" s="56">
        <f t="shared" ca="1" si="453"/>
        <v>4.2385763411583097</v>
      </c>
      <c r="EX200" s="56">
        <f t="shared" ca="1" si="454"/>
        <v>4.2479430642267166</v>
      </c>
      <c r="EY200" s="56">
        <f t="shared" ca="1" si="455"/>
        <v>4.25732009366802</v>
      </c>
      <c r="EZ200" s="56">
        <f t="shared" ca="1" si="456"/>
        <v>4.2666868167364269</v>
      </c>
      <c r="FA200" s="56">
        <f t="shared" ca="1" si="457"/>
        <v>4.2760226433417845</v>
      </c>
      <c r="FB200" s="56">
        <f t="shared" ca="1" si="458"/>
        <v>4.285307051311074</v>
      </c>
      <c r="FC200" s="56">
        <f t="shared" ca="1" si="459"/>
        <v>4.2945196315005969</v>
      </c>
      <c r="FD200" s="56">
        <f t="shared" ca="1" si="460"/>
        <v>4.3036401326597034</v>
      </c>
      <c r="FE200" s="56">
        <f t="shared" ca="1" si="461"/>
        <v>4.3126485059474362</v>
      </c>
      <c r="FF200" s="56">
        <f t="shared" ca="1" si="462"/>
        <v>4.3215249490042353</v>
      </c>
      <c r="FG200" s="56">
        <f t="shared" ca="1" si="463"/>
        <v>4.3302499494818187</v>
      </c>
      <c r="FH200" s="56">
        <f t="shared" ca="1" si="464"/>
        <v>4.3388043279355628</v>
      </c>
      <c r="FI200" s="56">
        <f t="shared" ca="1" si="465"/>
        <v>4.3471692799850814</v>
      </c>
      <c r="FJ200" s="56">
        <f t="shared" ca="1" si="466"/>
        <v>4.3553264176503363</v>
      </c>
      <c r="FK200" s="56">
        <f t="shared" ca="1" si="467"/>
        <v>4.3632578097724082</v>
      </c>
      <c r="FL200" s="56">
        <f t="shared" ca="1" si="468"/>
        <v>4.3709460214300728</v>
      </c>
      <c r="FM200" s="56">
        <f t="shared" ca="1" si="469"/>
        <v>4.378374152265545</v>
      </c>
      <c r="FN200" s="56">
        <f t="shared" ca="1" si="470"/>
        <v>4.3855258736351326</v>
      </c>
      <c r="FO200" s="56">
        <f t="shared" ca="1" si="471"/>
        <v>4.3923854645031364</v>
      </c>
      <c r="FP200" s="56">
        <f t="shared" ca="1" si="472"/>
        <v>4.3989378460001021</v>
      </c>
      <c r="FQ200" s="56">
        <f t="shared" ca="1" si="473"/>
        <v>4.4051686145694449</v>
      </c>
      <c r="FR200" s="56">
        <f t="shared" ca="1" si="474"/>
        <v>4.4110640736295945</v>
      </c>
      <c r="FS200" s="56">
        <f t="shared" ca="1" si="475"/>
        <v>4.4166112636820536</v>
      </c>
      <c r="FT200" s="56">
        <f t="shared" ca="1" si="476"/>
        <v>4.4217979907991873</v>
      </c>
      <c r="FU200" s="56">
        <f t="shared" ca="1" si="477"/>
        <v>4.426612853429126</v>
      </c>
      <c r="FV200" s="56">
        <f t="shared" ca="1" si="478"/>
        <v>4.4310452674588454</v>
      </c>
      <c r="FW200" s="56">
        <f t="shared" ca="1" si="479"/>
        <v>4.4350854894803478</v>
      </c>
      <c r="FX200" s="56">
        <f t="shared" ca="1" si="480"/>
        <v>4.4387246382087859</v>
      </c>
      <c r="FY200" s="56">
        <f t="shared" ca="1" si="481"/>
        <v>4.4419547140054547</v>
      </c>
      <c r="FZ200" s="56">
        <f t="shared" ca="1" si="482"/>
        <v>4.4447686164627367</v>
      </c>
      <c r="GA200" s="56">
        <f t="shared" ca="1" si="483"/>
        <v>4.4471601600123307</v>
      </c>
      <c r="GB200" s="56">
        <f t="shared" ca="1" si="484"/>
        <v>4.4491240875224838</v>
      </c>
      <c r="GC200" s="56">
        <f t="shared" ca="1" si="485"/>
        <v>4.4506560818542988</v>
      </c>
      <c r="GD200" s="56">
        <f t="shared" ca="1" si="486"/>
        <v>4.4517527753517481</v>
      </c>
      <c r="GE200" s="56">
        <f t="shared" ca="1" si="487"/>
        <v>4.4524117572445103</v>
      </c>
      <c r="GF200" s="56">
        <f t="shared" ca="1" si="488"/>
        <v>4.4526315789473685</v>
      </c>
      <c r="GG200" s="56">
        <f t="shared" ca="1" si="489"/>
        <v>4.4526315789473685</v>
      </c>
      <c r="GH200" s="56">
        <f t="shared" ca="1" si="490"/>
        <v>4.4526315789473685</v>
      </c>
      <c r="GI200" s="56">
        <f t="shared" ca="1" si="491"/>
        <v>4.4526315789473685</v>
      </c>
      <c r="GJ200" s="56">
        <f t="shared" ca="1" si="492"/>
        <v>4.4526315789473685</v>
      </c>
      <c r="GK200" s="56">
        <f t="shared" ca="1" si="493"/>
        <v>4.4526315789473685</v>
      </c>
      <c r="GL200" s="56">
        <f t="shared" ca="1" si="494"/>
        <v>4.4526315789473685</v>
      </c>
      <c r="GM200" s="56">
        <f t="shared" ca="1" si="495"/>
        <v>4.4526315789473685</v>
      </c>
      <c r="GN200" s="56">
        <f t="shared" ca="1" si="496"/>
        <v>4.4526315789473685</v>
      </c>
      <c r="GO200" s="56">
        <f t="shared" ca="1" si="497"/>
        <v>4.4526315789473685</v>
      </c>
      <c r="GP200" s="56">
        <f t="shared" ca="1" si="498"/>
        <v>4.4526315789473685</v>
      </c>
    </row>
    <row r="201" spans="1:198" x14ac:dyDescent="0.35">
      <c r="A201" s="55" t="str">
        <f t="shared" si="304"/>
        <v>Available now &gt; Hiscox</v>
      </c>
      <c r="B201" s="55" t="s">
        <v>297</v>
      </c>
      <c r="K201" s="56">
        <f t="shared" ca="1" si="311"/>
        <v>29.568421052631574</v>
      </c>
      <c r="L201" s="56">
        <f t="shared" ca="1" si="312"/>
        <v>29.568421052631574</v>
      </c>
      <c r="M201" s="56">
        <f t="shared" ca="1" si="313"/>
        <v>29.568421052631574</v>
      </c>
      <c r="N201" s="56">
        <f t="shared" ca="1" si="314"/>
        <v>29.568421052631574</v>
      </c>
      <c r="O201" s="56">
        <f t="shared" ca="1" si="315"/>
        <v>29.568421052631574</v>
      </c>
      <c r="P201" s="56">
        <f t="shared" ca="1" si="316"/>
        <v>29.568421052631574</v>
      </c>
      <c r="Q201" s="56">
        <f t="shared" ca="1" si="317"/>
        <v>29.568421052631574</v>
      </c>
      <c r="R201" s="56">
        <f t="shared" ca="1" si="318"/>
        <v>29.568421052631574</v>
      </c>
      <c r="S201" s="56">
        <f t="shared" ca="1" si="319"/>
        <v>29.568421052631574</v>
      </c>
      <c r="T201" s="56">
        <f t="shared" ca="1" si="320"/>
        <v>29.568421052631574</v>
      </c>
      <c r="U201" s="56">
        <f t="shared" ca="1" si="321"/>
        <v>29.55783503948669</v>
      </c>
      <c r="V201" s="56">
        <f t="shared" ca="1" si="322"/>
        <v>29.526099591137573</v>
      </c>
      <c r="W201" s="56">
        <f t="shared" ca="1" si="323"/>
        <v>29.47328243263032</v>
      </c>
      <c r="X201" s="56">
        <f t="shared" ca="1" si="324"/>
        <v>29.399496278442918</v>
      </c>
      <c r="Y201" s="56">
        <f t="shared" ca="1" si="325"/>
        <v>29.30489859194687</v>
      </c>
      <c r="Z201" s="56">
        <f t="shared" ca="1" si="326"/>
        <v>29.189691249372437</v>
      </c>
      <c r="AA201" s="56">
        <f t="shared" ca="1" si="327"/>
        <v>29.054120108994578</v>
      </c>
      <c r="AB201" s="56">
        <f t="shared" ca="1" si="328"/>
        <v>28.898474486458998</v>
      </c>
      <c r="AC201" s="56">
        <f t="shared" ca="1" si="329"/>
        <v>28.723086537367994</v>
      </c>
      <c r="AD201" s="56">
        <f t="shared" ca="1" si="330"/>
        <v>28.528330548443641</v>
      </c>
      <c r="AE201" s="56">
        <f t="shared" ca="1" si="331"/>
        <v>28.314622138781083</v>
      </c>
      <c r="AF201" s="56">
        <f t="shared" ca="1" si="332"/>
        <v>28.082417372896433</v>
      </c>
      <c r="AG201" s="56">
        <f t="shared" ca="1" si="333"/>
        <v>27.8322117874621</v>
      </c>
      <c r="AH201" s="56">
        <f t="shared" ca="1" si="334"/>
        <v>27.564539333806582</v>
      </c>
      <c r="AI201" s="56">
        <f t="shared" ca="1" si="335"/>
        <v>27.279971238435401</v>
      </c>
      <c r="AJ201" s="56">
        <f t="shared" ca="1" si="336"/>
        <v>26.979114784004956</v>
      </c>
      <c r="AK201" s="56">
        <f t="shared" ca="1" si="337"/>
        <v>26.662612013350746</v>
      </c>
      <c r="AL201" s="56">
        <f t="shared" ca="1" si="338"/>
        <v>26.331138359335576</v>
      </c>
      <c r="AM201" s="56">
        <f t="shared" ca="1" si="339"/>
        <v>25.985401203441825</v>
      </c>
      <c r="AN201" s="56">
        <f t="shared" ca="1" si="340"/>
        <v>25.626138366183671</v>
      </c>
      <c r="AO201" s="56">
        <f t="shared" ca="1" si="341"/>
        <v>25.254116532560975</v>
      </c>
      <c r="AP201" s="56">
        <f t="shared" ca="1" si="342"/>
        <v>24.870129615914816</v>
      </c>
      <c r="AQ201" s="56">
        <f t="shared" ca="1" si="343"/>
        <v>24.47499706367644</v>
      </c>
      <c r="AR201" s="56">
        <f t="shared" ca="1" si="344"/>
        <v>24.069562108625128</v>
      </c>
      <c r="AS201" s="56">
        <f t="shared" ca="1" si="345"/>
        <v>23.654689969386954</v>
      </c>
      <c r="AT201" s="56">
        <f t="shared" ca="1" si="346"/>
        <v>23.231266004014646</v>
      </c>
      <c r="AU201" s="56">
        <f t="shared" ca="1" si="347"/>
        <v>22.800193820588863</v>
      </c>
      <c r="AV201" s="56">
        <f t="shared" ca="1" si="348"/>
        <v>22.362393348873031</v>
      </c>
      <c r="AW201" s="56">
        <f t="shared" ca="1" si="349"/>
        <v>21.918798877136854</v>
      </c>
      <c r="AX201" s="56">
        <f t="shared" ca="1" si="350"/>
        <v>21.470357058338081</v>
      </c>
      <c r="AY201" s="56">
        <f t="shared" ca="1" si="351"/>
        <v>21.018024889917356</v>
      </c>
      <c r="AZ201" s="56">
        <f t="shared" ca="1" si="352"/>
        <v>20.562767671517491</v>
      </c>
      <c r="BA201" s="56">
        <f t="shared" ca="1" si="353"/>
        <v>20.105556944985363</v>
      </c>
      <c r="BB201" s="56">
        <f t="shared" ca="1" si="354"/>
        <v>19.647368421052633</v>
      </c>
      <c r="BC201" s="56">
        <f t="shared" ca="1" si="355"/>
        <v>19.189179897119899</v>
      </c>
      <c r="BD201" s="56">
        <f t="shared" ca="1" si="356"/>
        <v>18.731969170587767</v>
      </c>
      <c r="BE201" s="56">
        <f t="shared" ca="1" si="357"/>
        <v>18.276711952187902</v>
      </c>
      <c r="BF201" s="56">
        <f t="shared" ca="1" si="358"/>
        <v>17.824379783767181</v>
      </c>
      <c r="BG201" s="56">
        <f t="shared" ca="1" si="359"/>
        <v>17.375937964968408</v>
      </c>
      <c r="BH201" s="56">
        <f t="shared" ca="1" si="360"/>
        <v>16.932343493232228</v>
      </c>
      <c r="BI201" s="56">
        <f t="shared" ca="1" si="361"/>
        <v>16.494543021516396</v>
      </c>
      <c r="BJ201" s="56">
        <f t="shared" ca="1" si="362"/>
        <v>16.063470838090613</v>
      </c>
      <c r="BK201" s="56">
        <f t="shared" ca="1" si="363"/>
        <v>15.640046872718305</v>
      </c>
      <c r="BL201" s="56">
        <f t="shared" ca="1" si="364"/>
        <v>15.225174733480133</v>
      </c>
      <c r="BM201" s="56">
        <f t="shared" ca="1" si="365"/>
        <v>14.81973977842882</v>
      </c>
      <c r="BN201" s="56">
        <f t="shared" ca="1" si="366"/>
        <v>14.424607226190442</v>
      </c>
      <c r="BO201" s="56">
        <f t="shared" ca="1" si="367"/>
        <v>14.040620309544284</v>
      </c>
      <c r="BP201" s="56">
        <f t="shared" ca="1" si="368"/>
        <v>13.668598475921588</v>
      </c>
      <c r="BQ201" s="56">
        <f t="shared" ca="1" si="369"/>
        <v>13.309335638663438</v>
      </c>
      <c r="BR201" s="56">
        <f t="shared" ca="1" si="370"/>
        <v>12.96359848276968</v>
      </c>
      <c r="BS201" s="56">
        <f t="shared" ca="1" si="371"/>
        <v>12.632124828754517</v>
      </c>
      <c r="BT201" s="56">
        <f t="shared" ca="1" si="372"/>
        <v>12.315622058100303</v>
      </c>
      <c r="BU201" s="56">
        <f t="shared" ca="1" si="373"/>
        <v>12.014765603669858</v>
      </c>
      <c r="BV201" s="56">
        <f t="shared" ca="1" si="374"/>
        <v>11.730197508298676</v>
      </c>
      <c r="BW201" s="56">
        <f t="shared" ca="1" si="375"/>
        <v>11.462525054643159</v>
      </c>
      <c r="BX201" s="56">
        <f t="shared" ca="1" si="376"/>
        <v>11.212319469208829</v>
      </c>
      <c r="BY201" s="56">
        <f t="shared" ca="1" si="377"/>
        <v>10.980114703324176</v>
      </c>
      <c r="BZ201" s="56">
        <f t="shared" ca="1" si="378"/>
        <v>10.766406293661618</v>
      </c>
      <c r="CA201" s="56">
        <f t="shared" ca="1" si="379"/>
        <v>10.571650304737265</v>
      </c>
      <c r="CB201" s="56">
        <f t="shared" ca="1" si="380"/>
        <v>10.396262355646261</v>
      </c>
      <c r="CC201" s="56">
        <f t="shared" ca="1" si="381"/>
        <v>10.240616733110681</v>
      </c>
      <c r="CD201" s="56">
        <f t="shared" ca="1" si="382"/>
        <v>10.105045592732822</v>
      </c>
      <c r="CE201" s="56">
        <f t="shared" ca="1" si="383"/>
        <v>9.9898382501583889</v>
      </c>
      <c r="CF201" s="56">
        <f t="shared" ca="1" si="384"/>
        <v>9.8952405636623411</v>
      </c>
      <c r="CG201" s="56">
        <f t="shared" ca="1" si="385"/>
        <v>9.8214544094749385</v>
      </c>
      <c r="CH201" s="56">
        <f t="shared" ca="1" si="386"/>
        <v>9.7686372509676858</v>
      </c>
      <c r="CI201" s="56">
        <f t="shared" ca="1" si="387"/>
        <v>9.7369018026185685</v>
      </c>
      <c r="CJ201" s="56">
        <f t="shared" ca="1" si="388"/>
        <v>9.7263157894736842</v>
      </c>
      <c r="CK201" s="56">
        <f t="shared" ca="1" si="389"/>
        <v>9.7263157894736842</v>
      </c>
      <c r="CL201" s="56">
        <f t="shared" ca="1" si="390"/>
        <v>9.7263157894736842</v>
      </c>
      <c r="CM201" s="56">
        <f t="shared" ca="1" si="391"/>
        <v>9.7263157894736842</v>
      </c>
      <c r="CN201" s="56">
        <f t="shared" ca="1" si="392"/>
        <v>9.7263157894736842</v>
      </c>
      <c r="CO201" s="56">
        <f t="shared" ca="1" si="393"/>
        <v>9.7263157894736842</v>
      </c>
      <c r="CP201" s="56">
        <f t="shared" ca="1" si="394"/>
        <v>9.7263157894736842</v>
      </c>
      <c r="CQ201" s="56">
        <f t="shared" ca="1" si="395"/>
        <v>9.7263157894736842</v>
      </c>
      <c r="CR201" s="56">
        <f t="shared" ca="1" si="396"/>
        <v>9.7263157894736842</v>
      </c>
      <c r="CS201" s="56">
        <f t="shared" ca="1" si="397"/>
        <v>9.7263157894736842</v>
      </c>
      <c r="CT201" s="56">
        <f t="shared" ca="1" si="398"/>
        <v>9.7263157894736842</v>
      </c>
      <c r="CU201" s="56">
        <f t="shared" ca="1" si="399"/>
        <v>9.7263157894736842</v>
      </c>
      <c r="CV201" s="56">
        <f t="shared" ca="1" si="400"/>
        <v>9.7263157894736842</v>
      </c>
      <c r="CW201" s="56">
        <f t="shared" ca="1" si="401"/>
        <v>9.7263157894736842</v>
      </c>
      <c r="CX201" s="56">
        <f t="shared" ca="1" si="402"/>
        <v>9.7263157894736842</v>
      </c>
      <c r="CY201" s="56">
        <f t="shared" ca="1" si="403"/>
        <v>9.7263157894736842</v>
      </c>
      <c r="CZ201" s="56">
        <f t="shared" ca="1" si="404"/>
        <v>9.7263157894736842</v>
      </c>
      <c r="DA201" s="56">
        <f t="shared" ca="1" si="405"/>
        <v>9.7263157894736842</v>
      </c>
      <c r="DB201" s="56">
        <f t="shared" ca="1" si="406"/>
        <v>9.7263157894736842</v>
      </c>
      <c r="DC201" s="56">
        <f t="shared" ca="1" si="407"/>
        <v>9.7263157894736842</v>
      </c>
      <c r="DD201" s="56">
        <f t="shared" ca="1" si="408"/>
        <v>9.7263157894736842</v>
      </c>
      <c r="DE201" s="56">
        <f t="shared" ca="1" si="409"/>
        <v>9.7263157894736842</v>
      </c>
      <c r="DF201" s="56">
        <f t="shared" ca="1" si="410"/>
        <v>9.7263157894736842</v>
      </c>
      <c r="DG201" s="56">
        <f t="shared" ca="1" si="411"/>
        <v>9.7263157894736842</v>
      </c>
      <c r="DH201" s="56">
        <f t="shared" ca="1" si="412"/>
        <v>9.7263157894736842</v>
      </c>
      <c r="DI201" s="56">
        <f t="shared" ca="1" si="413"/>
        <v>9.7263157894736842</v>
      </c>
      <c r="DJ201" s="56">
        <f t="shared" ca="1" si="414"/>
        <v>9.7263157894736842</v>
      </c>
      <c r="DK201" s="56">
        <f t="shared" ca="1" si="415"/>
        <v>9.7263157894736842</v>
      </c>
      <c r="DL201" s="56">
        <f t="shared" ca="1" si="416"/>
        <v>9.7263157894736842</v>
      </c>
      <c r="DM201" s="56">
        <f t="shared" ca="1" si="417"/>
        <v>9.7263157894736842</v>
      </c>
      <c r="DN201" s="56">
        <f t="shared" ca="1" si="418"/>
        <v>9.7263157894736842</v>
      </c>
      <c r="DO201" s="56">
        <f t="shared" ca="1" si="419"/>
        <v>9.7263157894736842</v>
      </c>
      <c r="DP201" s="56">
        <f t="shared" ca="1" si="420"/>
        <v>9.7263157894736842</v>
      </c>
      <c r="DQ201" s="56">
        <f t="shared" ca="1" si="421"/>
        <v>4.8631578947368421</v>
      </c>
      <c r="DR201" s="56">
        <f t="shared" ca="1" si="422"/>
        <v>4.8635975381425576</v>
      </c>
      <c r="DS201" s="56">
        <f t="shared" ca="1" si="423"/>
        <v>4.864915501928083</v>
      </c>
      <c r="DT201" s="56">
        <f t="shared" ca="1" si="424"/>
        <v>4.8671088889229814</v>
      </c>
      <c r="DU201" s="56">
        <f t="shared" ca="1" si="425"/>
        <v>4.8701728775866115</v>
      </c>
      <c r="DV201" s="56">
        <f t="shared" ca="1" si="426"/>
        <v>4.8741007326069168</v>
      </c>
      <c r="DW201" s="56">
        <f t="shared" ca="1" si="427"/>
        <v>4.8788838197061057</v>
      </c>
      <c r="DX201" s="56">
        <f t="shared" ca="1" si="428"/>
        <v>4.8845116246206688</v>
      </c>
      <c r="DY201" s="56">
        <f t="shared" ca="1" si="429"/>
        <v>4.8909717762140072</v>
      </c>
      <c r="DZ201" s="56">
        <f t="shared" ca="1" si="430"/>
        <v>4.8982500736708836</v>
      </c>
      <c r="EA201" s="56">
        <f t="shared" ca="1" si="431"/>
        <v>4.9063305177138874</v>
      </c>
      <c r="EB201" s="56">
        <f t="shared" ca="1" si="432"/>
        <v>4.9151953457733262</v>
      </c>
      <c r="EC201" s="56">
        <f t="shared" ca="1" si="433"/>
        <v>4.9248250710332035</v>
      </c>
      <c r="ED201" s="56">
        <f t="shared" ca="1" si="434"/>
        <v>4.9351985252674719</v>
      </c>
      <c r="EE201" s="56">
        <f t="shared" ca="1" si="435"/>
        <v>4.9462929053723901</v>
      </c>
      <c r="EF201" s="56">
        <f t="shared" ca="1" si="436"/>
        <v>4.9580838234926894</v>
      </c>
      <c r="EG201" s="56">
        <f t="shared" ca="1" si="437"/>
        <v>4.970545360631375</v>
      </c>
      <c r="EH201" s="56">
        <f t="shared" ca="1" si="438"/>
        <v>4.9836501236253055</v>
      </c>
      <c r="EI201" s="56">
        <f t="shared" ca="1" si="439"/>
        <v>4.997369305361314</v>
      </c>
      <c r="EJ201" s="56">
        <f t="shared" ca="1" si="440"/>
        <v>5.0116727481004881</v>
      </c>
      <c r="EK201" s="56">
        <f t="shared" ca="1" si="441"/>
        <v>5.0265290097714335</v>
      </c>
      <c r="EL201" s="56">
        <f t="shared" ca="1" si="442"/>
        <v>5.0419054330867628</v>
      </c>
      <c r="EM201" s="56">
        <f t="shared" ca="1" si="443"/>
        <v>5.0577682173309055</v>
      </c>
      <c r="EN201" s="56">
        <f t="shared" ca="1" si="444"/>
        <v>5.0740824926614163</v>
      </c>
      <c r="EO201" s="56">
        <f t="shared" ca="1" si="445"/>
        <v>5.0908123967604544</v>
      </c>
      <c r="EP201" s="56">
        <f t="shared" ca="1" si="446"/>
        <v>5.1079211536679425</v>
      </c>
      <c r="EQ201" s="56">
        <f t="shared" ca="1" si="447"/>
        <v>5.1253711546231093</v>
      </c>
      <c r="ER201" s="56">
        <f t="shared" ca="1" si="448"/>
        <v>5.1431240407367058</v>
      </c>
      <c r="ES201" s="56">
        <f t="shared" ca="1" si="449"/>
        <v>5.1611407873121715</v>
      </c>
      <c r="ET201" s="56">
        <f t="shared" ca="1" si="450"/>
        <v>5.1793817896303844</v>
      </c>
      <c r="EU201" s="56">
        <f t="shared" ca="1" si="451"/>
        <v>5.1978069500094302</v>
      </c>
      <c r="EV201" s="56">
        <f t="shared" ca="1" si="452"/>
        <v>5.2163757659480092</v>
      </c>
      <c r="EW201" s="56">
        <f t="shared" ca="1" si="453"/>
        <v>5.2350474191587253</v>
      </c>
      <c r="EX201" s="56">
        <f t="shared" ca="1" si="454"/>
        <v>5.2537808652955382</v>
      </c>
      <c r="EY201" s="56">
        <f t="shared" ca="1" si="455"/>
        <v>5.2725349241781467</v>
      </c>
      <c r="EZ201" s="56">
        <f t="shared" ca="1" si="456"/>
        <v>5.2912683703149597</v>
      </c>
      <c r="FA201" s="56">
        <f t="shared" ca="1" si="457"/>
        <v>5.3099400235256757</v>
      </c>
      <c r="FB201" s="56">
        <f t="shared" ca="1" si="458"/>
        <v>5.3285088394642548</v>
      </c>
      <c r="FC201" s="56">
        <f t="shared" ca="1" si="459"/>
        <v>5.3469339998433005</v>
      </c>
      <c r="FD201" s="56">
        <f t="shared" ca="1" si="460"/>
        <v>5.3651750021615134</v>
      </c>
      <c r="FE201" s="56">
        <f t="shared" ca="1" si="461"/>
        <v>5.3831917487369791</v>
      </c>
      <c r="FF201" s="56">
        <f t="shared" ca="1" si="462"/>
        <v>5.4009446348505756</v>
      </c>
      <c r="FG201" s="56">
        <f t="shared" ca="1" si="463"/>
        <v>5.4183946358057424</v>
      </c>
      <c r="FH201" s="56">
        <f t="shared" ca="1" si="464"/>
        <v>5.4355033927132306</v>
      </c>
      <c r="FI201" s="56">
        <f t="shared" ca="1" si="465"/>
        <v>5.4522332968122686</v>
      </c>
      <c r="FJ201" s="56">
        <f t="shared" ca="1" si="466"/>
        <v>5.4685475721427794</v>
      </c>
      <c r="FK201" s="56">
        <f t="shared" ca="1" si="467"/>
        <v>5.4844103563869222</v>
      </c>
      <c r="FL201" s="56">
        <f t="shared" ca="1" si="468"/>
        <v>5.4997867797022515</v>
      </c>
      <c r="FM201" s="56">
        <f t="shared" ca="1" si="469"/>
        <v>5.5146430413731968</v>
      </c>
      <c r="FN201" s="56">
        <f t="shared" ca="1" si="470"/>
        <v>5.528946484112371</v>
      </c>
      <c r="FO201" s="56">
        <f t="shared" ca="1" si="471"/>
        <v>5.5426656658483795</v>
      </c>
      <c r="FP201" s="56">
        <f t="shared" ca="1" si="472"/>
        <v>5.55577042884231</v>
      </c>
      <c r="FQ201" s="56">
        <f t="shared" ca="1" si="473"/>
        <v>5.5682319659809956</v>
      </c>
      <c r="FR201" s="56">
        <f t="shared" ca="1" si="474"/>
        <v>5.5800228841012949</v>
      </c>
      <c r="FS201" s="56">
        <f t="shared" ca="1" si="475"/>
        <v>5.591117264206213</v>
      </c>
      <c r="FT201" s="56">
        <f t="shared" ca="1" si="476"/>
        <v>5.6014907184404814</v>
      </c>
      <c r="FU201" s="56">
        <f t="shared" ca="1" si="477"/>
        <v>5.6111204437003588</v>
      </c>
      <c r="FV201" s="56">
        <f t="shared" ca="1" si="478"/>
        <v>5.6199852717597976</v>
      </c>
      <c r="FW201" s="56">
        <f t="shared" ca="1" si="479"/>
        <v>5.6280657158028013</v>
      </c>
      <c r="FX201" s="56">
        <f t="shared" ca="1" si="480"/>
        <v>5.6353440132596777</v>
      </c>
      <c r="FY201" s="56">
        <f t="shared" ca="1" si="481"/>
        <v>5.6418041648530162</v>
      </c>
      <c r="FZ201" s="56">
        <f t="shared" ca="1" si="482"/>
        <v>5.6474319697675792</v>
      </c>
      <c r="GA201" s="56">
        <f t="shared" ca="1" si="483"/>
        <v>5.6522150568667682</v>
      </c>
      <c r="GB201" s="56">
        <f t="shared" ca="1" si="484"/>
        <v>5.6561429118870734</v>
      </c>
      <c r="GC201" s="56">
        <f t="shared" ca="1" si="485"/>
        <v>5.6592069005507035</v>
      </c>
      <c r="GD201" s="56">
        <f t="shared" ca="1" si="486"/>
        <v>5.661400287545602</v>
      </c>
      <c r="GE201" s="56">
        <f t="shared" ca="1" si="487"/>
        <v>5.6627182513311274</v>
      </c>
      <c r="GF201" s="56">
        <f t="shared" ca="1" si="488"/>
        <v>5.6631578947368428</v>
      </c>
      <c r="GG201" s="56">
        <f t="shared" ca="1" si="489"/>
        <v>5.6631578947368428</v>
      </c>
      <c r="GH201" s="56">
        <f t="shared" ca="1" si="490"/>
        <v>5.6631578947368428</v>
      </c>
      <c r="GI201" s="56">
        <f t="shared" ca="1" si="491"/>
        <v>5.6631578947368428</v>
      </c>
      <c r="GJ201" s="56">
        <f t="shared" ca="1" si="492"/>
        <v>5.6631578947368428</v>
      </c>
      <c r="GK201" s="56">
        <f t="shared" ca="1" si="493"/>
        <v>5.6631578947368428</v>
      </c>
      <c r="GL201" s="56">
        <f t="shared" ca="1" si="494"/>
        <v>5.6631578947368428</v>
      </c>
      <c r="GM201" s="56">
        <f t="shared" ca="1" si="495"/>
        <v>5.6631578947368428</v>
      </c>
      <c r="GN201" s="56">
        <f t="shared" ca="1" si="496"/>
        <v>5.6631578947368428</v>
      </c>
      <c r="GO201" s="56">
        <f t="shared" ca="1" si="497"/>
        <v>5.6631578947368428</v>
      </c>
      <c r="GP201" s="56">
        <f t="shared" ca="1" si="498"/>
        <v>5.6631578947368428</v>
      </c>
    </row>
    <row r="202" spans="1:198" x14ac:dyDescent="0.35">
      <c r="A202" s="55" t="str">
        <f t="shared" si="304"/>
        <v>Available now &gt; SEI</v>
      </c>
      <c r="B202" s="55" t="s">
        <v>297</v>
      </c>
      <c r="K202" s="56">
        <f t="shared" ca="1" si="311"/>
        <v>29.568421052631574</v>
      </c>
      <c r="L202" s="56">
        <f t="shared" ca="1" si="312"/>
        <v>29.568421052631574</v>
      </c>
      <c r="M202" s="56">
        <f t="shared" ca="1" si="313"/>
        <v>29.568421052631574</v>
      </c>
      <c r="N202" s="56">
        <f t="shared" ca="1" si="314"/>
        <v>29.568421052631574</v>
      </c>
      <c r="O202" s="56">
        <f t="shared" ca="1" si="315"/>
        <v>29.568421052631574</v>
      </c>
      <c r="P202" s="56">
        <f t="shared" ca="1" si="316"/>
        <v>29.568421052631574</v>
      </c>
      <c r="Q202" s="56">
        <f t="shared" ca="1" si="317"/>
        <v>29.568421052631574</v>
      </c>
      <c r="R202" s="56">
        <f t="shared" ca="1" si="318"/>
        <v>29.568421052631574</v>
      </c>
      <c r="S202" s="56">
        <f t="shared" ca="1" si="319"/>
        <v>29.568421052631574</v>
      </c>
      <c r="T202" s="56">
        <f t="shared" ca="1" si="320"/>
        <v>29.568421052631574</v>
      </c>
      <c r="U202" s="56">
        <f t="shared" ca="1" si="321"/>
        <v>29.55783503948669</v>
      </c>
      <c r="V202" s="56">
        <f t="shared" ca="1" si="322"/>
        <v>29.526099591137573</v>
      </c>
      <c r="W202" s="56">
        <f t="shared" ca="1" si="323"/>
        <v>29.47328243263032</v>
      </c>
      <c r="X202" s="56">
        <f t="shared" ca="1" si="324"/>
        <v>29.399496278442918</v>
      </c>
      <c r="Y202" s="56">
        <f t="shared" ca="1" si="325"/>
        <v>29.30489859194687</v>
      </c>
      <c r="Z202" s="56">
        <f t="shared" ca="1" si="326"/>
        <v>29.189691249372437</v>
      </c>
      <c r="AA202" s="56">
        <f t="shared" ca="1" si="327"/>
        <v>29.054120108994578</v>
      </c>
      <c r="AB202" s="56">
        <f t="shared" ca="1" si="328"/>
        <v>28.898474486458998</v>
      </c>
      <c r="AC202" s="56">
        <f t="shared" ca="1" si="329"/>
        <v>28.723086537367994</v>
      </c>
      <c r="AD202" s="56">
        <f t="shared" ca="1" si="330"/>
        <v>28.528330548443641</v>
      </c>
      <c r="AE202" s="56">
        <f t="shared" ca="1" si="331"/>
        <v>28.314622138781083</v>
      </c>
      <c r="AF202" s="56">
        <f t="shared" ca="1" si="332"/>
        <v>28.082417372896433</v>
      </c>
      <c r="AG202" s="56">
        <f t="shared" ca="1" si="333"/>
        <v>27.8322117874621</v>
      </c>
      <c r="AH202" s="56">
        <f t="shared" ca="1" si="334"/>
        <v>27.564539333806582</v>
      </c>
      <c r="AI202" s="56">
        <f t="shared" ca="1" si="335"/>
        <v>27.279971238435401</v>
      </c>
      <c r="AJ202" s="56">
        <f t="shared" ca="1" si="336"/>
        <v>26.979114784004956</v>
      </c>
      <c r="AK202" s="56">
        <f t="shared" ca="1" si="337"/>
        <v>26.662612013350746</v>
      </c>
      <c r="AL202" s="56">
        <f t="shared" ca="1" si="338"/>
        <v>26.331138359335576</v>
      </c>
      <c r="AM202" s="56">
        <f t="shared" ca="1" si="339"/>
        <v>25.985401203441825</v>
      </c>
      <c r="AN202" s="56">
        <f t="shared" ca="1" si="340"/>
        <v>25.626138366183671</v>
      </c>
      <c r="AO202" s="56">
        <f t="shared" ca="1" si="341"/>
        <v>25.254116532560975</v>
      </c>
      <c r="AP202" s="56">
        <f t="shared" ca="1" si="342"/>
        <v>24.870129615914816</v>
      </c>
      <c r="AQ202" s="56">
        <f t="shared" ca="1" si="343"/>
        <v>24.47499706367644</v>
      </c>
      <c r="AR202" s="56">
        <f t="shared" ca="1" si="344"/>
        <v>24.069562108625128</v>
      </c>
      <c r="AS202" s="56">
        <f t="shared" ca="1" si="345"/>
        <v>23.654689969386954</v>
      </c>
      <c r="AT202" s="56">
        <f t="shared" ca="1" si="346"/>
        <v>23.231266004014646</v>
      </c>
      <c r="AU202" s="56">
        <f t="shared" ca="1" si="347"/>
        <v>22.800193820588863</v>
      </c>
      <c r="AV202" s="56">
        <f t="shared" ca="1" si="348"/>
        <v>22.362393348873031</v>
      </c>
      <c r="AW202" s="56">
        <f t="shared" ca="1" si="349"/>
        <v>21.918798877136854</v>
      </c>
      <c r="AX202" s="56">
        <f t="shared" ca="1" si="350"/>
        <v>21.470357058338081</v>
      </c>
      <c r="AY202" s="56">
        <f t="shared" ca="1" si="351"/>
        <v>21.018024889917356</v>
      </c>
      <c r="AZ202" s="56">
        <f t="shared" ca="1" si="352"/>
        <v>20.562767671517491</v>
      </c>
      <c r="BA202" s="56">
        <f t="shared" ca="1" si="353"/>
        <v>20.105556944985363</v>
      </c>
      <c r="BB202" s="56">
        <f t="shared" ca="1" si="354"/>
        <v>19.647368421052633</v>
      </c>
      <c r="BC202" s="56">
        <f t="shared" ca="1" si="355"/>
        <v>19.189179897119899</v>
      </c>
      <c r="BD202" s="56">
        <f t="shared" ca="1" si="356"/>
        <v>18.731969170587767</v>
      </c>
      <c r="BE202" s="56">
        <f t="shared" ca="1" si="357"/>
        <v>18.276711952187902</v>
      </c>
      <c r="BF202" s="56">
        <f t="shared" ca="1" si="358"/>
        <v>17.824379783767181</v>
      </c>
      <c r="BG202" s="56">
        <f t="shared" ca="1" si="359"/>
        <v>17.375937964968408</v>
      </c>
      <c r="BH202" s="56">
        <f t="shared" ca="1" si="360"/>
        <v>16.932343493232228</v>
      </c>
      <c r="BI202" s="56">
        <f t="shared" ca="1" si="361"/>
        <v>16.494543021516396</v>
      </c>
      <c r="BJ202" s="56">
        <f t="shared" ca="1" si="362"/>
        <v>16.063470838090613</v>
      </c>
      <c r="BK202" s="56">
        <f t="shared" ca="1" si="363"/>
        <v>15.640046872718305</v>
      </c>
      <c r="BL202" s="56">
        <f t="shared" ca="1" si="364"/>
        <v>15.225174733480133</v>
      </c>
      <c r="BM202" s="56">
        <f t="shared" ca="1" si="365"/>
        <v>14.81973977842882</v>
      </c>
      <c r="BN202" s="56">
        <f t="shared" ca="1" si="366"/>
        <v>14.424607226190442</v>
      </c>
      <c r="BO202" s="56">
        <f t="shared" ca="1" si="367"/>
        <v>14.040620309544284</v>
      </c>
      <c r="BP202" s="56">
        <f t="shared" ca="1" si="368"/>
        <v>13.668598475921588</v>
      </c>
      <c r="BQ202" s="56">
        <f t="shared" ca="1" si="369"/>
        <v>13.309335638663438</v>
      </c>
      <c r="BR202" s="56">
        <f t="shared" ca="1" si="370"/>
        <v>12.96359848276968</v>
      </c>
      <c r="BS202" s="56">
        <f t="shared" ca="1" si="371"/>
        <v>12.632124828754517</v>
      </c>
      <c r="BT202" s="56">
        <f t="shared" ca="1" si="372"/>
        <v>12.315622058100303</v>
      </c>
      <c r="BU202" s="56">
        <f t="shared" ca="1" si="373"/>
        <v>12.014765603669858</v>
      </c>
      <c r="BV202" s="56">
        <f t="shared" ca="1" si="374"/>
        <v>11.730197508298676</v>
      </c>
      <c r="BW202" s="56">
        <f t="shared" ca="1" si="375"/>
        <v>11.462525054643159</v>
      </c>
      <c r="BX202" s="56">
        <f t="shared" ca="1" si="376"/>
        <v>11.212319469208829</v>
      </c>
      <c r="BY202" s="56">
        <f t="shared" ca="1" si="377"/>
        <v>10.980114703324176</v>
      </c>
      <c r="BZ202" s="56">
        <f t="shared" ca="1" si="378"/>
        <v>10.766406293661618</v>
      </c>
      <c r="CA202" s="56">
        <f t="shared" ca="1" si="379"/>
        <v>10.571650304737265</v>
      </c>
      <c r="CB202" s="56">
        <f t="shared" ca="1" si="380"/>
        <v>10.396262355646261</v>
      </c>
      <c r="CC202" s="56">
        <f t="shared" ca="1" si="381"/>
        <v>10.240616733110681</v>
      </c>
      <c r="CD202" s="56">
        <f t="shared" ca="1" si="382"/>
        <v>10.105045592732822</v>
      </c>
      <c r="CE202" s="56">
        <f t="shared" ca="1" si="383"/>
        <v>9.9898382501583889</v>
      </c>
      <c r="CF202" s="56">
        <f t="shared" ca="1" si="384"/>
        <v>9.8952405636623411</v>
      </c>
      <c r="CG202" s="56">
        <f t="shared" ca="1" si="385"/>
        <v>9.8214544094749385</v>
      </c>
      <c r="CH202" s="56">
        <f t="shared" ca="1" si="386"/>
        <v>9.7686372509676858</v>
      </c>
      <c r="CI202" s="56">
        <f t="shared" ca="1" si="387"/>
        <v>9.7369018026185685</v>
      </c>
      <c r="CJ202" s="56">
        <f t="shared" ca="1" si="388"/>
        <v>9.7263157894736842</v>
      </c>
      <c r="CK202" s="56">
        <f t="shared" ca="1" si="389"/>
        <v>9.7263157894736842</v>
      </c>
      <c r="CL202" s="56">
        <f t="shared" ca="1" si="390"/>
        <v>9.7263157894736842</v>
      </c>
      <c r="CM202" s="56">
        <f t="shared" ca="1" si="391"/>
        <v>9.7263157894736842</v>
      </c>
      <c r="CN202" s="56">
        <f t="shared" ca="1" si="392"/>
        <v>9.7263157894736842</v>
      </c>
      <c r="CO202" s="56">
        <f t="shared" ca="1" si="393"/>
        <v>9.7263157894736842</v>
      </c>
      <c r="CP202" s="56">
        <f t="shared" ca="1" si="394"/>
        <v>9.7263157894736842</v>
      </c>
      <c r="CQ202" s="56">
        <f t="shared" ca="1" si="395"/>
        <v>9.7263157894736842</v>
      </c>
      <c r="CR202" s="56">
        <f t="shared" ca="1" si="396"/>
        <v>9.7263157894736842</v>
      </c>
      <c r="CS202" s="56">
        <f t="shared" ca="1" si="397"/>
        <v>9.7263157894736842</v>
      </c>
      <c r="CT202" s="56">
        <f t="shared" ca="1" si="398"/>
        <v>9.7263157894736842</v>
      </c>
      <c r="CU202" s="56">
        <f t="shared" ca="1" si="399"/>
        <v>9.7263157894736842</v>
      </c>
      <c r="CV202" s="56">
        <f t="shared" ca="1" si="400"/>
        <v>9.7263157894736842</v>
      </c>
      <c r="CW202" s="56">
        <f t="shared" ca="1" si="401"/>
        <v>9.7263157894736842</v>
      </c>
      <c r="CX202" s="56">
        <f t="shared" ca="1" si="402"/>
        <v>9.7263157894736842</v>
      </c>
      <c r="CY202" s="56">
        <f t="shared" ca="1" si="403"/>
        <v>9.7263157894736842</v>
      </c>
      <c r="CZ202" s="56">
        <f t="shared" ca="1" si="404"/>
        <v>9.7263157894736842</v>
      </c>
      <c r="DA202" s="56">
        <f t="shared" ca="1" si="405"/>
        <v>9.7263157894736842</v>
      </c>
      <c r="DB202" s="56">
        <f t="shared" ca="1" si="406"/>
        <v>9.7263157894736842</v>
      </c>
      <c r="DC202" s="56">
        <f t="shared" ca="1" si="407"/>
        <v>9.7263157894736842</v>
      </c>
      <c r="DD202" s="56">
        <f t="shared" ca="1" si="408"/>
        <v>9.7263157894736842</v>
      </c>
      <c r="DE202" s="56">
        <f t="shared" ca="1" si="409"/>
        <v>9.7263157894736842</v>
      </c>
      <c r="DF202" s="56">
        <f t="shared" ca="1" si="410"/>
        <v>9.7263157894736842</v>
      </c>
      <c r="DG202" s="56">
        <f t="shared" ca="1" si="411"/>
        <v>9.7263157894736842</v>
      </c>
      <c r="DH202" s="56">
        <f t="shared" ca="1" si="412"/>
        <v>9.7263157894736842</v>
      </c>
      <c r="DI202" s="56">
        <f t="shared" ca="1" si="413"/>
        <v>9.7263157894736842</v>
      </c>
      <c r="DJ202" s="56">
        <f t="shared" ca="1" si="414"/>
        <v>9.7263157894736842</v>
      </c>
      <c r="DK202" s="56">
        <f t="shared" ca="1" si="415"/>
        <v>9.7263157894736842</v>
      </c>
      <c r="DL202" s="56">
        <f t="shared" ca="1" si="416"/>
        <v>9.7263157894736842</v>
      </c>
      <c r="DM202" s="56">
        <f t="shared" ca="1" si="417"/>
        <v>9.7263157894736842</v>
      </c>
      <c r="DN202" s="56">
        <f t="shared" ca="1" si="418"/>
        <v>9.7263157894736842</v>
      </c>
      <c r="DO202" s="56">
        <f t="shared" ca="1" si="419"/>
        <v>9.7263157894736842</v>
      </c>
      <c r="DP202" s="56">
        <f t="shared" ca="1" si="420"/>
        <v>9.7263157894736842</v>
      </c>
      <c r="DQ202" s="56">
        <f t="shared" ca="1" si="421"/>
        <v>6.4842105263157892</v>
      </c>
      <c r="DR202" s="56">
        <f t="shared" ca="1" si="422"/>
        <v>6.4848699914243619</v>
      </c>
      <c r="DS202" s="56">
        <f t="shared" ca="1" si="423"/>
        <v>6.4868469371026505</v>
      </c>
      <c r="DT202" s="56">
        <f t="shared" ca="1" si="424"/>
        <v>6.4901370175949991</v>
      </c>
      <c r="DU202" s="56">
        <f t="shared" ca="1" si="425"/>
        <v>6.4947330005904433</v>
      </c>
      <c r="DV202" s="56">
        <f t="shared" ca="1" si="426"/>
        <v>6.5006247831209016</v>
      </c>
      <c r="DW202" s="56">
        <f t="shared" ca="1" si="427"/>
        <v>6.5077994137696855</v>
      </c>
      <c r="DX202" s="56">
        <f t="shared" ca="1" si="428"/>
        <v>6.5162411211415288</v>
      </c>
      <c r="DY202" s="56">
        <f t="shared" ca="1" si="429"/>
        <v>6.5259313485315369</v>
      </c>
      <c r="DZ202" s="56">
        <f t="shared" ca="1" si="430"/>
        <v>6.5368487947168514</v>
      </c>
      <c r="EA202" s="56">
        <f t="shared" ca="1" si="431"/>
        <v>6.5489694607813576</v>
      </c>
      <c r="EB202" s="56">
        <f t="shared" ca="1" si="432"/>
        <v>6.5622667028705148</v>
      </c>
      <c r="EC202" s="56">
        <f t="shared" ca="1" si="433"/>
        <v>6.5767112907603309</v>
      </c>
      <c r="ED202" s="56">
        <f t="shared" ca="1" si="434"/>
        <v>6.5922714721117348</v>
      </c>
      <c r="EE202" s="56">
        <f t="shared" ca="1" si="435"/>
        <v>6.608913042269112</v>
      </c>
      <c r="EF202" s="56">
        <f t="shared" ca="1" si="436"/>
        <v>6.6265994194495601</v>
      </c>
      <c r="EG202" s="56">
        <f t="shared" ca="1" si="437"/>
        <v>6.6452917251575876</v>
      </c>
      <c r="EH202" s="56">
        <f t="shared" ca="1" si="438"/>
        <v>6.6649488696484847</v>
      </c>
      <c r="EI202" s="56">
        <f t="shared" ca="1" si="439"/>
        <v>6.6855276422524961</v>
      </c>
      <c r="EJ202" s="56">
        <f t="shared" ca="1" si="440"/>
        <v>6.7069828063612587</v>
      </c>
      <c r="EK202" s="56">
        <f t="shared" ca="1" si="441"/>
        <v>6.7292671988676762</v>
      </c>
      <c r="EL202" s="56">
        <f t="shared" ca="1" si="442"/>
        <v>6.7523318338406701</v>
      </c>
      <c r="EM202" s="56">
        <f t="shared" ca="1" si="443"/>
        <v>6.7761260102068848</v>
      </c>
      <c r="EN202" s="56">
        <f t="shared" ca="1" si="444"/>
        <v>6.8005974232026505</v>
      </c>
      <c r="EO202" s="56">
        <f t="shared" ca="1" si="445"/>
        <v>6.8256922793512071</v>
      </c>
      <c r="EP202" s="56">
        <f t="shared" ca="1" si="446"/>
        <v>6.8513554147124394</v>
      </c>
      <c r="EQ202" s="56">
        <f t="shared" ca="1" si="447"/>
        <v>6.8775304161451896</v>
      </c>
      <c r="ER202" s="56">
        <f t="shared" ca="1" si="448"/>
        <v>6.9041597453155852</v>
      </c>
      <c r="ES202" s="56">
        <f t="shared" ca="1" si="449"/>
        <v>6.9311848651787837</v>
      </c>
      <c r="ET202" s="56">
        <f t="shared" ca="1" si="450"/>
        <v>6.9585463686561031</v>
      </c>
      <c r="EU202" s="56">
        <f t="shared" ca="1" si="451"/>
        <v>6.9861841092246717</v>
      </c>
      <c r="EV202" s="56">
        <f t="shared" ca="1" si="452"/>
        <v>7.0140373331325403</v>
      </c>
      <c r="EW202" s="56">
        <f t="shared" ca="1" si="453"/>
        <v>7.042044812948614</v>
      </c>
      <c r="EX202" s="56">
        <f t="shared" ca="1" si="454"/>
        <v>7.0701449821538338</v>
      </c>
      <c r="EY202" s="56">
        <f t="shared" ca="1" si="455"/>
        <v>7.0982760704777457</v>
      </c>
      <c r="EZ202" s="56">
        <f t="shared" ca="1" si="456"/>
        <v>7.1263762396829655</v>
      </c>
      <c r="FA202" s="56">
        <f t="shared" ca="1" si="457"/>
        <v>7.1543837194990392</v>
      </c>
      <c r="FB202" s="56">
        <f t="shared" ca="1" si="458"/>
        <v>7.1822369434069078</v>
      </c>
      <c r="FC202" s="56">
        <f t="shared" ca="1" si="459"/>
        <v>7.2098746839754764</v>
      </c>
      <c r="FD202" s="56">
        <f t="shared" ca="1" si="460"/>
        <v>7.2372361874527957</v>
      </c>
      <c r="FE202" s="56">
        <f t="shared" ca="1" si="461"/>
        <v>7.2642613073159943</v>
      </c>
      <c r="FF202" s="56">
        <f t="shared" ca="1" si="462"/>
        <v>7.2908906364863899</v>
      </c>
      <c r="FG202" s="56">
        <f t="shared" ca="1" si="463"/>
        <v>7.3170656379191401</v>
      </c>
      <c r="FH202" s="56">
        <f t="shared" ca="1" si="464"/>
        <v>7.3427287732803723</v>
      </c>
      <c r="FI202" s="56">
        <f t="shared" ca="1" si="465"/>
        <v>7.367823629428929</v>
      </c>
      <c r="FJ202" s="56">
        <f t="shared" ca="1" si="466"/>
        <v>7.3922950424246956</v>
      </c>
      <c r="FK202" s="56">
        <f t="shared" ca="1" si="467"/>
        <v>7.4160892187909093</v>
      </c>
      <c r="FL202" s="56">
        <f t="shared" ca="1" si="468"/>
        <v>7.4391538537639033</v>
      </c>
      <c r="FM202" s="56">
        <f t="shared" ca="1" si="469"/>
        <v>7.4614382462703208</v>
      </c>
      <c r="FN202" s="56">
        <f t="shared" ca="1" si="470"/>
        <v>7.4828934103790834</v>
      </c>
      <c r="FO202" s="56">
        <f t="shared" ca="1" si="471"/>
        <v>7.5034721829830948</v>
      </c>
      <c r="FP202" s="56">
        <f t="shared" ca="1" si="472"/>
        <v>7.523129327473991</v>
      </c>
      <c r="FQ202" s="56">
        <f t="shared" ca="1" si="473"/>
        <v>7.5418216331820194</v>
      </c>
      <c r="FR202" s="56">
        <f t="shared" ca="1" si="474"/>
        <v>7.5595080103624674</v>
      </c>
      <c r="FS202" s="56">
        <f t="shared" ca="1" si="475"/>
        <v>7.5761495805198447</v>
      </c>
      <c r="FT202" s="56">
        <f t="shared" ca="1" si="476"/>
        <v>7.5917097618712486</v>
      </c>
      <c r="FU202" s="56">
        <f t="shared" ca="1" si="477"/>
        <v>7.6061543497610646</v>
      </c>
      <c r="FV202" s="56">
        <f t="shared" ca="1" si="478"/>
        <v>7.6194515918502219</v>
      </c>
      <c r="FW202" s="56">
        <f t="shared" ca="1" si="479"/>
        <v>7.631572257914728</v>
      </c>
      <c r="FX202" s="56">
        <f t="shared" ca="1" si="480"/>
        <v>7.6424897041000426</v>
      </c>
      <c r="FY202" s="56">
        <f t="shared" ca="1" si="481"/>
        <v>7.6521799314900507</v>
      </c>
      <c r="FZ202" s="56">
        <f t="shared" ca="1" si="482"/>
        <v>7.6606216388618948</v>
      </c>
      <c r="GA202" s="56">
        <f t="shared" ca="1" si="483"/>
        <v>7.6677962695106778</v>
      </c>
      <c r="GB202" s="56">
        <f t="shared" ca="1" si="484"/>
        <v>7.6736880520411361</v>
      </c>
      <c r="GC202" s="56">
        <f t="shared" ca="1" si="485"/>
        <v>7.6782840350365804</v>
      </c>
      <c r="GD202" s="56">
        <f t="shared" ca="1" si="486"/>
        <v>7.681574115528929</v>
      </c>
      <c r="GE202" s="56">
        <f t="shared" ca="1" si="487"/>
        <v>7.6835510612072175</v>
      </c>
      <c r="GF202" s="56">
        <f t="shared" ca="1" si="488"/>
        <v>7.6842105263157903</v>
      </c>
      <c r="GG202" s="56">
        <f t="shared" ca="1" si="489"/>
        <v>7.6842105263157903</v>
      </c>
      <c r="GH202" s="56">
        <f t="shared" ca="1" si="490"/>
        <v>7.6842105263157903</v>
      </c>
      <c r="GI202" s="56">
        <f t="shared" ca="1" si="491"/>
        <v>7.6842105263157903</v>
      </c>
      <c r="GJ202" s="56">
        <f t="shared" ca="1" si="492"/>
        <v>7.6842105263157903</v>
      </c>
      <c r="GK202" s="56">
        <f t="shared" ca="1" si="493"/>
        <v>7.6842105263157903</v>
      </c>
      <c r="GL202" s="56">
        <f t="shared" ca="1" si="494"/>
        <v>7.6842105263157903</v>
      </c>
      <c r="GM202" s="56">
        <f t="shared" ca="1" si="495"/>
        <v>7.6842105263157903</v>
      </c>
      <c r="GN202" s="56">
        <f t="shared" ca="1" si="496"/>
        <v>7.6842105263157903</v>
      </c>
      <c r="GO202" s="56">
        <f t="shared" ca="1" si="497"/>
        <v>7.6842105263157903</v>
      </c>
      <c r="GP202" s="56">
        <f t="shared" ca="1" si="498"/>
        <v>7.6842105263157903</v>
      </c>
    </row>
    <row r="203" spans="1:198" x14ac:dyDescent="0.35">
      <c r="A203" s="55" t="str">
        <f t="shared" si="304"/>
        <v>Available now &gt; M&amp;T Bank</v>
      </c>
      <c r="B203" s="55" t="s">
        <v>297</v>
      </c>
      <c r="K203" s="56">
        <f t="shared" ca="1" si="311"/>
        <v>29.568421052631574</v>
      </c>
      <c r="L203" s="56">
        <f t="shared" ca="1" si="312"/>
        <v>29.568421052631574</v>
      </c>
      <c r="M203" s="56">
        <f t="shared" ca="1" si="313"/>
        <v>29.568421052631574</v>
      </c>
      <c r="N203" s="56">
        <f t="shared" ca="1" si="314"/>
        <v>29.568421052631574</v>
      </c>
      <c r="O203" s="56">
        <f t="shared" ca="1" si="315"/>
        <v>29.568421052631574</v>
      </c>
      <c r="P203" s="56">
        <f t="shared" ca="1" si="316"/>
        <v>29.568421052631574</v>
      </c>
      <c r="Q203" s="56">
        <f t="shared" ca="1" si="317"/>
        <v>29.568421052631574</v>
      </c>
      <c r="R203" s="56">
        <f t="shared" ca="1" si="318"/>
        <v>29.568421052631574</v>
      </c>
      <c r="S203" s="56">
        <f t="shared" ca="1" si="319"/>
        <v>29.568421052631574</v>
      </c>
      <c r="T203" s="56">
        <f t="shared" ca="1" si="320"/>
        <v>29.568421052631574</v>
      </c>
      <c r="U203" s="56">
        <f t="shared" ca="1" si="321"/>
        <v>29.55783503948669</v>
      </c>
      <c r="V203" s="56">
        <f t="shared" ca="1" si="322"/>
        <v>29.526099591137573</v>
      </c>
      <c r="W203" s="56">
        <f t="shared" ca="1" si="323"/>
        <v>29.47328243263032</v>
      </c>
      <c r="X203" s="56">
        <f t="shared" ca="1" si="324"/>
        <v>29.399496278442918</v>
      </c>
      <c r="Y203" s="56">
        <f t="shared" ca="1" si="325"/>
        <v>29.30489859194687</v>
      </c>
      <c r="Z203" s="56">
        <f t="shared" ca="1" si="326"/>
        <v>29.189691249372437</v>
      </c>
      <c r="AA203" s="56">
        <f t="shared" ca="1" si="327"/>
        <v>29.054120108994578</v>
      </c>
      <c r="AB203" s="56">
        <f t="shared" ca="1" si="328"/>
        <v>28.898474486458998</v>
      </c>
      <c r="AC203" s="56">
        <f t="shared" ca="1" si="329"/>
        <v>28.723086537367994</v>
      </c>
      <c r="AD203" s="56">
        <f t="shared" ca="1" si="330"/>
        <v>28.528330548443641</v>
      </c>
      <c r="AE203" s="56">
        <f t="shared" ca="1" si="331"/>
        <v>28.314622138781083</v>
      </c>
      <c r="AF203" s="56">
        <f t="shared" ca="1" si="332"/>
        <v>28.082417372896433</v>
      </c>
      <c r="AG203" s="56">
        <f t="shared" ca="1" si="333"/>
        <v>27.8322117874621</v>
      </c>
      <c r="AH203" s="56">
        <f t="shared" ca="1" si="334"/>
        <v>27.564539333806582</v>
      </c>
      <c r="AI203" s="56">
        <f t="shared" ca="1" si="335"/>
        <v>27.279971238435401</v>
      </c>
      <c r="AJ203" s="56">
        <f t="shared" ca="1" si="336"/>
        <v>26.979114784004956</v>
      </c>
      <c r="AK203" s="56">
        <f t="shared" ca="1" si="337"/>
        <v>26.662612013350746</v>
      </c>
      <c r="AL203" s="56">
        <f t="shared" ca="1" si="338"/>
        <v>26.331138359335576</v>
      </c>
      <c r="AM203" s="56">
        <f t="shared" ca="1" si="339"/>
        <v>25.985401203441825</v>
      </c>
      <c r="AN203" s="56">
        <f t="shared" ca="1" si="340"/>
        <v>25.626138366183671</v>
      </c>
      <c r="AO203" s="56">
        <f t="shared" ca="1" si="341"/>
        <v>25.254116532560975</v>
      </c>
      <c r="AP203" s="56">
        <f t="shared" ca="1" si="342"/>
        <v>24.870129615914816</v>
      </c>
      <c r="AQ203" s="56">
        <f t="shared" ca="1" si="343"/>
        <v>24.47499706367644</v>
      </c>
      <c r="AR203" s="56">
        <f t="shared" ca="1" si="344"/>
        <v>24.069562108625128</v>
      </c>
      <c r="AS203" s="56">
        <f t="shared" ca="1" si="345"/>
        <v>23.654689969386954</v>
      </c>
      <c r="AT203" s="56">
        <f t="shared" ca="1" si="346"/>
        <v>23.231266004014646</v>
      </c>
      <c r="AU203" s="56">
        <f t="shared" ca="1" si="347"/>
        <v>22.800193820588863</v>
      </c>
      <c r="AV203" s="56">
        <f t="shared" ca="1" si="348"/>
        <v>22.362393348873031</v>
      </c>
      <c r="AW203" s="56">
        <f t="shared" ca="1" si="349"/>
        <v>21.918798877136854</v>
      </c>
      <c r="AX203" s="56">
        <f t="shared" ca="1" si="350"/>
        <v>21.470357058338081</v>
      </c>
      <c r="AY203" s="56">
        <f t="shared" ca="1" si="351"/>
        <v>21.018024889917356</v>
      </c>
      <c r="AZ203" s="56">
        <f t="shared" ca="1" si="352"/>
        <v>20.562767671517491</v>
      </c>
      <c r="BA203" s="56">
        <f t="shared" ca="1" si="353"/>
        <v>20.105556944985363</v>
      </c>
      <c r="BB203" s="56">
        <f t="shared" ca="1" si="354"/>
        <v>19.647368421052633</v>
      </c>
      <c r="BC203" s="56">
        <f t="shared" ca="1" si="355"/>
        <v>19.189179897119899</v>
      </c>
      <c r="BD203" s="56">
        <f t="shared" ca="1" si="356"/>
        <v>18.731969170587767</v>
      </c>
      <c r="BE203" s="56">
        <f t="shared" ca="1" si="357"/>
        <v>18.276711952187902</v>
      </c>
      <c r="BF203" s="56">
        <f t="shared" ca="1" si="358"/>
        <v>17.824379783767181</v>
      </c>
      <c r="BG203" s="56">
        <f t="shared" ca="1" si="359"/>
        <v>17.375937964968408</v>
      </c>
      <c r="BH203" s="56">
        <f t="shared" ca="1" si="360"/>
        <v>16.932343493232228</v>
      </c>
      <c r="BI203" s="56">
        <f t="shared" ca="1" si="361"/>
        <v>16.494543021516396</v>
      </c>
      <c r="BJ203" s="56">
        <f t="shared" ca="1" si="362"/>
        <v>16.063470838090613</v>
      </c>
      <c r="BK203" s="56">
        <f t="shared" ca="1" si="363"/>
        <v>15.640046872718305</v>
      </c>
      <c r="BL203" s="56">
        <f t="shared" ca="1" si="364"/>
        <v>15.225174733480133</v>
      </c>
      <c r="BM203" s="56">
        <f t="shared" ca="1" si="365"/>
        <v>14.81973977842882</v>
      </c>
      <c r="BN203" s="56">
        <f t="shared" ca="1" si="366"/>
        <v>14.424607226190442</v>
      </c>
      <c r="BO203" s="56">
        <f t="shared" ca="1" si="367"/>
        <v>14.040620309544284</v>
      </c>
      <c r="BP203" s="56">
        <f t="shared" ca="1" si="368"/>
        <v>13.668598475921588</v>
      </c>
      <c r="BQ203" s="56">
        <f t="shared" ca="1" si="369"/>
        <v>13.309335638663438</v>
      </c>
      <c r="BR203" s="56">
        <f t="shared" ca="1" si="370"/>
        <v>12.96359848276968</v>
      </c>
      <c r="BS203" s="56">
        <f t="shared" ca="1" si="371"/>
        <v>12.632124828754517</v>
      </c>
      <c r="BT203" s="56">
        <f t="shared" ca="1" si="372"/>
        <v>12.315622058100303</v>
      </c>
      <c r="BU203" s="56">
        <f t="shared" ca="1" si="373"/>
        <v>12.014765603669858</v>
      </c>
      <c r="BV203" s="56">
        <f t="shared" ca="1" si="374"/>
        <v>11.730197508298676</v>
      </c>
      <c r="BW203" s="56">
        <f t="shared" ca="1" si="375"/>
        <v>11.462525054643159</v>
      </c>
      <c r="BX203" s="56">
        <f t="shared" ca="1" si="376"/>
        <v>11.212319469208829</v>
      </c>
      <c r="BY203" s="56">
        <f t="shared" ca="1" si="377"/>
        <v>10.980114703324176</v>
      </c>
      <c r="BZ203" s="56">
        <f t="shared" ca="1" si="378"/>
        <v>10.766406293661618</v>
      </c>
      <c r="CA203" s="56">
        <f t="shared" ca="1" si="379"/>
        <v>10.571650304737265</v>
      </c>
      <c r="CB203" s="56">
        <f t="shared" ca="1" si="380"/>
        <v>10.396262355646261</v>
      </c>
      <c r="CC203" s="56">
        <f t="shared" ca="1" si="381"/>
        <v>10.240616733110681</v>
      </c>
      <c r="CD203" s="56">
        <f t="shared" ca="1" si="382"/>
        <v>10.105045592732822</v>
      </c>
      <c r="CE203" s="56">
        <f t="shared" ca="1" si="383"/>
        <v>9.9898382501583889</v>
      </c>
      <c r="CF203" s="56">
        <f t="shared" ca="1" si="384"/>
        <v>9.8952405636623411</v>
      </c>
      <c r="CG203" s="56">
        <f t="shared" ca="1" si="385"/>
        <v>9.8214544094749385</v>
      </c>
      <c r="CH203" s="56">
        <f t="shared" ca="1" si="386"/>
        <v>9.7686372509676858</v>
      </c>
      <c r="CI203" s="56">
        <f t="shared" ca="1" si="387"/>
        <v>9.7369018026185685</v>
      </c>
      <c r="CJ203" s="56">
        <f t="shared" ca="1" si="388"/>
        <v>9.7263157894736842</v>
      </c>
      <c r="CK203" s="56">
        <f t="shared" ca="1" si="389"/>
        <v>9.7263157894736842</v>
      </c>
      <c r="CL203" s="56">
        <f t="shared" ca="1" si="390"/>
        <v>9.7263157894736842</v>
      </c>
      <c r="CM203" s="56">
        <f t="shared" ca="1" si="391"/>
        <v>9.7263157894736842</v>
      </c>
      <c r="CN203" s="56">
        <f t="shared" ca="1" si="392"/>
        <v>9.7263157894736842</v>
      </c>
      <c r="CO203" s="56">
        <f t="shared" ca="1" si="393"/>
        <v>9.7263157894736842</v>
      </c>
      <c r="CP203" s="56">
        <f t="shared" ca="1" si="394"/>
        <v>9.7263157894736842</v>
      </c>
      <c r="CQ203" s="56">
        <f t="shared" ca="1" si="395"/>
        <v>9.7263157894736842</v>
      </c>
      <c r="CR203" s="56">
        <f t="shared" ca="1" si="396"/>
        <v>9.7263157894736842</v>
      </c>
      <c r="CS203" s="56">
        <f t="shared" ca="1" si="397"/>
        <v>9.7263157894736842</v>
      </c>
      <c r="CT203" s="56">
        <f t="shared" ca="1" si="398"/>
        <v>9.7263157894736842</v>
      </c>
      <c r="CU203" s="56">
        <f t="shared" ca="1" si="399"/>
        <v>9.7263157894736842</v>
      </c>
      <c r="CV203" s="56">
        <f t="shared" ca="1" si="400"/>
        <v>9.7263157894736842</v>
      </c>
      <c r="CW203" s="56">
        <f t="shared" ca="1" si="401"/>
        <v>9.7263157894736842</v>
      </c>
      <c r="CX203" s="56">
        <f t="shared" ca="1" si="402"/>
        <v>9.7263157894736842</v>
      </c>
      <c r="CY203" s="56">
        <f t="shared" ca="1" si="403"/>
        <v>9.7263157894736842</v>
      </c>
      <c r="CZ203" s="56">
        <f t="shared" ca="1" si="404"/>
        <v>9.7263157894736842</v>
      </c>
      <c r="DA203" s="56">
        <f t="shared" ca="1" si="405"/>
        <v>9.7263157894736842</v>
      </c>
      <c r="DB203" s="56">
        <f t="shared" ca="1" si="406"/>
        <v>9.7263157894736842</v>
      </c>
      <c r="DC203" s="56">
        <f t="shared" ca="1" si="407"/>
        <v>9.7263157894736842</v>
      </c>
      <c r="DD203" s="56">
        <f t="shared" ca="1" si="408"/>
        <v>9.7263157894736842</v>
      </c>
      <c r="DE203" s="56">
        <f t="shared" ca="1" si="409"/>
        <v>9.7263157894736842</v>
      </c>
      <c r="DF203" s="56">
        <f t="shared" ca="1" si="410"/>
        <v>9.7263157894736842</v>
      </c>
      <c r="DG203" s="56">
        <f t="shared" ca="1" si="411"/>
        <v>9.7263157894736842</v>
      </c>
      <c r="DH203" s="56">
        <f t="shared" ca="1" si="412"/>
        <v>9.7263157894736842</v>
      </c>
      <c r="DI203" s="56">
        <f t="shared" ca="1" si="413"/>
        <v>9.7263157894736842</v>
      </c>
      <c r="DJ203" s="56">
        <f t="shared" ca="1" si="414"/>
        <v>9.7263157894736842</v>
      </c>
      <c r="DK203" s="56">
        <f t="shared" ca="1" si="415"/>
        <v>9.7263157894736842</v>
      </c>
      <c r="DL203" s="56">
        <f t="shared" ca="1" si="416"/>
        <v>9.7263157894736842</v>
      </c>
      <c r="DM203" s="56">
        <f t="shared" ca="1" si="417"/>
        <v>9.7263157894736842</v>
      </c>
      <c r="DN203" s="56">
        <f t="shared" ca="1" si="418"/>
        <v>9.7263157894736842</v>
      </c>
      <c r="DO203" s="56">
        <f t="shared" ca="1" si="419"/>
        <v>9.7263157894736842</v>
      </c>
      <c r="DP203" s="56">
        <f t="shared" ca="1" si="420"/>
        <v>9.7263157894736842</v>
      </c>
      <c r="DQ203" s="56">
        <f t="shared" ca="1" si="421"/>
        <v>7.2947368421052632</v>
      </c>
      <c r="DR203" s="56">
        <f t="shared" ca="1" si="422"/>
        <v>7.2956161289166941</v>
      </c>
      <c r="DS203" s="56">
        <f t="shared" ca="1" si="423"/>
        <v>7.2982520564877449</v>
      </c>
      <c r="DT203" s="56">
        <f t="shared" ca="1" si="424"/>
        <v>7.3026388304775427</v>
      </c>
      <c r="DU203" s="56">
        <f t="shared" ca="1" si="425"/>
        <v>7.308766807804802</v>
      </c>
      <c r="DV203" s="56">
        <f t="shared" ca="1" si="426"/>
        <v>7.3166225178454125</v>
      </c>
      <c r="DW203" s="56">
        <f t="shared" ca="1" si="427"/>
        <v>7.3261886920437913</v>
      </c>
      <c r="DX203" s="56">
        <f t="shared" ca="1" si="428"/>
        <v>7.3374443018729156</v>
      </c>
      <c r="DY203" s="56">
        <f t="shared" ca="1" si="429"/>
        <v>7.3503646050595943</v>
      </c>
      <c r="DZ203" s="56">
        <f t="shared" ca="1" si="430"/>
        <v>7.3649211999733462</v>
      </c>
      <c r="EA203" s="56">
        <f t="shared" ca="1" si="431"/>
        <v>7.3810820880593537</v>
      </c>
      <c r="EB203" s="56">
        <f t="shared" ca="1" si="432"/>
        <v>7.3988117441782313</v>
      </c>
      <c r="EC203" s="56">
        <f t="shared" ca="1" si="433"/>
        <v>7.4180711946979851</v>
      </c>
      <c r="ED203" s="56">
        <f t="shared" ca="1" si="434"/>
        <v>7.4388181031665237</v>
      </c>
      <c r="EE203" s="56">
        <f t="shared" ca="1" si="435"/>
        <v>7.46100686337636</v>
      </c>
      <c r="EF203" s="56">
        <f t="shared" ca="1" si="436"/>
        <v>7.4845886996169577</v>
      </c>
      <c r="EG203" s="56">
        <f t="shared" ca="1" si="437"/>
        <v>7.509511773894328</v>
      </c>
      <c r="EH203" s="56">
        <f t="shared" ca="1" si="438"/>
        <v>7.5357212998821899</v>
      </c>
      <c r="EI203" s="56">
        <f t="shared" ca="1" si="439"/>
        <v>7.563159663354206</v>
      </c>
      <c r="EJ203" s="56">
        <f t="shared" ca="1" si="440"/>
        <v>7.5917665488325552</v>
      </c>
      <c r="EK203" s="56">
        <f t="shared" ca="1" si="441"/>
        <v>7.621479072174445</v>
      </c>
      <c r="EL203" s="56">
        <f t="shared" ca="1" si="442"/>
        <v>7.6522319188051036</v>
      </c>
      <c r="EM203" s="56">
        <f t="shared" ca="1" si="443"/>
        <v>7.68395748729339</v>
      </c>
      <c r="EN203" s="56">
        <f t="shared" ca="1" si="444"/>
        <v>7.7165860379544116</v>
      </c>
      <c r="EO203" s="56">
        <f t="shared" ca="1" si="445"/>
        <v>7.7500458461524868</v>
      </c>
      <c r="EP203" s="56">
        <f t="shared" ca="1" si="446"/>
        <v>7.784263359967464</v>
      </c>
      <c r="EQ203" s="56">
        <f t="shared" ca="1" si="447"/>
        <v>7.8191633618777967</v>
      </c>
      <c r="ER203" s="56">
        <f t="shared" ca="1" si="448"/>
        <v>7.8546691341049906</v>
      </c>
      <c r="ES203" s="56">
        <f t="shared" ca="1" si="449"/>
        <v>7.890702627255922</v>
      </c>
      <c r="ET203" s="56">
        <f t="shared" ca="1" si="450"/>
        <v>7.9271846318923478</v>
      </c>
      <c r="EU203" s="56">
        <f t="shared" ca="1" si="451"/>
        <v>7.9640349526504393</v>
      </c>
      <c r="EV203" s="56">
        <f t="shared" ca="1" si="452"/>
        <v>8.0011725845275965</v>
      </c>
      <c r="EW203" s="56">
        <f t="shared" ca="1" si="453"/>
        <v>8.0385158909490286</v>
      </c>
      <c r="EX203" s="56">
        <f t="shared" ca="1" si="454"/>
        <v>8.0759827832226545</v>
      </c>
      <c r="EY203" s="56">
        <f t="shared" ca="1" si="455"/>
        <v>8.1134909009878715</v>
      </c>
      <c r="EZ203" s="56">
        <f t="shared" ca="1" si="456"/>
        <v>8.1509577932614974</v>
      </c>
      <c r="FA203" s="56">
        <f t="shared" ca="1" si="457"/>
        <v>8.1883010996829295</v>
      </c>
      <c r="FB203" s="56">
        <f t="shared" ca="1" si="458"/>
        <v>8.2254387315600876</v>
      </c>
      <c r="FC203" s="56">
        <f t="shared" ca="1" si="459"/>
        <v>8.2622890523181791</v>
      </c>
      <c r="FD203" s="56">
        <f t="shared" ca="1" si="460"/>
        <v>8.2987710569546049</v>
      </c>
      <c r="FE203" s="56">
        <f t="shared" ca="1" si="461"/>
        <v>8.3348045501055363</v>
      </c>
      <c r="FF203" s="56">
        <f t="shared" ca="1" si="462"/>
        <v>8.3703103223327293</v>
      </c>
      <c r="FG203" s="56">
        <f t="shared" ca="1" si="463"/>
        <v>8.4052103242430629</v>
      </c>
      <c r="FH203" s="56">
        <f t="shared" ca="1" si="464"/>
        <v>8.4394278380580392</v>
      </c>
      <c r="FI203" s="56">
        <f t="shared" ca="1" si="465"/>
        <v>8.4728876462561153</v>
      </c>
      <c r="FJ203" s="56">
        <f t="shared" ca="1" si="466"/>
        <v>8.5055161969171369</v>
      </c>
      <c r="FK203" s="56">
        <f t="shared" ca="1" si="467"/>
        <v>8.5372417654054225</v>
      </c>
      <c r="FL203" s="56">
        <f t="shared" ca="1" si="468"/>
        <v>8.567994612036081</v>
      </c>
      <c r="FM203" s="56">
        <f t="shared" ca="1" si="469"/>
        <v>8.5977071353779717</v>
      </c>
      <c r="FN203" s="56">
        <f t="shared" ca="1" si="470"/>
        <v>8.62631402085632</v>
      </c>
      <c r="FO203" s="56">
        <f t="shared" ca="1" si="471"/>
        <v>8.653752384328337</v>
      </c>
      <c r="FP203" s="56">
        <f t="shared" ca="1" si="472"/>
        <v>8.679961910316198</v>
      </c>
      <c r="FQ203" s="56">
        <f t="shared" ca="1" si="473"/>
        <v>8.7048849845935692</v>
      </c>
      <c r="FR203" s="56">
        <f t="shared" ca="1" si="474"/>
        <v>8.728466820834166</v>
      </c>
      <c r="FS203" s="56">
        <f t="shared" ca="1" si="475"/>
        <v>8.7506555810440023</v>
      </c>
      <c r="FT203" s="56">
        <f t="shared" ca="1" si="476"/>
        <v>8.7714024895125409</v>
      </c>
      <c r="FU203" s="56">
        <f t="shared" ca="1" si="477"/>
        <v>8.7906619400322956</v>
      </c>
      <c r="FV203" s="56">
        <f t="shared" ca="1" si="478"/>
        <v>8.8083915961511732</v>
      </c>
      <c r="FW203" s="56">
        <f t="shared" ca="1" si="479"/>
        <v>8.8245524842371807</v>
      </c>
      <c r="FX203" s="56">
        <f t="shared" ca="1" si="480"/>
        <v>8.8391090791509335</v>
      </c>
      <c r="FY203" s="56">
        <f t="shared" ca="1" si="481"/>
        <v>8.8520293823376104</v>
      </c>
      <c r="FZ203" s="56">
        <f t="shared" ca="1" si="482"/>
        <v>8.8632849921667365</v>
      </c>
      <c r="GA203" s="56">
        <f t="shared" ca="1" si="483"/>
        <v>8.8728511663651144</v>
      </c>
      <c r="GB203" s="56">
        <f t="shared" ca="1" si="484"/>
        <v>8.8807068764057249</v>
      </c>
      <c r="GC203" s="56">
        <f t="shared" ca="1" si="485"/>
        <v>8.8868348537329851</v>
      </c>
      <c r="GD203" s="56">
        <f t="shared" ca="1" si="486"/>
        <v>8.891221627722782</v>
      </c>
      <c r="GE203" s="56">
        <f t="shared" ca="1" si="487"/>
        <v>8.8938575552938328</v>
      </c>
      <c r="GF203" s="56">
        <f t="shared" ca="1" si="488"/>
        <v>8.8947368421052637</v>
      </c>
      <c r="GG203" s="56">
        <f t="shared" ca="1" si="489"/>
        <v>8.8947368421052637</v>
      </c>
      <c r="GH203" s="56">
        <f t="shared" ca="1" si="490"/>
        <v>8.8947368421052637</v>
      </c>
      <c r="GI203" s="56">
        <f t="shared" ca="1" si="491"/>
        <v>8.8947368421052637</v>
      </c>
      <c r="GJ203" s="56">
        <f t="shared" ca="1" si="492"/>
        <v>8.8947368421052637</v>
      </c>
      <c r="GK203" s="56">
        <f t="shared" ca="1" si="493"/>
        <v>8.8947368421052637</v>
      </c>
      <c r="GL203" s="56">
        <f t="shared" ca="1" si="494"/>
        <v>8.8947368421052637</v>
      </c>
      <c r="GM203" s="56">
        <f t="shared" ca="1" si="495"/>
        <v>8.8947368421052637</v>
      </c>
      <c r="GN203" s="56">
        <f t="shared" ca="1" si="496"/>
        <v>8.8947368421052637</v>
      </c>
      <c r="GO203" s="56">
        <f t="shared" ca="1" si="497"/>
        <v>8.8947368421052637</v>
      </c>
      <c r="GP203" s="56">
        <f t="shared" ca="1" si="498"/>
        <v>8.8947368421052637</v>
      </c>
    </row>
    <row r="204" spans="1:198" x14ac:dyDescent="0.35">
      <c r="A204" s="55" t="str">
        <f t="shared" si="304"/>
        <v>Available now &gt; Peabody</v>
      </c>
      <c r="B204" s="55" t="s">
        <v>297</v>
      </c>
      <c r="K204" s="56">
        <f t="shared" ca="1" si="311"/>
        <v>29.568421052631574</v>
      </c>
      <c r="L204" s="56">
        <f t="shared" ca="1" si="312"/>
        <v>29.568421052631574</v>
      </c>
      <c r="M204" s="56">
        <f t="shared" ca="1" si="313"/>
        <v>29.568421052631574</v>
      </c>
      <c r="N204" s="56">
        <f t="shared" ca="1" si="314"/>
        <v>29.568421052631574</v>
      </c>
      <c r="O204" s="56">
        <f t="shared" ca="1" si="315"/>
        <v>29.568421052631574</v>
      </c>
      <c r="P204" s="56">
        <f t="shared" ca="1" si="316"/>
        <v>29.568421052631574</v>
      </c>
      <c r="Q204" s="56">
        <f t="shared" ca="1" si="317"/>
        <v>29.568421052631574</v>
      </c>
      <c r="R204" s="56">
        <f t="shared" ca="1" si="318"/>
        <v>29.568421052631574</v>
      </c>
      <c r="S204" s="56">
        <f t="shared" ca="1" si="319"/>
        <v>29.568421052631574</v>
      </c>
      <c r="T204" s="56">
        <f t="shared" ca="1" si="320"/>
        <v>29.568421052631574</v>
      </c>
      <c r="U204" s="56">
        <f t="shared" ca="1" si="321"/>
        <v>29.55783503948669</v>
      </c>
      <c r="V204" s="56">
        <f t="shared" ca="1" si="322"/>
        <v>29.526099591137573</v>
      </c>
      <c r="W204" s="56">
        <f t="shared" ca="1" si="323"/>
        <v>29.47328243263032</v>
      </c>
      <c r="X204" s="56">
        <f t="shared" ca="1" si="324"/>
        <v>29.399496278442918</v>
      </c>
      <c r="Y204" s="56">
        <f t="shared" ca="1" si="325"/>
        <v>29.30489859194687</v>
      </c>
      <c r="Z204" s="56">
        <f t="shared" ca="1" si="326"/>
        <v>29.189691249372437</v>
      </c>
      <c r="AA204" s="56">
        <f t="shared" ca="1" si="327"/>
        <v>29.054120108994578</v>
      </c>
      <c r="AB204" s="56">
        <f t="shared" ca="1" si="328"/>
        <v>28.898474486458998</v>
      </c>
      <c r="AC204" s="56">
        <f t="shared" ca="1" si="329"/>
        <v>28.723086537367994</v>
      </c>
      <c r="AD204" s="56">
        <f t="shared" ca="1" si="330"/>
        <v>28.528330548443641</v>
      </c>
      <c r="AE204" s="56">
        <f t="shared" ca="1" si="331"/>
        <v>28.314622138781083</v>
      </c>
      <c r="AF204" s="56">
        <f t="shared" ca="1" si="332"/>
        <v>28.082417372896433</v>
      </c>
      <c r="AG204" s="56">
        <f t="shared" ca="1" si="333"/>
        <v>27.8322117874621</v>
      </c>
      <c r="AH204" s="56">
        <f t="shared" ca="1" si="334"/>
        <v>27.564539333806582</v>
      </c>
      <c r="AI204" s="56">
        <f t="shared" ca="1" si="335"/>
        <v>27.279971238435401</v>
      </c>
      <c r="AJ204" s="56">
        <f t="shared" ca="1" si="336"/>
        <v>26.979114784004956</v>
      </c>
      <c r="AK204" s="56">
        <f t="shared" ca="1" si="337"/>
        <v>26.662612013350746</v>
      </c>
      <c r="AL204" s="56">
        <f t="shared" ca="1" si="338"/>
        <v>26.331138359335576</v>
      </c>
      <c r="AM204" s="56">
        <f t="shared" ca="1" si="339"/>
        <v>25.985401203441825</v>
      </c>
      <c r="AN204" s="56">
        <f t="shared" ca="1" si="340"/>
        <v>25.626138366183671</v>
      </c>
      <c r="AO204" s="56">
        <f t="shared" ca="1" si="341"/>
        <v>25.254116532560975</v>
      </c>
      <c r="AP204" s="56">
        <f t="shared" ca="1" si="342"/>
        <v>24.870129615914816</v>
      </c>
      <c r="AQ204" s="56">
        <f t="shared" ca="1" si="343"/>
        <v>24.47499706367644</v>
      </c>
      <c r="AR204" s="56">
        <f t="shared" ca="1" si="344"/>
        <v>24.069562108625128</v>
      </c>
      <c r="AS204" s="56">
        <f t="shared" ca="1" si="345"/>
        <v>23.654689969386954</v>
      </c>
      <c r="AT204" s="56">
        <f t="shared" ca="1" si="346"/>
        <v>23.231266004014646</v>
      </c>
      <c r="AU204" s="56">
        <f t="shared" ca="1" si="347"/>
        <v>22.800193820588863</v>
      </c>
      <c r="AV204" s="56">
        <f t="shared" ca="1" si="348"/>
        <v>22.362393348873031</v>
      </c>
      <c r="AW204" s="56">
        <f t="shared" ca="1" si="349"/>
        <v>21.918798877136854</v>
      </c>
      <c r="AX204" s="56">
        <f t="shared" ca="1" si="350"/>
        <v>21.470357058338081</v>
      </c>
      <c r="AY204" s="56">
        <f t="shared" ca="1" si="351"/>
        <v>21.018024889917356</v>
      </c>
      <c r="AZ204" s="56">
        <f t="shared" ca="1" si="352"/>
        <v>20.562767671517491</v>
      </c>
      <c r="BA204" s="56">
        <f t="shared" ca="1" si="353"/>
        <v>20.105556944985363</v>
      </c>
      <c r="BB204" s="56">
        <f t="shared" ca="1" si="354"/>
        <v>19.647368421052633</v>
      </c>
      <c r="BC204" s="56">
        <f t="shared" ca="1" si="355"/>
        <v>19.189179897119899</v>
      </c>
      <c r="BD204" s="56">
        <f t="shared" ca="1" si="356"/>
        <v>18.731969170587767</v>
      </c>
      <c r="BE204" s="56">
        <f t="shared" ca="1" si="357"/>
        <v>18.276711952187902</v>
      </c>
      <c r="BF204" s="56">
        <f t="shared" ca="1" si="358"/>
        <v>17.824379783767181</v>
      </c>
      <c r="BG204" s="56">
        <f t="shared" ca="1" si="359"/>
        <v>17.375937964968408</v>
      </c>
      <c r="BH204" s="56">
        <f t="shared" ca="1" si="360"/>
        <v>16.932343493232228</v>
      </c>
      <c r="BI204" s="56">
        <f t="shared" ca="1" si="361"/>
        <v>16.494543021516396</v>
      </c>
      <c r="BJ204" s="56">
        <f t="shared" ca="1" si="362"/>
        <v>16.063470838090613</v>
      </c>
      <c r="BK204" s="56">
        <f t="shared" ca="1" si="363"/>
        <v>15.640046872718305</v>
      </c>
      <c r="BL204" s="56">
        <f t="shared" ca="1" si="364"/>
        <v>15.225174733480133</v>
      </c>
      <c r="BM204" s="56">
        <f t="shared" ca="1" si="365"/>
        <v>14.81973977842882</v>
      </c>
      <c r="BN204" s="56">
        <f t="shared" ca="1" si="366"/>
        <v>14.424607226190442</v>
      </c>
      <c r="BO204" s="56">
        <f t="shared" ca="1" si="367"/>
        <v>14.040620309544284</v>
      </c>
      <c r="BP204" s="56">
        <f t="shared" ca="1" si="368"/>
        <v>13.668598475921588</v>
      </c>
      <c r="BQ204" s="56">
        <f t="shared" ca="1" si="369"/>
        <v>13.309335638663438</v>
      </c>
      <c r="BR204" s="56">
        <f t="shared" ca="1" si="370"/>
        <v>12.96359848276968</v>
      </c>
      <c r="BS204" s="56">
        <f t="shared" ca="1" si="371"/>
        <v>12.632124828754517</v>
      </c>
      <c r="BT204" s="56">
        <f t="shared" ca="1" si="372"/>
        <v>12.315622058100303</v>
      </c>
      <c r="BU204" s="56">
        <f t="shared" ca="1" si="373"/>
        <v>12.014765603669858</v>
      </c>
      <c r="BV204" s="56">
        <f t="shared" ca="1" si="374"/>
        <v>11.730197508298676</v>
      </c>
      <c r="BW204" s="56">
        <f t="shared" ca="1" si="375"/>
        <v>11.462525054643159</v>
      </c>
      <c r="BX204" s="56">
        <f t="shared" ca="1" si="376"/>
        <v>11.212319469208829</v>
      </c>
      <c r="BY204" s="56">
        <f t="shared" ca="1" si="377"/>
        <v>10.980114703324176</v>
      </c>
      <c r="BZ204" s="56">
        <f t="shared" ca="1" si="378"/>
        <v>10.766406293661618</v>
      </c>
      <c r="CA204" s="56">
        <f t="shared" ca="1" si="379"/>
        <v>10.571650304737265</v>
      </c>
      <c r="CB204" s="56">
        <f t="shared" ca="1" si="380"/>
        <v>10.396262355646261</v>
      </c>
      <c r="CC204" s="56">
        <f t="shared" ca="1" si="381"/>
        <v>10.240616733110681</v>
      </c>
      <c r="CD204" s="56">
        <f t="shared" ca="1" si="382"/>
        <v>10.105045592732822</v>
      </c>
      <c r="CE204" s="56">
        <f t="shared" ca="1" si="383"/>
        <v>9.9898382501583889</v>
      </c>
      <c r="CF204" s="56">
        <f t="shared" ca="1" si="384"/>
        <v>9.8952405636623411</v>
      </c>
      <c r="CG204" s="56">
        <f t="shared" ca="1" si="385"/>
        <v>9.8214544094749385</v>
      </c>
      <c r="CH204" s="56">
        <f t="shared" ca="1" si="386"/>
        <v>9.7686372509676858</v>
      </c>
      <c r="CI204" s="56">
        <f t="shared" ca="1" si="387"/>
        <v>9.7369018026185685</v>
      </c>
      <c r="CJ204" s="56">
        <f t="shared" ca="1" si="388"/>
        <v>9.7263157894736842</v>
      </c>
      <c r="CK204" s="56">
        <f t="shared" ca="1" si="389"/>
        <v>9.7263157894736842</v>
      </c>
      <c r="CL204" s="56">
        <f t="shared" ca="1" si="390"/>
        <v>9.7263157894736842</v>
      </c>
      <c r="CM204" s="56">
        <f t="shared" ca="1" si="391"/>
        <v>9.7263157894736842</v>
      </c>
      <c r="CN204" s="56">
        <f t="shared" ca="1" si="392"/>
        <v>9.7263157894736842</v>
      </c>
      <c r="CO204" s="56">
        <f t="shared" ca="1" si="393"/>
        <v>9.7263157894736842</v>
      </c>
      <c r="CP204" s="56">
        <f t="shared" ca="1" si="394"/>
        <v>9.7263157894736842</v>
      </c>
      <c r="CQ204" s="56">
        <f t="shared" ca="1" si="395"/>
        <v>9.7263157894736842</v>
      </c>
      <c r="CR204" s="56">
        <f t="shared" ca="1" si="396"/>
        <v>9.7263157894736842</v>
      </c>
      <c r="CS204" s="56">
        <f t="shared" ca="1" si="397"/>
        <v>9.7263157894736842</v>
      </c>
      <c r="CT204" s="56">
        <f t="shared" ca="1" si="398"/>
        <v>9.7263157894736842</v>
      </c>
      <c r="CU204" s="56">
        <f t="shared" ca="1" si="399"/>
        <v>9.7263157894736842</v>
      </c>
      <c r="CV204" s="56">
        <f t="shared" ca="1" si="400"/>
        <v>9.7263157894736842</v>
      </c>
      <c r="CW204" s="56">
        <f t="shared" ca="1" si="401"/>
        <v>9.7263157894736842</v>
      </c>
      <c r="CX204" s="56">
        <f t="shared" ca="1" si="402"/>
        <v>9.7263157894736842</v>
      </c>
      <c r="CY204" s="56">
        <f t="shared" ca="1" si="403"/>
        <v>9.7263157894736842</v>
      </c>
      <c r="CZ204" s="56">
        <f t="shared" ca="1" si="404"/>
        <v>9.7263157894736842</v>
      </c>
      <c r="DA204" s="56">
        <f t="shared" ca="1" si="405"/>
        <v>9.7263157894736842</v>
      </c>
      <c r="DB204" s="56">
        <f t="shared" ca="1" si="406"/>
        <v>9.7263157894736842</v>
      </c>
      <c r="DC204" s="56">
        <f t="shared" ca="1" si="407"/>
        <v>9.7263157894736842</v>
      </c>
      <c r="DD204" s="56">
        <f t="shared" ca="1" si="408"/>
        <v>9.7263157894736842</v>
      </c>
      <c r="DE204" s="56">
        <f t="shared" ca="1" si="409"/>
        <v>9.7263157894736842</v>
      </c>
      <c r="DF204" s="56">
        <f t="shared" ca="1" si="410"/>
        <v>9.7263157894736842</v>
      </c>
      <c r="DG204" s="56">
        <f t="shared" ca="1" si="411"/>
        <v>9.7263157894736842</v>
      </c>
      <c r="DH204" s="56">
        <f t="shared" ca="1" si="412"/>
        <v>9.7263157894736842</v>
      </c>
      <c r="DI204" s="56">
        <f t="shared" ca="1" si="413"/>
        <v>9.7263157894736842</v>
      </c>
      <c r="DJ204" s="56">
        <f t="shared" ca="1" si="414"/>
        <v>9.7263157894736842</v>
      </c>
      <c r="DK204" s="56">
        <f t="shared" ca="1" si="415"/>
        <v>9.7263157894736842</v>
      </c>
      <c r="DL204" s="56">
        <f t="shared" ca="1" si="416"/>
        <v>9.7263157894736842</v>
      </c>
      <c r="DM204" s="56">
        <f t="shared" ca="1" si="417"/>
        <v>9.7263157894736842</v>
      </c>
      <c r="DN204" s="56">
        <f t="shared" ca="1" si="418"/>
        <v>9.7263157894736842</v>
      </c>
      <c r="DO204" s="56">
        <f t="shared" ca="1" si="419"/>
        <v>9.7263157894736842</v>
      </c>
      <c r="DP204" s="56">
        <f t="shared" ca="1" si="420"/>
        <v>9.7263157894736842</v>
      </c>
      <c r="DQ204" s="56">
        <f t="shared" ca="1" si="421"/>
        <v>8.1052631578947363</v>
      </c>
      <c r="DR204" s="56">
        <f t="shared" ca="1" si="422"/>
        <v>8.1063622664090254</v>
      </c>
      <c r="DS204" s="56">
        <f t="shared" ca="1" si="423"/>
        <v>8.1096571758728384</v>
      </c>
      <c r="DT204" s="56">
        <f t="shared" ca="1" si="424"/>
        <v>8.1151406433600854</v>
      </c>
      <c r="DU204" s="56">
        <f t="shared" ca="1" si="425"/>
        <v>8.1228006150191607</v>
      </c>
      <c r="DV204" s="56">
        <f t="shared" ca="1" si="426"/>
        <v>8.1326202525699234</v>
      </c>
      <c r="DW204" s="56">
        <f t="shared" ca="1" si="427"/>
        <v>8.1445779703178971</v>
      </c>
      <c r="DX204" s="56">
        <f t="shared" ca="1" si="428"/>
        <v>8.1586474826043034</v>
      </c>
      <c r="DY204" s="56">
        <f t="shared" ca="1" si="429"/>
        <v>8.1747978615876509</v>
      </c>
      <c r="DZ204" s="56">
        <f t="shared" ca="1" si="430"/>
        <v>8.1929936052298409</v>
      </c>
      <c r="EA204" s="56">
        <f t="shared" ca="1" si="431"/>
        <v>8.2131947153373499</v>
      </c>
      <c r="EB204" s="56">
        <f t="shared" ca="1" si="432"/>
        <v>8.235356785485946</v>
      </c>
      <c r="EC204" s="56">
        <f t="shared" ca="1" si="433"/>
        <v>8.2594310986356394</v>
      </c>
      <c r="ED204" s="56">
        <f t="shared" ca="1" si="434"/>
        <v>8.2853647342213126</v>
      </c>
      <c r="EE204" s="56">
        <f t="shared" ca="1" si="435"/>
        <v>8.3131006844836079</v>
      </c>
      <c r="EF204" s="56">
        <f t="shared" ca="1" si="436"/>
        <v>8.3425779797843553</v>
      </c>
      <c r="EG204" s="56">
        <f t="shared" ca="1" si="437"/>
        <v>8.3737318226310684</v>
      </c>
      <c r="EH204" s="56">
        <f t="shared" ca="1" si="438"/>
        <v>8.406493730115896</v>
      </c>
      <c r="EI204" s="56">
        <f t="shared" ca="1" si="439"/>
        <v>8.440791684455915</v>
      </c>
      <c r="EJ204" s="56">
        <f t="shared" ca="1" si="440"/>
        <v>8.4765502913038517</v>
      </c>
      <c r="EK204" s="56">
        <f t="shared" ca="1" si="441"/>
        <v>8.5136909454812137</v>
      </c>
      <c r="EL204" s="56">
        <f t="shared" ca="1" si="442"/>
        <v>8.5521320037695379</v>
      </c>
      <c r="EM204" s="56">
        <f t="shared" ca="1" si="443"/>
        <v>8.5917889643798944</v>
      </c>
      <c r="EN204" s="56">
        <f t="shared" ca="1" si="444"/>
        <v>8.6325746527061717</v>
      </c>
      <c r="EO204" s="56">
        <f t="shared" ca="1" si="445"/>
        <v>8.6743994129537665</v>
      </c>
      <c r="EP204" s="56">
        <f t="shared" ca="1" si="446"/>
        <v>8.7171713052224877</v>
      </c>
      <c r="EQ204" s="56">
        <f t="shared" ca="1" si="447"/>
        <v>8.7607963076104038</v>
      </c>
      <c r="ER204" s="56">
        <f t="shared" ca="1" si="448"/>
        <v>8.805178522894396</v>
      </c>
      <c r="ES204" s="56">
        <f t="shared" ca="1" si="449"/>
        <v>8.8502203893330602</v>
      </c>
      <c r="ET204" s="56">
        <f t="shared" ca="1" si="450"/>
        <v>8.8958228951285925</v>
      </c>
      <c r="EU204" s="56">
        <f t="shared" ca="1" si="451"/>
        <v>8.9418857960762068</v>
      </c>
      <c r="EV204" s="56">
        <f t="shared" ca="1" si="452"/>
        <v>8.9883078359226545</v>
      </c>
      <c r="EW204" s="56">
        <f t="shared" ca="1" si="453"/>
        <v>9.0349869689494451</v>
      </c>
      <c r="EX204" s="56">
        <f t="shared" ca="1" si="454"/>
        <v>9.0818205842914779</v>
      </c>
      <c r="EY204" s="56">
        <f t="shared" ca="1" si="455"/>
        <v>9.1287057314979982</v>
      </c>
      <c r="EZ204" s="56">
        <f t="shared" ca="1" si="456"/>
        <v>9.175539346840031</v>
      </c>
      <c r="FA204" s="56">
        <f t="shared" ca="1" si="457"/>
        <v>9.2222184798668199</v>
      </c>
      <c r="FB204" s="56">
        <f t="shared" ca="1" si="458"/>
        <v>9.2686405197132675</v>
      </c>
      <c r="FC204" s="56">
        <f t="shared" ca="1" si="459"/>
        <v>9.3147034206608819</v>
      </c>
      <c r="FD204" s="56">
        <f t="shared" ca="1" si="460"/>
        <v>9.3603059264564141</v>
      </c>
      <c r="FE204" s="56">
        <f t="shared" ca="1" si="461"/>
        <v>9.4053477928950784</v>
      </c>
      <c r="FF204" s="56">
        <f t="shared" ca="1" si="462"/>
        <v>9.4497300081790705</v>
      </c>
      <c r="FG204" s="56">
        <f t="shared" ca="1" si="463"/>
        <v>9.4933550105669884</v>
      </c>
      <c r="FH204" s="56">
        <f t="shared" ca="1" si="464"/>
        <v>9.5361269028357079</v>
      </c>
      <c r="FI204" s="56">
        <f t="shared" ca="1" si="465"/>
        <v>9.5779516630833026</v>
      </c>
      <c r="FJ204" s="56">
        <f t="shared" ca="1" si="466"/>
        <v>9.61873735140958</v>
      </c>
      <c r="FK204" s="56">
        <f t="shared" ca="1" si="467"/>
        <v>9.6583943120199365</v>
      </c>
      <c r="FL204" s="56">
        <f t="shared" ca="1" si="468"/>
        <v>9.6968353703082606</v>
      </c>
      <c r="FM204" s="56">
        <f t="shared" ca="1" si="469"/>
        <v>9.7339760244856226</v>
      </c>
      <c r="FN204" s="56">
        <f t="shared" ca="1" si="470"/>
        <v>9.7697346313335593</v>
      </c>
      <c r="FO204" s="56">
        <f t="shared" ca="1" si="471"/>
        <v>9.8040325856735802</v>
      </c>
      <c r="FP204" s="56">
        <f t="shared" ca="1" si="472"/>
        <v>9.8367944931584059</v>
      </c>
      <c r="FQ204" s="56">
        <f t="shared" ca="1" si="473"/>
        <v>9.8679483360051208</v>
      </c>
      <c r="FR204" s="56">
        <f t="shared" ca="1" si="474"/>
        <v>9.8974256313058682</v>
      </c>
      <c r="FS204" s="56">
        <f t="shared" ca="1" si="475"/>
        <v>9.9251615815681618</v>
      </c>
      <c r="FT204" s="56">
        <f t="shared" ca="1" si="476"/>
        <v>9.9510952171538349</v>
      </c>
      <c r="FU204" s="56">
        <f t="shared" ca="1" si="477"/>
        <v>9.9751695303035284</v>
      </c>
      <c r="FV204" s="56">
        <f t="shared" ca="1" si="478"/>
        <v>9.9973316004521244</v>
      </c>
      <c r="FW204" s="56">
        <f t="shared" ca="1" si="479"/>
        <v>10.017532710559635</v>
      </c>
      <c r="FX204" s="56">
        <f t="shared" ca="1" si="480"/>
        <v>10.035728454201825</v>
      </c>
      <c r="FY204" s="56">
        <f t="shared" ca="1" si="481"/>
        <v>10.051878833185173</v>
      </c>
      <c r="FZ204" s="56">
        <f t="shared" ca="1" si="482"/>
        <v>10.065948345471579</v>
      </c>
      <c r="GA204" s="56">
        <f t="shared" ca="1" si="483"/>
        <v>10.077906063219551</v>
      </c>
      <c r="GB204" s="56">
        <f t="shared" ca="1" si="484"/>
        <v>10.087725700770314</v>
      </c>
      <c r="GC204" s="56">
        <f t="shared" ca="1" si="485"/>
        <v>10.095385672429389</v>
      </c>
      <c r="GD204" s="56">
        <f t="shared" ca="1" si="486"/>
        <v>10.100869139916636</v>
      </c>
      <c r="GE204" s="56">
        <f t="shared" ca="1" si="487"/>
        <v>10.104164049380449</v>
      </c>
      <c r="GF204" s="56">
        <f t="shared" ca="1" si="488"/>
        <v>10.105263157894738</v>
      </c>
      <c r="GG204" s="56">
        <f t="shared" ca="1" si="489"/>
        <v>10.105263157894738</v>
      </c>
      <c r="GH204" s="56">
        <f t="shared" ca="1" si="490"/>
        <v>10.105263157894738</v>
      </c>
      <c r="GI204" s="56">
        <f t="shared" ca="1" si="491"/>
        <v>10.105263157894738</v>
      </c>
      <c r="GJ204" s="56">
        <f t="shared" ca="1" si="492"/>
        <v>10.105263157894738</v>
      </c>
      <c r="GK204" s="56">
        <f t="shared" ca="1" si="493"/>
        <v>10.105263157894738</v>
      </c>
      <c r="GL204" s="56">
        <f t="shared" ca="1" si="494"/>
        <v>10.105263157894738</v>
      </c>
      <c r="GM204" s="56">
        <f t="shared" ca="1" si="495"/>
        <v>10.105263157894738</v>
      </c>
      <c r="GN204" s="56">
        <f t="shared" ca="1" si="496"/>
        <v>10.105263157894738</v>
      </c>
      <c r="GO204" s="56">
        <f t="shared" ca="1" si="497"/>
        <v>10.105263157894738</v>
      </c>
      <c r="GP204" s="56">
        <f t="shared" ca="1" si="498"/>
        <v>10.105263157894738</v>
      </c>
    </row>
    <row r="205" spans="1:198" x14ac:dyDescent="0.35">
      <c r="A205" s="55" t="str">
        <f t="shared" si="304"/>
        <v>Available now &gt; Other clients</v>
      </c>
      <c r="B205" s="55" t="s">
        <v>297</v>
      </c>
      <c r="K205" s="56">
        <f t="shared" ca="1" si="311"/>
        <v>29.568421052631574</v>
      </c>
      <c r="L205" s="56">
        <f t="shared" ca="1" si="312"/>
        <v>29.568421052631574</v>
      </c>
      <c r="M205" s="56">
        <f t="shared" ca="1" si="313"/>
        <v>29.568421052631574</v>
      </c>
      <c r="N205" s="56">
        <f t="shared" ca="1" si="314"/>
        <v>29.568421052631574</v>
      </c>
      <c r="O205" s="56">
        <f t="shared" ca="1" si="315"/>
        <v>29.568421052631574</v>
      </c>
      <c r="P205" s="56">
        <f t="shared" ca="1" si="316"/>
        <v>29.568421052631574</v>
      </c>
      <c r="Q205" s="56">
        <f t="shared" ca="1" si="317"/>
        <v>29.568421052631574</v>
      </c>
      <c r="R205" s="56">
        <f t="shared" ca="1" si="318"/>
        <v>29.568421052631574</v>
      </c>
      <c r="S205" s="56">
        <f t="shared" ca="1" si="319"/>
        <v>29.568421052631574</v>
      </c>
      <c r="T205" s="56">
        <f t="shared" ca="1" si="320"/>
        <v>29.568421052631574</v>
      </c>
      <c r="U205" s="56">
        <f t="shared" ca="1" si="321"/>
        <v>29.55783503948669</v>
      </c>
      <c r="V205" s="56">
        <f t="shared" ca="1" si="322"/>
        <v>29.526099591137573</v>
      </c>
      <c r="W205" s="56">
        <f t="shared" ca="1" si="323"/>
        <v>29.47328243263032</v>
      </c>
      <c r="X205" s="56">
        <f t="shared" ca="1" si="324"/>
        <v>29.399496278442918</v>
      </c>
      <c r="Y205" s="56">
        <f t="shared" ca="1" si="325"/>
        <v>29.30489859194687</v>
      </c>
      <c r="Z205" s="56">
        <f t="shared" ca="1" si="326"/>
        <v>29.189691249372437</v>
      </c>
      <c r="AA205" s="56">
        <f t="shared" ca="1" si="327"/>
        <v>29.054120108994578</v>
      </c>
      <c r="AB205" s="56">
        <f t="shared" ca="1" si="328"/>
        <v>28.898474486458998</v>
      </c>
      <c r="AC205" s="56">
        <f t="shared" ca="1" si="329"/>
        <v>28.723086537367994</v>
      </c>
      <c r="AD205" s="56">
        <f t="shared" ca="1" si="330"/>
        <v>28.528330548443641</v>
      </c>
      <c r="AE205" s="56">
        <f t="shared" ca="1" si="331"/>
        <v>28.314622138781083</v>
      </c>
      <c r="AF205" s="56">
        <f t="shared" ca="1" si="332"/>
        <v>28.082417372896433</v>
      </c>
      <c r="AG205" s="56">
        <f t="shared" ca="1" si="333"/>
        <v>27.8322117874621</v>
      </c>
      <c r="AH205" s="56">
        <f t="shared" ca="1" si="334"/>
        <v>27.564539333806582</v>
      </c>
      <c r="AI205" s="56">
        <f t="shared" ca="1" si="335"/>
        <v>27.279971238435401</v>
      </c>
      <c r="AJ205" s="56">
        <f t="shared" ca="1" si="336"/>
        <v>26.979114784004956</v>
      </c>
      <c r="AK205" s="56">
        <f t="shared" ca="1" si="337"/>
        <v>26.662612013350746</v>
      </c>
      <c r="AL205" s="56">
        <f t="shared" ca="1" si="338"/>
        <v>26.331138359335576</v>
      </c>
      <c r="AM205" s="56">
        <f t="shared" ca="1" si="339"/>
        <v>25.985401203441825</v>
      </c>
      <c r="AN205" s="56">
        <f t="shared" ca="1" si="340"/>
        <v>25.626138366183671</v>
      </c>
      <c r="AO205" s="56">
        <f t="shared" ca="1" si="341"/>
        <v>25.254116532560975</v>
      </c>
      <c r="AP205" s="56">
        <f t="shared" ca="1" si="342"/>
        <v>24.870129615914816</v>
      </c>
      <c r="AQ205" s="56">
        <f t="shared" ca="1" si="343"/>
        <v>24.47499706367644</v>
      </c>
      <c r="AR205" s="56">
        <f t="shared" ca="1" si="344"/>
        <v>24.069562108625128</v>
      </c>
      <c r="AS205" s="56">
        <f t="shared" ca="1" si="345"/>
        <v>23.654689969386954</v>
      </c>
      <c r="AT205" s="56">
        <f t="shared" ca="1" si="346"/>
        <v>23.231266004014646</v>
      </c>
      <c r="AU205" s="56">
        <f t="shared" ca="1" si="347"/>
        <v>22.800193820588863</v>
      </c>
      <c r="AV205" s="56">
        <f t="shared" ca="1" si="348"/>
        <v>22.362393348873031</v>
      </c>
      <c r="AW205" s="56">
        <f t="shared" ca="1" si="349"/>
        <v>21.918798877136854</v>
      </c>
      <c r="AX205" s="56">
        <f t="shared" ca="1" si="350"/>
        <v>21.470357058338081</v>
      </c>
      <c r="AY205" s="56">
        <f t="shared" ca="1" si="351"/>
        <v>21.018024889917356</v>
      </c>
      <c r="AZ205" s="56">
        <f t="shared" ca="1" si="352"/>
        <v>20.562767671517491</v>
      </c>
      <c r="BA205" s="56">
        <f t="shared" ca="1" si="353"/>
        <v>20.105556944985363</v>
      </c>
      <c r="BB205" s="56">
        <f t="shared" ca="1" si="354"/>
        <v>19.647368421052633</v>
      </c>
      <c r="BC205" s="56">
        <f t="shared" ca="1" si="355"/>
        <v>19.189179897119899</v>
      </c>
      <c r="BD205" s="56">
        <f t="shared" ca="1" si="356"/>
        <v>18.731969170587767</v>
      </c>
      <c r="BE205" s="56">
        <f t="shared" ca="1" si="357"/>
        <v>18.276711952187902</v>
      </c>
      <c r="BF205" s="56">
        <f t="shared" ca="1" si="358"/>
        <v>17.824379783767181</v>
      </c>
      <c r="BG205" s="56">
        <f t="shared" ca="1" si="359"/>
        <v>17.375937964968408</v>
      </c>
      <c r="BH205" s="56">
        <f t="shared" ca="1" si="360"/>
        <v>16.932343493232228</v>
      </c>
      <c r="BI205" s="56">
        <f t="shared" ca="1" si="361"/>
        <v>16.494543021516396</v>
      </c>
      <c r="BJ205" s="56">
        <f t="shared" ca="1" si="362"/>
        <v>16.063470838090613</v>
      </c>
      <c r="BK205" s="56">
        <f t="shared" ca="1" si="363"/>
        <v>15.640046872718305</v>
      </c>
      <c r="BL205" s="56">
        <f t="shared" ca="1" si="364"/>
        <v>15.225174733480133</v>
      </c>
      <c r="BM205" s="56">
        <f t="shared" ca="1" si="365"/>
        <v>14.81973977842882</v>
      </c>
      <c r="BN205" s="56">
        <f t="shared" ca="1" si="366"/>
        <v>14.424607226190442</v>
      </c>
      <c r="BO205" s="56">
        <f t="shared" ca="1" si="367"/>
        <v>14.040620309544284</v>
      </c>
      <c r="BP205" s="56">
        <f t="shared" ca="1" si="368"/>
        <v>13.668598475921588</v>
      </c>
      <c r="BQ205" s="56">
        <f t="shared" ca="1" si="369"/>
        <v>13.309335638663438</v>
      </c>
      <c r="BR205" s="56">
        <f t="shared" ca="1" si="370"/>
        <v>12.96359848276968</v>
      </c>
      <c r="BS205" s="56">
        <f t="shared" ca="1" si="371"/>
        <v>12.632124828754517</v>
      </c>
      <c r="BT205" s="56">
        <f t="shared" ca="1" si="372"/>
        <v>12.315622058100303</v>
      </c>
      <c r="BU205" s="56">
        <f t="shared" ca="1" si="373"/>
        <v>12.014765603669858</v>
      </c>
      <c r="BV205" s="56">
        <f t="shared" ca="1" si="374"/>
        <v>11.730197508298676</v>
      </c>
      <c r="BW205" s="56">
        <f t="shared" ca="1" si="375"/>
        <v>11.462525054643159</v>
      </c>
      <c r="BX205" s="56">
        <f t="shared" ca="1" si="376"/>
        <v>11.212319469208829</v>
      </c>
      <c r="BY205" s="56">
        <f t="shared" ca="1" si="377"/>
        <v>10.980114703324176</v>
      </c>
      <c r="BZ205" s="56">
        <f t="shared" ca="1" si="378"/>
        <v>10.766406293661618</v>
      </c>
      <c r="CA205" s="56">
        <f t="shared" ca="1" si="379"/>
        <v>10.571650304737265</v>
      </c>
      <c r="CB205" s="56">
        <f t="shared" ca="1" si="380"/>
        <v>10.396262355646261</v>
      </c>
      <c r="CC205" s="56">
        <f t="shared" ca="1" si="381"/>
        <v>10.240616733110681</v>
      </c>
      <c r="CD205" s="56">
        <f t="shared" ca="1" si="382"/>
        <v>10.105045592732822</v>
      </c>
      <c r="CE205" s="56">
        <f t="shared" ca="1" si="383"/>
        <v>9.9898382501583889</v>
      </c>
      <c r="CF205" s="56">
        <f t="shared" ca="1" si="384"/>
        <v>9.8952405636623411</v>
      </c>
      <c r="CG205" s="56">
        <f t="shared" ca="1" si="385"/>
        <v>9.8214544094749385</v>
      </c>
      <c r="CH205" s="56">
        <f t="shared" ca="1" si="386"/>
        <v>9.7686372509676858</v>
      </c>
      <c r="CI205" s="56">
        <f t="shared" ca="1" si="387"/>
        <v>9.7369018026185685</v>
      </c>
      <c r="CJ205" s="56">
        <f t="shared" ca="1" si="388"/>
        <v>9.7263157894736842</v>
      </c>
      <c r="CK205" s="56">
        <f t="shared" ca="1" si="389"/>
        <v>9.7263157894736842</v>
      </c>
      <c r="CL205" s="56">
        <f t="shared" ca="1" si="390"/>
        <v>9.7263157894736842</v>
      </c>
      <c r="CM205" s="56">
        <f t="shared" ca="1" si="391"/>
        <v>9.7263157894736842</v>
      </c>
      <c r="CN205" s="56">
        <f t="shared" ca="1" si="392"/>
        <v>9.7263157894736842</v>
      </c>
      <c r="CO205" s="56">
        <f t="shared" ca="1" si="393"/>
        <v>9.7263157894736842</v>
      </c>
      <c r="CP205" s="56">
        <f t="shared" ca="1" si="394"/>
        <v>9.7263157894736842</v>
      </c>
      <c r="CQ205" s="56">
        <f t="shared" ca="1" si="395"/>
        <v>9.7263157894736842</v>
      </c>
      <c r="CR205" s="56">
        <f t="shared" ca="1" si="396"/>
        <v>9.7263157894736842</v>
      </c>
      <c r="CS205" s="56">
        <f t="shared" ca="1" si="397"/>
        <v>9.7263157894736842</v>
      </c>
      <c r="CT205" s="56">
        <f t="shared" ca="1" si="398"/>
        <v>9.7263157894736842</v>
      </c>
      <c r="CU205" s="56">
        <f t="shared" ca="1" si="399"/>
        <v>9.7263157894736842</v>
      </c>
      <c r="CV205" s="56">
        <f t="shared" ca="1" si="400"/>
        <v>9.7263157894736842</v>
      </c>
      <c r="CW205" s="56">
        <f t="shared" ca="1" si="401"/>
        <v>9.7263157894736842</v>
      </c>
      <c r="CX205" s="56">
        <f t="shared" ca="1" si="402"/>
        <v>9.7263157894736842</v>
      </c>
      <c r="CY205" s="56">
        <f t="shared" ca="1" si="403"/>
        <v>9.7263157894736842</v>
      </c>
      <c r="CZ205" s="56">
        <f t="shared" ca="1" si="404"/>
        <v>9.7263157894736842</v>
      </c>
      <c r="DA205" s="56">
        <f t="shared" ca="1" si="405"/>
        <v>9.7263157894736842</v>
      </c>
      <c r="DB205" s="56">
        <f t="shared" ca="1" si="406"/>
        <v>9.7263157894736842</v>
      </c>
      <c r="DC205" s="56">
        <f t="shared" ca="1" si="407"/>
        <v>9.7263157894736842</v>
      </c>
      <c r="DD205" s="56">
        <f t="shared" ca="1" si="408"/>
        <v>9.7263157894736842</v>
      </c>
      <c r="DE205" s="56">
        <f t="shared" ca="1" si="409"/>
        <v>9.7263157894736842</v>
      </c>
      <c r="DF205" s="56">
        <f t="shared" ca="1" si="410"/>
        <v>9.7263157894736842</v>
      </c>
      <c r="DG205" s="56">
        <f t="shared" ca="1" si="411"/>
        <v>9.7263157894736842</v>
      </c>
      <c r="DH205" s="56">
        <f t="shared" ca="1" si="412"/>
        <v>9.7263157894736842</v>
      </c>
      <c r="DI205" s="56">
        <f t="shared" ca="1" si="413"/>
        <v>9.7263157894736842</v>
      </c>
      <c r="DJ205" s="56">
        <f t="shared" ca="1" si="414"/>
        <v>9.7263157894736842</v>
      </c>
      <c r="DK205" s="56">
        <f t="shared" ca="1" si="415"/>
        <v>9.7263157894736842</v>
      </c>
      <c r="DL205" s="56">
        <f t="shared" ca="1" si="416"/>
        <v>9.7263157894736842</v>
      </c>
      <c r="DM205" s="56">
        <f t="shared" ca="1" si="417"/>
        <v>9.7263157894736842</v>
      </c>
      <c r="DN205" s="56">
        <f t="shared" ca="1" si="418"/>
        <v>9.7263157894736842</v>
      </c>
      <c r="DO205" s="56">
        <f t="shared" ca="1" si="419"/>
        <v>9.7263157894736842</v>
      </c>
      <c r="DP205" s="56">
        <f t="shared" ca="1" si="420"/>
        <v>9.7263157894736842</v>
      </c>
      <c r="DQ205" s="56">
        <f t="shared" ca="1" si="421"/>
        <v>8.1052631578947363</v>
      </c>
      <c r="DR205" s="56">
        <f t="shared" ca="1" si="422"/>
        <v>8.1063622664090254</v>
      </c>
      <c r="DS205" s="56">
        <f t="shared" ca="1" si="423"/>
        <v>8.1096571758728384</v>
      </c>
      <c r="DT205" s="56">
        <f t="shared" ca="1" si="424"/>
        <v>8.1151406433600854</v>
      </c>
      <c r="DU205" s="56">
        <f t="shared" ca="1" si="425"/>
        <v>8.1228006150191607</v>
      </c>
      <c r="DV205" s="56">
        <f t="shared" ca="1" si="426"/>
        <v>8.1326202525699234</v>
      </c>
      <c r="DW205" s="56">
        <f t="shared" ca="1" si="427"/>
        <v>8.1445779703178971</v>
      </c>
      <c r="DX205" s="56">
        <f t="shared" ca="1" si="428"/>
        <v>8.1586474826043034</v>
      </c>
      <c r="DY205" s="56">
        <f t="shared" ca="1" si="429"/>
        <v>8.1747978615876509</v>
      </c>
      <c r="DZ205" s="56">
        <f t="shared" ca="1" si="430"/>
        <v>8.1929936052298409</v>
      </c>
      <c r="EA205" s="56">
        <f t="shared" ca="1" si="431"/>
        <v>8.2131947153373499</v>
      </c>
      <c r="EB205" s="56">
        <f t="shared" ca="1" si="432"/>
        <v>8.235356785485946</v>
      </c>
      <c r="EC205" s="56">
        <f t="shared" ca="1" si="433"/>
        <v>8.2594310986356394</v>
      </c>
      <c r="ED205" s="56">
        <f t="shared" ca="1" si="434"/>
        <v>8.2853647342213126</v>
      </c>
      <c r="EE205" s="56">
        <f t="shared" ca="1" si="435"/>
        <v>8.3131006844836079</v>
      </c>
      <c r="EF205" s="56">
        <f t="shared" ca="1" si="436"/>
        <v>8.3425779797843553</v>
      </c>
      <c r="EG205" s="56">
        <f t="shared" ca="1" si="437"/>
        <v>8.3737318226310684</v>
      </c>
      <c r="EH205" s="56">
        <f t="shared" ca="1" si="438"/>
        <v>8.406493730115896</v>
      </c>
      <c r="EI205" s="56">
        <f t="shared" ca="1" si="439"/>
        <v>8.440791684455915</v>
      </c>
      <c r="EJ205" s="56">
        <f t="shared" ca="1" si="440"/>
        <v>8.4765502913038517</v>
      </c>
      <c r="EK205" s="56">
        <f t="shared" ca="1" si="441"/>
        <v>8.5136909454812137</v>
      </c>
      <c r="EL205" s="56">
        <f t="shared" ca="1" si="442"/>
        <v>8.5521320037695379</v>
      </c>
      <c r="EM205" s="56">
        <f t="shared" ca="1" si="443"/>
        <v>8.5917889643798944</v>
      </c>
      <c r="EN205" s="56">
        <f t="shared" ca="1" si="444"/>
        <v>8.6325746527061717</v>
      </c>
      <c r="EO205" s="56">
        <f t="shared" ca="1" si="445"/>
        <v>8.6743994129537665</v>
      </c>
      <c r="EP205" s="56">
        <f t="shared" ca="1" si="446"/>
        <v>8.7171713052224877</v>
      </c>
      <c r="EQ205" s="56">
        <f t="shared" ca="1" si="447"/>
        <v>8.7607963076104038</v>
      </c>
      <c r="ER205" s="56">
        <f t="shared" ca="1" si="448"/>
        <v>8.805178522894396</v>
      </c>
      <c r="ES205" s="56">
        <f t="shared" ca="1" si="449"/>
        <v>8.8502203893330602</v>
      </c>
      <c r="ET205" s="56">
        <f t="shared" ca="1" si="450"/>
        <v>8.8958228951285925</v>
      </c>
      <c r="EU205" s="56">
        <f t="shared" ca="1" si="451"/>
        <v>8.9418857960762068</v>
      </c>
      <c r="EV205" s="56">
        <f t="shared" ca="1" si="452"/>
        <v>8.9883078359226545</v>
      </c>
      <c r="EW205" s="56">
        <f t="shared" ca="1" si="453"/>
        <v>9.0349869689494451</v>
      </c>
      <c r="EX205" s="56">
        <f t="shared" ca="1" si="454"/>
        <v>9.0818205842914779</v>
      </c>
      <c r="EY205" s="56">
        <f t="shared" ca="1" si="455"/>
        <v>9.1287057314979982</v>
      </c>
      <c r="EZ205" s="56">
        <f t="shared" ca="1" si="456"/>
        <v>9.175539346840031</v>
      </c>
      <c r="FA205" s="56">
        <f t="shared" ca="1" si="457"/>
        <v>9.2222184798668199</v>
      </c>
      <c r="FB205" s="56">
        <f t="shared" ca="1" si="458"/>
        <v>9.2686405197132675</v>
      </c>
      <c r="FC205" s="56">
        <f t="shared" ca="1" si="459"/>
        <v>9.3147034206608819</v>
      </c>
      <c r="FD205" s="56">
        <f t="shared" ca="1" si="460"/>
        <v>9.3603059264564141</v>
      </c>
      <c r="FE205" s="56">
        <f t="shared" ca="1" si="461"/>
        <v>9.4053477928950784</v>
      </c>
      <c r="FF205" s="56">
        <f t="shared" ca="1" si="462"/>
        <v>9.4497300081790705</v>
      </c>
      <c r="FG205" s="56">
        <f t="shared" ca="1" si="463"/>
        <v>9.4933550105669884</v>
      </c>
      <c r="FH205" s="56">
        <f t="shared" ca="1" si="464"/>
        <v>9.5361269028357079</v>
      </c>
      <c r="FI205" s="56">
        <f t="shared" ca="1" si="465"/>
        <v>9.5779516630833026</v>
      </c>
      <c r="FJ205" s="56">
        <f t="shared" ca="1" si="466"/>
        <v>9.61873735140958</v>
      </c>
      <c r="FK205" s="56">
        <f t="shared" ca="1" si="467"/>
        <v>9.6583943120199365</v>
      </c>
      <c r="FL205" s="56">
        <f t="shared" ca="1" si="468"/>
        <v>9.6968353703082606</v>
      </c>
      <c r="FM205" s="56">
        <f t="shared" ca="1" si="469"/>
        <v>9.7339760244856226</v>
      </c>
      <c r="FN205" s="56">
        <f t="shared" ca="1" si="470"/>
        <v>9.7697346313335593</v>
      </c>
      <c r="FO205" s="56">
        <f t="shared" ca="1" si="471"/>
        <v>9.8040325856735802</v>
      </c>
      <c r="FP205" s="56">
        <f t="shared" ca="1" si="472"/>
        <v>9.8367944931584059</v>
      </c>
      <c r="FQ205" s="56">
        <f t="shared" ca="1" si="473"/>
        <v>9.8679483360051208</v>
      </c>
      <c r="FR205" s="56">
        <f t="shared" ca="1" si="474"/>
        <v>9.8974256313058682</v>
      </c>
      <c r="FS205" s="56">
        <f t="shared" ca="1" si="475"/>
        <v>9.9251615815681618</v>
      </c>
      <c r="FT205" s="56">
        <f t="shared" ca="1" si="476"/>
        <v>9.9510952171538349</v>
      </c>
      <c r="FU205" s="56">
        <f t="shared" ca="1" si="477"/>
        <v>9.9751695303035284</v>
      </c>
      <c r="FV205" s="56">
        <f t="shared" ca="1" si="478"/>
        <v>9.9973316004521244</v>
      </c>
      <c r="FW205" s="56">
        <f t="shared" ca="1" si="479"/>
        <v>10.017532710559635</v>
      </c>
      <c r="FX205" s="56">
        <f t="shared" ca="1" si="480"/>
        <v>10.035728454201825</v>
      </c>
      <c r="FY205" s="56">
        <f t="shared" ca="1" si="481"/>
        <v>10.051878833185173</v>
      </c>
      <c r="FZ205" s="56">
        <f t="shared" ca="1" si="482"/>
        <v>10.065948345471579</v>
      </c>
      <c r="GA205" s="56">
        <f t="shared" ca="1" si="483"/>
        <v>10.077906063219551</v>
      </c>
      <c r="GB205" s="56">
        <f t="shared" ca="1" si="484"/>
        <v>10.087725700770314</v>
      </c>
      <c r="GC205" s="56">
        <f t="shared" ca="1" si="485"/>
        <v>10.095385672429389</v>
      </c>
      <c r="GD205" s="56">
        <f t="shared" ca="1" si="486"/>
        <v>10.100869139916636</v>
      </c>
      <c r="GE205" s="56">
        <f t="shared" ca="1" si="487"/>
        <v>10.104164049380449</v>
      </c>
      <c r="GF205" s="56">
        <f t="shared" ca="1" si="488"/>
        <v>10.105263157894738</v>
      </c>
      <c r="GG205" s="56">
        <f t="shared" ca="1" si="489"/>
        <v>10.105263157894738</v>
      </c>
      <c r="GH205" s="56">
        <f t="shared" ca="1" si="490"/>
        <v>10.105263157894738</v>
      </c>
      <c r="GI205" s="56">
        <f t="shared" ca="1" si="491"/>
        <v>10.105263157894738</v>
      </c>
      <c r="GJ205" s="56">
        <f t="shared" ca="1" si="492"/>
        <v>10.105263157894738</v>
      </c>
      <c r="GK205" s="56">
        <f t="shared" ca="1" si="493"/>
        <v>10.105263157894738</v>
      </c>
      <c r="GL205" s="56">
        <f t="shared" ca="1" si="494"/>
        <v>10.105263157894738</v>
      </c>
      <c r="GM205" s="56">
        <f t="shared" ca="1" si="495"/>
        <v>10.105263157894738</v>
      </c>
      <c r="GN205" s="56">
        <f t="shared" ca="1" si="496"/>
        <v>10.105263157894738</v>
      </c>
      <c r="GO205" s="56">
        <f t="shared" ca="1" si="497"/>
        <v>10.105263157894738</v>
      </c>
      <c r="GP205" s="56">
        <f t="shared" ca="1" si="498"/>
        <v>10.105263157894738</v>
      </c>
    </row>
    <row r="206" spans="1:198" x14ac:dyDescent="0.35">
      <c r="A206" s="55" t="str">
        <f t="shared" si="304"/>
        <v>Available now &gt; Current bench</v>
      </c>
      <c r="B206" s="55" t="s">
        <v>297</v>
      </c>
      <c r="K206" s="56">
        <f t="shared" ca="1" si="311"/>
        <v>29.568421052631574</v>
      </c>
      <c r="L206" s="56">
        <f t="shared" ca="1" si="312"/>
        <v>29.568421052631574</v>
      </c>
      <c r="M206" s="56">
        <f t="shared" ca="1" si="313"/>
        <v>29.568421052631574</v>
      </c>
      <c r="N206" s="56">
        <f t="shared" ca="1" si="314"/>
        <v>29.568421052631574</v>
      </c>
      <c r="O206" s="56">
        <f t="shared" ca="1" si="315"/>
        <v>29.568421052631574</v>
      </c>
      <c r="P206" s="56">
        <f t="shared" ca="1" si="316"/>
        <v>29.568421052631574</v>
      </c>
      <c r="Q206" s="56">
        <f t="shared" ca="1" si="317"/>
        <v>29.568421052631574</v>
      </c>
      <c r="R206" s="56">
        <f t="shared" ca="1" si="318"/>
        <v>29.568421052631574</v>
      </c>
      <c r="S206" s="56">
        <f t="shared" ca="1" si="319"/>
        <v>29.568421052631574</v>
      </c>
      <c r="T206" s="56">
        <f t="shared" ca="1" si="320"/>
        <v>29.568421052631574</v>
      </c>
      <c r="U206" s="56">
        <f t="shared" ca="1" si="321"/>
        <v>29.55783503948669</v>
      </c>
      <c r="V206" s="56">
        <f t="shared" ca="1" si="322"/>
        <v>29.526099591137573</v>
      </c>
      <c r="W206" s="56">
        <f t="shared" ca="1" si="323"/>
        <v>29.47328243263032</v>
      </c>
      <c r="X206" s="56">
        <f t="shared" ca="1" si="324"/>
        <v>29.399496278442918</v>
      </c>
      <c r="Y206" s="56">
        <f t="shared" ca="1" si="325"/>
        <v>29.30489859194687</v>
      </c>
      <c r="Z206" s="56">
        <f t="shared" ca="1" si="326"/>
        <v>29.189691249372437</v>
      </c>
      <c r="AA206" s="56">
        <f t="shared" ca="1" si="327"/>
        <v>29.054120108994578</v>
      </c>
      <c r="AB206" s="56">
        <f t="shared" ca="1" si="328"/>
        <v>28.898474486458998</v>
      </c>
      <c r="AC206" s="56">
        <f t="shared" ca="1" si="329"/>
        <v>28.723086537367994</v>
      </c>
      <c r="AD206" s="56">
        <f t="shared" ca="1" si="330"/>
        <v>28.528330548443641</v>
      </c>
      <c r="AE206" s="56">
        <f t="shared" ca="1" si="331"/>
        <v>28.314622138781083</v>
      </c>
      <c r="AF206" s="56">
        <f t="shared" ca="1" si="332"/>
        <v>28.082417372896433</v>
      </c>
      <c r="AG206" s="56">
        <f t="shared" ca="1" si="333"/>
        <v>27.8322117874621</v>
      </c>
      <c r="AH206" s="56">
        <f t="shared" ca="1" si="334"/>
        <v>27.564539333806582</v>
      </c>
      <c r="AI206" s="56">
        <f t="shared" ca="1" si="335"/>
        <v>27.279971238435401</v>
      </c>
      <c r="AJ206" s="56">
        <f t="shared" ca="1" si="336"/>
        <v>26.979114784004956</v>
      </c>
      <c r="AK206" s="56">
        <f t="shared" ca="1" si="337"/>
        <v>26.662612013350746</v>
      </c>
      <c r="AL206" s="56">
        <f t="shared" ca="1" si="338"/>
        <v>26.331138359335576</v>
      </c>
      <c r="AM206" s="56">
        <f t="shared" ca="1" si="339"/>
        <v>25.985401203441825</v>
      </c>
      <c r="AN206" s="56">
        <f t="shared" ca="1" si="340"/>
        <v>25.626138366183671</v>
      </c>
      <c r="AO206" s="56">
        <f t="shared" ca="1" si="341"/>
        <v>25.254116532560975</v>
      </c>
      <c r="AP206" s="56">
        <f t="shared" ca="1" si="342"/>
        <v>24.870129615914816</v>
      </c>
      <c r="AQ206" s="56">
        <f t="shared" ca="1" si="343"/>
        <v>24.47499706367644</v>
      </c>
      <c r="AR206" s="56">
        <f t="shared" ca="1" si="344"/>
        <v>24.069562108625128</v>
      </c>
      <c r="AS206" s="56">
        <f t="shared" ca="1" si="345"/>
        <v>23.654689969386954</v>
      </c>
      <c r="AT206" s="56">
        <f t="shared" ca="1" si="346"/>
        <v>23.231266004014646</v>
      </c>
      <c r="AU206" s="56">
        <f t="shared" ca="1" si="347"/>
        <v>22.800193820588863</v>
      </c>
      <c r="AV206" s="56">
        <f t="shared" ca="1" si="348"/>
        <v>22.362393348873031</v>
      </c>
      <c r="AW206" s="56">
        <f t="shared" ca="1" si="349"/>
        <v>21.918798877136854</v>
      </c>
      <c r="AX206" s="56">
        <f t="shared" ca="1" si="350"/>
        <v>21.470357058338081</v>
      </c>
      <c r="AY206" s="56">
        <f t="shared" ca="1" si="351"/>
        <v>21.018024889917356</v>
      </c>
      <c r="AZ206" s="56">
        <f t="shared" ca="1" si="352"/>
        <v>20.562767671517491</v>
      </c>
      <c r="BA206" s="56">
        <f t="shared" ca="1" si="353"/>
        <v>20.105556944985363</v>
      </c>
      <c r="BB206" s="56">
        <f t="shared" ca="1" si="354"/>
        <v>19.647368421052633</v>
      </c>
      <c r="BC206" s="56">
        <f t="shared" ca="1" si="355"/>
        <v>19.189179897119899</v>
      </c>
      <c r="BD206" s="56">
        <f t="shared" ca="1" si="356"/>
        <v>18.731969170587767</v>
      </c>
      <c r="BE206" s="56">
        <f t="shared" ca="1" si="357"/>
        <v>18.276711952187902</v>
      </c>
      <c r="BF206" s="56">
        <f t="shared" ca="1" si="358"/>
        <v>17.824379783767181</v>
      </c>
      <c r="BG206" s="56">
        <f t="shared" ca="1" si="359"/>
        <v>17.375937964968408</v>
      </c>
      <c r="BH206" s="56">
        <f t="shared" ca="1" si="360"/>
        <v>16.932343493232228</v>
      </c>
      <c r="BI206" s="56">
        <f t="shared" ca="1" si="361"/>
        <v>16.494543021516396</v>
      </c>
      <c r="BJ206" s="56">
        <f t="shared" ca="1" si="362"/>
        <v>16.063470838090613</v>
      </c>
      <c r="BK206" s="56">
        <f t="shared" ca="1" si="363"/>
        <v>15.640046872718305</v>
      </c>
      <c r="BL206" s="56">
        <f t="shared" ca="1" si="364"/>
        <v>15.225174733480133</v>
      </c>
      <c r="BM206" s="56">
        <f t="shared" ca="1" si="365"/>
        <v>14.81973977842882</v>
      </c>
      <c r="BN206" s="56">
        <f t="shared" ca="1" si="366"/>
        <v>14.424607226190442</v>
      </c>
      <c r="BO206" s="56">
        <f t="shared" ca="1" si="367"/>
        <v>14.040620309544284</v>
      </c>
      <c r="BP206" s="56">
        <f t="shared" ca="1" si="368"/>
        <v>13.668598475921588</v>
      </c>
      <c r="BQ206" s="56">
        <f t="shared" ca="1" si="369"/>
        <v>13.309335638663438</v>
      </c>
      <c r="BR206" s="56">
        <f t="shared" ca="1" si="370"/>
        <v>12.96359848276968</v>
      </c>
      <c r="BS206" s="56">
        <f t="shared" ca="1" si="371"/>
        <v>12.632124828754517</v>
      </c>
      <c r="BT206" s="56">
        <f t="shared" ca="1" si="372"/>
        <v>12.315622058100303</v>
      </c>
      <c r="BU206" s="56">
        <f t="shared" ca="1" si="373"/>
        <v>12.014765603669858</v>
      </c>
      <c r="BV206" s="56">
        <f t="shared" ca="1" si="374"/>
        <v>11.730197508298676</v>
      </c>
      <c r="BW206" s="56">
        <f t="shared" ca="1" si="375"/>
        <v>11.462525054643159</v>
      </c>
      <c r="BX206" s="56">
        <f t="shared" ca="1" si="376"/>
        <v>11.212319469208829</v>
      </c>
      <c r="BY206" s="56">
        <f t="shared" ca="1" si="377"/>
        <v>10.980114703324176</v>
      </c>
      <c r="BZ206" s="56">
        <f t="shared" ca="1" si="378"/>
        <v>10.766406293661618</v>
      </c>
      <c r="CA206" s="56">
        <f t="shared" ca="1" si="379"/>
        <v>10.571650304737265</v>
      </c>
      <c r="CB206" s="56">
        <f t="shared" ca="1" si="380"/>
        <v>10.396262355646261</v>
      </c>
      <c r="CC206" s="56">
        <f t="shared" ca="1" si="381"/>
        <v>10.240616733110681</v>
      </c>
      <c r="CD206" s="56">
        <f t="shared" ca="1" si="382"/>
        <v>10.105045592732822</v>
      </c>
      <c r="CE206" s="56">
        <f t="shared" ca="1" si="383"/>
        <v>9.9898382501583889</v>
      </c>
      <c r="CF206" s="56">
        <f t="shared" ca="1" si="384"/>
        <v>9.8952405636623411</v>
      </c>
      <c r="CG206" s="56">
        <f t="shared" ca="1" si="385"/>
        <v>9.8214544094749385</v>
      </c>
      <c r="CH206" s="56">
        <f t="shared" ca="1" si="386"/>
        <v>9.7686372509676858</v>
      </c>
      <c r="CI206" s="56">
        <f t="shared" ca="1" si="387"/>
        <v>9.7369018026185685</v>
      </c>
      <c r="CJ206" s="56">
        <f t="shared" ca="1" si="388"/>
        <v>9.7263157894736842</v>
      </c>
      <c r="CK206" s="56">
        <f t="shared" ca="1" si="389"/>
        <v>9.7263157894736842</v>
      </c>
      <c r="CL206" s="56">
        <f t="shared" ca="1" si="390"/>
        <v>9.7263157894736842</v>
      </c>
      <c r="CM206" s="56">
        <f t="shared" ca="1" si="391"/>
        <v>9.7263157894736842</v>
      </c>
      <c r="CN206" s="56">
        <f t="shared" ca="1" si="392"/>
        <v>9.7263157894736842</v>
      </c>
      <c r="CO206" s="56">
        <f t="shared" ca="1" si="393"/>
        <v>9.7263157894736842</v>
      </c>
      <c r="CP206" s="56">
        <f t="shared" ca="1" si="394"/>
        <v>9.7263157894736842</v>
      </c>
      <c r="CQ206" s="56">
        <f t="shared" ca="1" si="395"/>
        <v>9.7263157894736842</v>
      </c>
      <c r="CR206" s="56">
        <f t="shared" ca="1" si="396"/>
        <v>9.7263157894736842</v>
      </c>
      <c r="CS206" s="56">
        <f t="shared" ca="1" si="397"/>
        <v>9.7263157894736842</v>
      </c>
      <c r="CT206" s="56">
        <f t="shared" ca="1" si="398"/>
        <v>9.7263157894736842</v>
      </c>
      <c r="CU206" s="56">
        <f t="shared" ca="1" si="399"/>
        <v>9.7263157894736842</v>
      </c>
      <c r="CV206" s="56">
        <f t="shared" ca="1" si="400"/>
        <v>9.7263157894736842</v>
      </c>
      <c r="CW206" s="56">
        <f t="shared" ca="1" si="401"/>
        <v>9.7263157894736842</v>
      </c>
      <c r="CX206" s="56">
        <f t="shared" ca="1" si="402"/>
        <v>9.7263157894736842</v>
      </c>
      <c r="CY206" s="56">
        <f t="shared" ca="1" si="403"/>
        <v>9.7263157894736842</v>
      </c>
      <c r="CZ206" s="56">
        <f t="shared" ca="1" si="404"/>
        <v>9.7263157894736842</v>
      </c>
      <c r="DA206" s="56">
        <f t="shared" ca="1" si="405"/>
        <v>9.7263157894736842</v>
      </c>
      <c r="DB206" s="56">
        <f t="shared" ca="1" si="406"/>
        <v>9.7263157894736842</v>
      </c>
      <c r="DC206" s="56">
        <f t="shared" ca="1" si="407"/>
        <v>9.7263157894736842</v>
      </c>
      <c r="DD206" s="56">
        <f t="shared" ca="1" si="408"/>
        <v>9.7263157894736842</v>
      </c>
      <c r="DE206" s="56">
        <f t="shared" ca="1" si="409"/>
        <v>9.7263157894736842</v>
      </c>
      <c r="DF206" s="56">
        <f t="shared" ca="1" si="410"/>
        <v>9.7263157894736842</v>
      </c>
      <c r="DG206" s="56">
        <f t="shared" ca="1" si="411"/>
        <v>9.7263157894736842</v>
      </c>
      <c r="DH206" s="56">
        <f t="shared" ca="1" si="412"/>
        <v>9.7263157894736842</v>
      </c>
      <c r="DI206" s="56">
        <f t="shared" ca="1" si="413"/>
        <v>9.7263157894736842</v>
      </c>
      <c r="DJ206" s="56">
        <f t="shared" ca="1" si="414"/>
        <v>9.7263157894736842</v>
      </c>
      <c r="DK206" s="56">
        <f t="shared" ca="1" si="415"/>
        <v>9.7263157894736842</v>
      </c>
      <c r="DL206" s="56">
        <f t="shared" ca="1" si="416"/>
        <v>9.7263157894736842</v>
      </c>
      <c r="DM206" s="56">
        <f t="shared" ca="1" si="417"/>
        <v>9.7263157894736842</v>
      </c>
      <c r="DN206" s="56">
        <f t="shared" ca="1" si="418"/>
        <v>9.7263157894736842</v>
      </c>
      <c r="DO206" s="56">
        <f t="shared" ca="1" si="419"/>
        <v>9.7263157894736842</v>
      </c>
      <c r="DP206" s="56">
        <f t="shared" ca="1" si="420"/>
        <v>9.7263157894736842</v>
      </c>
      <c r="DQ206" s="56">
        <f t="shared" ca="1" si="421"/>
        <v>9.7263157894736842</v>
      </c>
      <c r="DR206" s="56">
        <f t="shared" ca="1" si="422"/>
        <v>9.7276347196908297</v>
      </c>
      <c r="DS206" s="56">
        <f t="shared" ca="1" si="423"/>
        <v>9.7315886110474068</v>
      </c>
      <c r="DT206" s="56">
        <f t="shared" ca="1" si="424"/>
        <v>9.738168772032104</v>
      </c>
      <c r="DU206" s="56">
        <f t="shared" ca="1" si="425"/>
        <v>9.7473607380229925</v>
      </c>
      <c r="DV206" s="56">
        <f t="shared" ca="1" si="426"/>
        <v>9.7591443030839091</v>
      </c>
      <c r="DW206" s="56">
        <f t="shared" ca="1" si="427"/>
        <v>9.7734935643814769</v>
      </c>
      <c r="DX206" s="56">
        <f t="shared" ca="1" si="428"/>
        <v>9.7903769791251634</v>
      </c>
      <c r="DY206" s="56">
        <f t="shared" ca="1" si="429"/>
        <v>9.8097574339051796</v>
      </c>
      <c r="DZ206" s="56">
        <f t="shared" ca="1" si="430"/>
        <v>9.8315923262758087</v>
      </c>
      <c r="EA206" s="56">
        <f t="shared" ca="1" si="431"/>
        <v>9.855833658404821</v>
      </c>
      <c r="EB206" s="56">
        <f t="shared" ca="1" si="432"/>
        <v>9.8824281425831355</v>
      </c>
      <c r="EC206" s="56">
        <f t="shared" ca="1" si="433"/>
        <v>9.9113173183627676</v>
      </c>
      <c r="ED206" s="56">
        <f t="shared" ca="1" si="434"/>
        <v>9.9424376810655755</v>
      </c>
      <c r="EE206" s="56">
        <f t="shared" ca="1" si="435"/>
        <v>9.9757208213803299</v>
      </c>
      <c r="EF206" s="56">
        <f t="shared" ca="1" si="436"/>
        <v>10.011093575741226</v>
      </c>
      <c r="EG206" s="56">
        <f t="shared" ca="1" si="437"/>
        <v>10.048478187157281</v>
      </c>
      <c r="EH206" s="56">
        <f t="shared" ca="1" si="438"/>
        <v>10.087792476139075</v>
      </c>
      <c r="EI206" s="56">
        <f t="shared" ca="1" si="439"/>
        <v>10.128950021347098</v>
      </c>
      <c r="EJ206" s="56">
        <f t="shared" ca="1" si="440"/>
        <v>10.171860349564623</v>
      </c>
      <c r="EK206" s="56">
        <f t="shared" ca="1" si="441"/>
        <v>10.216429134577458</v>
      </c>
      <c r="EL206" s="56">
        <f t="shared" ca="1" si="442"/>
        <v>10.262558404523446</v>
      </c>
      <c r="EM206" s="56">
        <f t="shared" ca="1" si="443"/>
        <v>10.310146757255875</v>
      </c>
      <c r="EN206" s="56">
        <f t="shared" ca="1" si="444"/>
        <v>10.359089583247407</v>
      </c>
      <c r="EO206" s="56">
        <f t="shared" ca="1" si="445"/>
        <v>10.40927929554452</v>
      </c>
      <c r="EP206" s="56">
        <f t="shared" ca="1" si="446"/>
        <v>10.460605566266985</v>
      </c>
      <c r="EQ206" s="56">
        <f t="shared" ca="1" si="447"/>
        <v>10.512955569132485</v>
      </c>
      <c r="ER206" s="56">
        <f t="shared" ca="1" si="448"/>
        <v>10.566214227473276</v>
      </c>
      <c r="ES206" s="56">
        <f t="shared" ca="1" si="449"/>
        <v>10.620264467199673</v>
      </c>
      <c r="ET206" s="56">
        <f t="shared" ca="1" si="450"/>
        <v>10.674987474154312</v>
      </c>
      <c r="EU206" s="56">
        <f t="shared" ca="1" si="451"/>
        <v>10.730262955291449</v>
      </c>
      <c r="EV206" s="56">
        <f t="shared" ca="1" si="452"/>
        <v>10.785969403107186</v>
      </c>
      <c r="EW206" s="56">
        <f t="shared" ca="1" si="453"/>
        <v>10.841984362739334</v>
      </c>
      <c r="EX206" s="56">
        <f t="shared" ca="1" si="454"/>
        <v>10.898184701149773</v>
      </c>
      <c r="EY206" s="56">
        <f t="shared" ca="1" si="455"/>
        <v>10.954446877797597</v>
      </c>
      <c r="EZ206" s="56">
        <f t="shared" ca="1" si="456"/>
        <v>11.010647216208037</v>
      </c>
      <c r="FA206" s="56">
        <f t="shared" ca="1" si="457"/>
        <v>11.066662175840184</v>
      </c>
      <c r="FB206" s="56">
        <f t="shared" ca="1" si="458"/>
        <v>11.122368623655921</v>
      </c>
      <c r="FC206" s="56">
        <f t="shared" ca="1" si="459"/>
        <v>11.177644104793059</v>
      </c>
      <c r="FD206" s="56">
        <f t="shared" ca="1" si="460"/>
        <v>11.232367111747697</v>
      </c>
      <c r="FE206" s="56">
        <f t="shared" ca="1" si="461"/>
        <v>11.286417351474094</v>
      </c>
      <c r="FF206" s="56">
        <f t="shared" ca="1" si="462"/>
        <v>11.339676009814886</v>
      </c>
      <c r="FG206" s="56">
        <f t="shared" ca="1" si="463"/>
        <v>11.392026012680386</v>
      </c>
      <c r="FH206" s="56">
        <f t="shared" ca="1" si="464"/>
        <v>11.44335228340285</v>
      </c>
      <c r="FI206" s="56">
        <f t="shared" ca="1" si="465"/>
        <v>11.493541995699964</v>
      </c>
      <c r="FJ206" s="56">
        <f t="shared" ca="1" si="466"/>
        <v>11.542484821691497</v>
      </c>
      <c r="FK206" s="56">
        <f t="shared" ca="1" si="467"/>
        <v>11.590073174423924</v>
      </c>
      <c r="FL206" s="56">
        <f t="shared" ca="1" si="468"/>
        <v>11.636202444369912</v>
      </c>
      <c r="FM206" s="56">
        <f t="shared" ca="1" si="469"/>
        <v>11.680771229382747</v>
      </c>
      <c r="FN206" s="56">
        <f t="shared" ca="1" si="470"/>
        <v>11.723681557600273</v>
      </c>
      <c r="FO206" s="56">
        <f t="shared" ca="1" si="471"/>
        <v>11.764839102808295</v>
      </c>
      <c r="FP206" s="56">
        <f t="shared" ca="1" si="472"/>
        <v>11.804153391790088</v>
      </c>
      <c r="FQ206" s="56">
        <f t="shared" ca="1" si="473"/>
        <v>11.841538003206145</v>
      </c>
      <c r="FR206" s="56">
        <f t="shared" ca="1" si="474"/>
        <v>11.876910757567041</v>
      </c>
      <c r="FS206" s="56">
        <f t="shared" ca="1" si="475"/>
        <v>11.910193897881795</v>
      </c>
      <c r="FT206" s="56">
        <f t="shared" ca="1" si="476"/>
        <v>11.941314260584603</v>
      </c>
      <c r="FU206" s="56">
        <f t="shared" ca="1" si="477"/>
        <v>11.970203436364235</v>
      </c>
      <c r="FV206" s="56">
        <f t="shared" ca="1" si="478"/>
        <v>11.99679792054255</v>
      </c>
      <c r="FW206" s="56">
        <f t="shared" ca="1" si="479"/>
        <v>12.021039252671562</v>
      </c>
      <c r="FX206" s="56">
        <f t="shared" ca="1" si="480"/>
        <v>12.042874145042191</v>
      </c>
      <c r="FY206" s="56">
        <f t="shared" ca="1" si="481"/>
        <v>12.062254599822207</v>
      </c>
      <c r="FZ206" s="56">
        <f t="shared" ca="1" si="482"/>
        <v>12.079138014565896</v>
      </c>
      <c r="GA206" s="56">
        <f t="shared" ca="1" si="483"/>
        <v>12.093487275863462</v>
      </c>
      <c r="GB206" s="56">
        <f t="shared" ca="1" si="484"/>
        <v>12.105270840924378</v>
      </c>
      <c r="GC206" s="56">
        <f t="shared" ca="1" si="485"/>
        <v>12.114462806915267</v>
      </c>
      <c r="GD206" s="56">
        <f t="shared" ca="1" si="486"/>
        <v>12.121042967899964</v>
      </c>
      <c r="GE206" s="56">
        <f t="shared" ca="1" si="487"/>
        <v>12.124996859256541</v>
      </c>
      <c r="GF206" s="56">
        <f t="shared" ca="1" si="488"/>
        <v>12.126315789473686</v>
      </c>
      <c r="GG206" s="56">
        <f t="shared" ca="1" si="489"/>
        <v>12.126315789473686</v>
      </c>
      <c r="GH206" s="56">
        <f t="shared" ca="1" si="490"/>
        <v>12.126315789473686</v>
      </c>
      <c r="GI206" s="56">
        <f t="shared" ca="1" si="491"/>
        <v>12.126315789473686</v>
      </c>
      <c r="GJ206" s="56">
        <f t="shared" ca="1" si="492"/>
        <v>12.126315789473686</v>
      </c>
      <c r="GK206" s="56">
        <f t="shared" ca="1" si="493"/>
        <v>12.126315789473686</v>
      </c>
      <c r="GL206" s="56">
        <f t="shared" ca="1" si="494"/>
        <v>12.126315789473686</v>
      </c>
      <c r="GM206" s="56">
        <f t="shared" ca="1" si="495"/>
        <v>12.126315789473686</v>
      </c>
      <c r="GN206" s="56">
        <f t="shared" ca="1" si="496"/>
        <v>12.126315789473686</v>
      </c>
      <c r="GO206" s="56">
        <f t="shared" ca="1" si="497"/>
        <v>12.126315789473686</v>
      </c>
      <c r="GP206" s="56">
        <f t="shared" ca="1" si="498"/>
        <v>12.126315789473686</v>
      </c>
    </row>
    <row r="207" spans="1:198" x14ac:dyDescent="0.35">
      <c r="A207" s="55" t="str">
        <f t="shared" si="304"/>
        <v>USA &gt; available in future</v>
      </c>
      <c r="B207" s="55" t="s">
        <v>298</v>
      </c>
      <c r="K207" s="56">
        <f t="shared" ref="K207:AP207" ca="1" si="499">IF(K182&gt;0,K157+K182,0)</f>
        <v>22.694736842105261</v>
      </c>
      <c r="L207" s="56">
        <f t="shared" ca="1" si="499"/>
        <v>22.694736842105261</v>
      </c>
      <c r="M207" s="56">
        <f t="shared" ca="1" si="499"/>
        <v>22.694736842105261</v>
      </c>
      <c r="N207" s="56">
        <f t="shared" ca="1" si="499"/>
        <v>22.694736842105261</v>
      </c>
      <c r="O207" s="56">
        <f t="shared" ca="1" si="499"/>
        <v>22.694736842105261</v>
      </c>
      <c r="P207" s="56">
        <f t="shared" ca="1" si="499"/>
        <v>22.694736842105261</v>
      </c>
      <c r="Q207" s="56">
        <f t="shared" ca="1" si="499"/>
        <v>22.694736842105261</v>
      </c>
      <c r="R207" s="56">
        <f t="shared" ca="1" si="499"/>
        <v>22.694736842105261</v>
      </c>
      <c r="S207" s="56">
        <f t="shared" ca="1" si="499"/>
        <v>22.694736842105261</v>
      </c>
      <c r="T207" s="56">
        <f t="shared" ca="1" si="499"/>
        <v>22.694736842105261</v>
      </c>
      <c r="U207" s="56">
        <f t="shared" ca="1" si="499"/>
        <v>22.697112377150507</v>
      </c>
      <c r="V207" s="56">
        <f t="shared" ca="1" si="499"/>
        <v>22.70423391277474</v>
      </c>
      <c r="W207" s="56">
        <f t="shared" ca="1" si="499"/>
        <v>22.716086251262041</v>
      </c>
      <c r="X207" s="56">
        <f t="shared" ca="1" si="499"/>
        <v>22.732644099124784</v>
      </c>
      <c r="Y207" s="56">
        <f t="shared" ca="1" si="499"/>
        <v>22.753872121081194</v>
      </c>
      <c r="Z207" s="56">
        <f t="shared" ca="1" si="499"/>
        <v>22.779725015462617</v>
      </c>
      <c r="AA207" s="56">
        <f t="shared" ca="1" si="499"/>
        <v>22.810147610889587</v>
      </c>
      <c r="AB207" s="56">
        <f t="shared" ca="1" si="499"/>
        <v>22.845074984010303</v>
      </c>
      <c r="AC207" s="56">
        <f t="shared" ca="1" si="499"/>
        <v>22.884432598050353</v>
      </c>
      <c r="AD207" s="56">
        <f t="shared" ca="1" si="499"/>
        <v>22.928136461877941</v>
      </c>
      <c r="AE207" s="56">
        <f t="shared" ca="1" si="499"/>
        <v>22.976093309245186</v>
      </c>
      <c r="AF207" s="56">
        <f t="shared" ca="1" si="499"/>
        <v>23.028200797823015</v>
      </c>
      <c r="AG207" s="56">
        <f t="shared" ca="1" si="499"/>
        <v>23.084347727604829</v>
      </c>
      <c r="AH207" s="56">
        <f t="shared" ca="1" si="499"/>
        <v>23.144414278212938</v>
      </c>
      <c r="AI207" s="56">
        <f t="shared" ca="1" si="499"/>
        <v>23.208272264601273</v>
      </c>
      <c r="AJ207" s="56">
        <f t="shared" ca="1" si="499"/>
        <v>23.275785410608741</v>
      </c>
      <c r="AK207" s="56">
        <f t="shared" ca="1" si="499"/>
        <v>23.346809639779423</v>
      </c>
      <c r="AL207" s="56">
        <f t="shared" ca="1" si="499"/>
        <v>23.421193382828982</v>
      </c>
      <c r="AM207" s="56">
        <f t="shared" ca="1" si="499"/>
        <v>23.498777901101157</v>
      </c>
      <c r="AN207" s="56">
        <f t="shared" ca="1" si="499"/>
        <v>23.579397625324077</v>
      </c>
      <c r="AO207" s="56">
        <f t="shared" ca="1" si="499"/>
        <v>23.662880508943388</v>
      </c>
      <c r="AP207" s="56">
        <f t="shared" ca="1" si="499"/>
        <v>23.749048395278308</v>
      </c>
      <c r="AQ207" s="56">
        <f t="shared" ref="AQ207:BV207" ca="1" si="500">IF(AQ182&gt;0,AQ157+AQ182,0)</f>
        <v>23.837717397716943</v>
      </c>
      <c r="AR207" s="56">
        <f t="shared" ca="1" si="500"/>
        <v>23.9286982921396</v>
      </c>
      <c r="AS207" s="56">
        <f t="shared" ca="1" si="500"/>
        <v>24.021796920732569</v>
      </c>
      <c r="AT207" s="56">
        <f t="shared" ca="1" si="500"/>
        <v>24.116814606330706</v>
      </c>
      <c r="AU207" s="56">
        <f t="shared" ca="1" si="500"/>
        <v>24.213548576404502</v>
      </c>
      <c r="AV207" s="56">
        <f t="shared" ca="1" si="500"/>
        <v>24.311792395786888</v>
      </c>
      <c r="AW207" s="56">
        <f t="shared" ca="1" si="500"/>
        <v>24.411336407216279</v>
      </c>
      <c r="AX207" s="56">
        <f t="shared" ca="1" si="500"/>
        <v>24.51196817875574</v>
      </c>
      <c r="AY207" s="56">
        <f t="shared" ca="1" si="500"/>
        <v>24.613472957133439</v>
      </c>
      <c r="AZ207" s="56">
        <f t="shared" ca="1" si="500"/>
        <v>24.715634126036964</v>
      </c>
      <c r="BA207" s="56">
        <f t="shared" ca="1" si="500"/>
        <v>24.818233668383431</v>
      </c>
      <c r="BB207" s="56">
        <f t="shared" ca="1" si="500"/>
        <v>24.921052631578945</v>
      </c>
      <c r="BC207" s="56">
        <f t="shared" ca="1" si="500"/>
        <v>25.023871594774462</v>
      </c>
      <c r="BD207" s="56">
        <f t="shared" ca="1" si="500"/>
        <v>25.12647113712093</v>
      </c>
      <c r="BE207" s="56">
        <f t="shared" ca="1" si="500"/>
        <v>25.228632306024451</v>
      </c>
      <c r="BF207" s="56">
        <f t="shared" ca="1" si="500"/>
        <v>25.330137084402153</v>
      </c>
      <c r="BG207" s="56">
        <f t="shared" ca="1" si="500"/>
        <v>25.430768855941615</v>
      </c>
      <c r="BH207" s="56">
        <f t="shared" ca="1" si="500"/>
        <v>25.530312867371006</v>
      </c>
      <c r="BI207" s="56">
        <f t="shared" ca="1" si="500"/>
        <v>25.628556686753392</v>
      </c>
      <c r="BJ207" s="56">
        <f t="shared" ca="1" si="500"/>
        <v>25.725290656827188</v>
      </c>
      <c r="BK207" s="56">
        <f t="shared" ca="1" si="500"/>
        <v>25.820308342425321</v>
      </c>
      <c r="BL207" s="56">
        <f t="shared" ca="1" si="500"/>
        <v>25.91340697101829</v>
      </c>
      <c r="BM207" s="56">
        <f t="shared" ca="1" si="500"/>
        <v>26.004387865440947</v>
      </c>
      <c r="BN207" s="56">
        <f t="shared" ca="1" si="500"/>
        <v>26.093056867879586</v>
      </c>
      <c r="BO207" s="56">
        <f t="shared" ca="1" si="500"/>
        <v>26.179224754214506</v>
      </c>
      <c r="BP207" s="56">
        <f t="shared" ca="1" si="500"/>
        <v>26.262707637833817</v>
      </c>
      <c r="BQ207" s="56">
        <f t="shared" ca="1" si="500"/>
        <v>26.343327362056733</v>
      </c>
      <c r="BR207" s="56">
        <f t="shared" ca="1" si="500"/>
        <v>26.420911880328916</v>
      </c>
      <c r="BS207" s="56">
        <f t="shared" ca="1" si="500"/>
        <v>26.495295623378471</v>
      </c>
      <c r="BT207" s="56">
        <f t="shared" ca="1" si="500"/>
        <v>26.56631985254915</v>
      </c>
      <c r="BU207" s="56">
        <f t="shared" ca="1" si="500"/>
        <v>26.63383299855662</v>
      </c>
      <c r="BV207" s="56">
        <f t="shared" ca="1" si="500"/>
        <v>26.697690984944956</v>
      </c>
      <c r="BW207" s="56">
        <f t="shared" ref="BW207:DB207" ca="1" si="501">IF(BW182&gt;0,BW157+BW182,0)</f>
        <v>26.757757535553061</v>
      </c>
      <c r="BX207" s="56">
        <f t="shared" ca="1" si="501"/>
        <v>26.813904465334879</v>
      </c>
      <c r="BY207" s="56">
        <f t="shared" ca="1" si="501"/>
        <v>26.866011953912707</v>
      </c>
      <c r="BZ207" s="56">
        <f t="shared" ca="1" si="501"/>
        <v>26.913968801279953</v>
      </c>
      <c r="CA207" s="56">
        <f t="shared" ca="1" si="501"/>
        <v>26.957672665107541</v>
      </c>
      <c r="CB207" s="56">
        <f t="shared" ca="1" si="501"/>
        <v>26.997030279147591</v>
      </c>
      <c r="CC207" s="56">
        <f t="shared" ca="1" si="501"/>
        <v>27.031957652268307</v>
      </c>
      <c r="CD207" s="56">
        <f t="shared" ca="1" si="501"/>
        <v>27.062380247695277</v>
      </c>
      <c r="CE207" s="56">
        <f t="shared" ca="1" si="501"/>
        <v>27.0882331420767</v>
      </c>
      <c r="CF207" s="56">
        <f t="shared" ca="1" si="501"/>
        <v>27.109461164033107</v>
      </c>
      <c r="CG207" s="56">
        <f t="shared" ca="1" si="501"/>
        <v>27.126019011895849</v>
      </c>
      <c r="CH207" s="56">
        <f t="shared" ca="1" si="501"/>
        <v>27.137871350383154</v>
      </c>
      <c r="CI207" s="56">
        <f t="shared" ca="1" si="501"/>
        <v>27.144992886007387</v>
      </c>
      <c r="CJ207" s="56">
        <f t="shared" ca="1" si="501"/>
        <v>27.147368421052633</v>
      </c>
      <c r="CK207" s="56">
        <f t="shared" si="501"/>
        <v>0</v>
      </c>
      <c r="CL207" s="56">
        <f t="shared" si="501"/>
        <v>0</v>
      </c>
      <c r="CM207" s="56">
        <f t="shared" si="501"/>
        <v>0</v>
      </c>
      <c r="CN207" s="56">
        <f t="shared" si="501"/>
        <v>0</v>
      </c>
      <c r="CO207" s="56">
        <f t="shared" si="501"/>
        <v>0</v>
      </c>
      <c r="CP207" s="56">
        <f t="shared" si="501"/>
        <v>0</v>
      </c>
      <c r="CQ207" s="56">
        <f t="shared" si="501"/>
        <v>0</v>
      </c>
      <c r="CR207" s="56">
        <f t="shared" si="501"/>
        <v>0</v>
      </c>
      <c r="CS207" s="56">
        <f t="shared" si="501"/>
        <v>0</v>
      </c>
      <c r="CT207" s="56">
        <f t="shared" si="501"/>
        <v>0</v>
      </c>
      <c r="CU207" s="56">
        <f t="shared" si="501"/>
        <v>0</v>
      </c>
      <c r="CV207" s="56">
        <f t="shared" si="501"/>
        <v>0</v>
      </c>
      <c r="CW207" s="56">
        <f t="shared" si="501"/>
        <v>0</v>
      </c>
      <c r="CX207" s="56">
        <f t="shared" si="501"/>
        <v>0</v>
      </c>
      <c r="CY207" s="56">
        <f t="shared" si="501"/>
        <v>0</v>
      </c>
      <c r="CZ207" s="56">
        <f t="shared" si="501"/>
        <v>0</v>
      </c>
      <c r="DA207" s="56">
        <f t="shared" si="501"/>
        <v>0</v>
      </c>
      <c r="DB207" s="56">
        <f t="shared" si="501"/>
        <v>0</v>
      </c>
      <c r="DC207" s="56">
        <f t="shared" ref="DC207:EH207" si="502">IF(DC182&gt;0,DC157+DC182,0)</f>
        <v>0</v>
      </c>
      <c r="DD207" s="56">
        <f t="shared" si="502"/>
        <v>0</v>
      </c>
      <c r="DE207" s="56">
        <f t="shared" si="502"/>
        <v>0</v>
      </c>
      <c r="DF207" s="56">
        <f t="shared" si="502"/>
        <v>0</v>
      </c>
      <c r="DG207" s="56">
        <f t="shared" si="502"/>
        <v>0</v>
      </c>
      <c r="DH207" s="56">
        <f t="shared" si="502"/>
        <v>0</v>
      </c>
      <c r="DI207" s="56">
        <f t="shared" si="502"/>
        <v>0</v>
      </c>
      <c r="DJ207" s="56">
        <f t="shared" si="502"/>
        <v>0</v>
      </c>
      <c r="DK207" s="56">
        <f t="shared" si="502"/>
        <v>0</v>
      </c>
      <c r="DL207" s="56">
        <f t="shared" si="502"/>
        <v>0</v>
      </c>
      <c r="DM207" s="56">
        <f t="shared" si="502"/>
        <v>0</v>
      </c>
      <c r="DN207" s="56">
        <f t="shared" si="502"/>
        <v>0</v>
      </c>
      <c r="DO207" s="56">
        <f t="shared" si="502"/>
        <v>0</v>
      </c>
      <c r="DP207" s="56">
        <f t="shared" si="502"/>
        <v>0</v>
      </c>
      <c r="DQ207" s="56">
        <f t="shared" si="502"/>
        <v>0</v>
      </c>
      <c r="DR207" s="56">
        <f t="shared" si="502"/>
        <v>0</v>
      </c>
      <c r="DS207" s="56">
        <f t="shared" si="502"/>
        <v>0</v>
      </c>
      <c r="DT207" s="56">
        <f t="shared" si="502"/>
        <v>0</v>
      </c>
      <c r="DU207" s="56">
        <f t="shared" si="502"/>
        <v>0</v>
      </c>
      <c r="DV207" s="56">
        <f t="shared" si="502"/>
        <v>0</v>
      </c>
      <c r="DW207" s="56">
        <f t="shared" si="502"/>
        <v>0</v>
      </c>
      <c r="DX207" s="56">
        <f t="shared" si="502"/>
        <v>0</v>
      </c>
      <c r="DY207" s="56">
        <f t="shared" si="502"/>
        <v>0</v>
      </c>
      <c r="DZ207" s="56">
        <f t="shared" si="502"/>
        <v>0</v>
      </c>
      <c r="EA207" s="56">
        <f t="shared" si="502"/>
        <v>0</v>
      </c>
      <c r="EB207" s="56">
        <f t="shared" si="502"/>
        <v>0</v>
      </c>
      <c r="EC207" s="56">
        <f t="shared" si="502"/>
        <v>0</v>
      </c>
      <c r="ED207" s="56">
        <f t="shared" si="502"/>
        <v>0</v>
      </c>
      <c r="EE207" s="56">
        <f t="shared" si="502"/>
        <v>0</v>
      </c>
      <c r="EF207" s="56">
        <f t="shared" si="502"/>
        <v>0</v>
      </c>
      <c r="EG207" s="56">
        <f t="shared" si="502"/>
        <v>0</v>
      </c>
      <c r="EH207" s="56">
        <f t="shared" si="502"/>
        <v>0</v>
      </c>
      <c r="EI207" s="56">
        <f t="shared" ref="EI207:FN207" si="503">IF(EI182&gt;0,EI157+EI182,0)</f>
        <v>0</v>
      </c>
      <c r="EJ207" s="56">
        <f t="shared" si="503"/>
        <v>0</v>
      </c>
      <c r="EK207" s="56">
        <f t="shared" si="503"/>
        <v>0</v>
      </c>
      <c r="EL207" s="56">
        <f t="shared" si="503"/>
        <v>0</v>
      </c>
      <c r="EM207" s="56">
        <f t="shared" si="503"/>
        <v>0</v>
      </c>
      <c r="EN207" s="56">
        <f t="shared" si="503"/>
        <v>0</v>
      </c>
      <c r="EO207" s="56">
        <f t="shared" si="503"/>
        <v>0</v>
      </c>
      <c r="EP207" s="56">
        <f t="shared" si="503"/>
        <v>0</v>
      </c>
      <c r="EQ207" s="56">
        <f t="shared" si="503"/>
        <v>0</v>
      </c>
      <c r="ER207" s="56">
        <f t="shared" si="503"/>
        <v>0</v>
      </c>
      <c r="ES207" s="56">
        <f t="shared" si="503"/>
        <v>0</v>
      </c>
      <c r="ET207" s="56">
        <f t="shared" si="503"/>
        <v>0</v>
      </c>
      <c r="EU207" s="56">
        <f t="shared" si="503"/>
        <v>0</v>
      </c>
      <c r="EV207" s="56">
        <f t="shared" si="503"/>
        <v>0</v>
      </c>
      <c r="EW207" s="56">
        <f t="shared" si="503"/>
        <v>0</v>
      </c>
      <c r="EX207" s="56">
        <f t="shared" si="503"/>
        <v>0</v>
      </c>
      <c r="EY207" s="56">
        <f t="shared" si="503"/>
        <v>0</v>
      </c>
      <c r="EZ207" s="56">
        <f t="shared" si="503"/>
        <v>0</v>
      </c>
      <c r="FA207" s="56">
        <f t="shared" si="503"/>
        <v>0</v>
      </c>
      <c r="FB207" s="56">
        <f t="shared" si="503"/>
        <v>0</v>
      </c>
      <c r="FC207" s="56">
        <f t="shared" si="503"/>
        <v>0</v>
      </c>
      <c r="FD207" s="56">
        <f t="shared" si="503"/>
        <v>0</v>
      </c>
      <c r="FE207" s="56">
        <f t="shared" si="503"/>
        <v>0</v>
      </c>
      <c r="FF207" s="56">
        <f t="shared" si="503"/>
        <v>0</v>
      </c>
      <c r="FG207" s="56">
        <f t="shared" si="503"/>
        <v>0</v>
      </c>
      <c r="FH207" s="56">
        <f t="shared" si="503"/>
        <v>0</v>
      </c>
      <c r="FI207" s="56">
        <f t="shared" si="503"/>
        <v>0</v>
      </c>
      <c r="FJ207" s="56">
        <f t="shared" si="503"/>
        <v>0</v>
      </c>
      <c r="FK207" s="56">
        <f t="shared" si="503"/>
        <v>0</v>
      </c>
      <c r="FL207" s="56">
        <f t="shared" si="503"/>
        <v>0</v>
      </c>
      <c r="FM207" s="56">
        <f t="shared" si="503"/>
        <v>0</v>
      </c>
      <c r="FN207" s="56">
        <f t="shared" si="503"/>
        <v>0</v>
      </c>
      <c r="FO207" s="56">
        <f t="shared" ref="FO207:GP207" si="504">IF(FO182&gt;0,FO157+FO182,0)</f>
        <v>0</v>
      </c>
      <c r="FP207" s="56">
        <f t="shared" si="504"/>
        <v>0</v>
      </c>
      <c r="FQ207" s="56">
        <f t="shared" si="504"/>
        <v>0</v>
      </c>
      <c r="FR207" s="56">
        <f t="shared" si="504"/>
        <v>0</v>
      </c>
      <c r="FS207" s="56">
        <f t="shared" si="504"/>
        <v>0</v>
      </c>
      <c r="FT207" s="56">
        <f t="shared" si="504"/>
        <v>0</v>
      </c>
      <c r="FU207" s="56">
        <f t="shared" si="504"/>
        <v>0</v>
      </c>
      <c r="FV207" s="56">
        <f t="shared" si="504"/>
        <v>0</v>
      </c>
      <c r="FW207" s="56">
        <f t="shared" si="504"/>
        <v>0</v>
      </c>
      <c r="FX207" s="56">
        <f t="shared" si="504"/>
        <v>0</v>
      </c>
      <c r="FY207" s="56">
        <f t="shared" si="504"/>
        <v>0</v>
      </c>
      <c r="FZ207" s="56">
        <f t="shared" si="504"/>
        <v>0</v>
      </c>
      <c r="GA207" s="56">
        <f t="shared" si="504"/>
        <v>0</v>
      </c>
      <c r="GB207" s="56">
        <f t="shared" si="504"/>
        <v>0</v>
      </c>
      <c r="GC207" s="56">
        <f t="shared" si="504"/>
        <v>0</v>
      </c>
      <c r="GD207" s="56">
        <f t="shared" si="504"/>
        <v>0</v>
      </c>
      <c r="GE207" s="56">
        <f t="shared" si="504"/>
        <v>0</v>
      </c>
      <c r="GF207" s="56">
        <f t="shared" si="504"/>
        <v>0</v>
      </c>
      <c r="GG207" s="56">
        <f t="shared" si="504"/>
        <v>0</v>
      </c>
      <c r="GH207" s="56">
        <f t="shared" si="504"/>
        <v>0</v>
      </c>
      <c r="GI207" s="56">
        <f t="shared" si="504"/>
        <v>0</v>
      </c>
      <c r="GJ207" s="56">
        <f t="shared" si="504"/>
        <v>0</v>
      </c>
      <c r="GK207" s="56">
        <f t="shared" si="504"/>
        <v>0</v>
      </c>
      <c r="GL207" s="56">
        <f t="shared" si="504"/>
        <v>0</v>
      </c>
      <c r="GM207" s="56">
        <f t="shared" si="504"/>
        <v>0</v>
      </c>
      <c r="GN207" s="56">
        <f t="shared" si="504"/>
        <v>0</v>
      </c>
      <c r="GO207" s="56">
        <f t="shared" si="504"/>
        <v>0</v>
      </c>
      <c r="GP207" s="56">
        <f t="shared" si="504"/>
        <v>0</v>
      </c>
    </row>
    <row r="208" spans="1:198" x14ac:dyDescent="0.35">
      <c r="A208" s="55" t="str">
        <f t="shared" si="304"/>
        <v>India &gt; available in future</v>
      </c>
      <c r="B208" s="55" t="s">
        <v>298</v>
      </c>
      <c r="K208" s="56">
        <f t="shared" ref="K208:T214" ca="1" si="505">IF(K183&gt;0,K158+K183,K207)</f>
        <v>22.694736842105261</v>
      </c>
      <c r="L208" s="56">
        <f t="shared" ca="1" si="505"/>
        <v>22.694736842105261</v>
      </c>
      <c r="M208" s="56">
        <f t="shared" ca="1" si="505"/>
        <v>22.694736842105261</v>
      </c>
      <c r="N208" s="56">
        <f t="shared" ca="1" si="505"/>
        <v>22.694736842105261</v>
      </c>
      <c r="O208" s="56">
        <f t="shared" ca="1" si="505"/>
        <v>22.694736842105261</v>
      </c>
      <c r="P208" s="56">
        <f t="shared" ca="1" si="505"/>
        <v>22.694736842105261</v>
      </c>
      <c r="Q208" s="56">
        <f t="shared" ca="1" si="505"/>
        <v>22.694736842105261</v>
      </c>
      <c r="R208" s="56">
        <f t="shared" ca="1" si="505"/>
        <v>22.694736842105261</v>
      </c>
      <c r="S208" s="56">
        <f t="shared" ca="1" si="505"/>
        <v>22.694736842105261</v>
      </c>
      <c r="T208" s="56">
        <f t="shared" ca="1" si="505"/>
        <v>22.694736842105261</v>
      </c>
      <c r="U208" s="56">
        <f t="shared" ref="U208:AD214" ca="1" si="506">IF(U183&gt;0,U158+U183,U207)</f>
        <v>22.697112377150507</v>
      </c>
      <c r="V208" s="56">
        <f t="shared" ca="1" si="506"/>
        <v>22.70423391277474</v>
      </c>
      <c r="W208" s="56">
        <f t="shared" ca="1" si="506"/>
        <v>22.716086251262041</v>
      </c>
      <c r="X208" s="56">
        <f t="shared" ca="1" si="506"/>
        <v>22.732644099124784</v>
      </c>
      <c r="Y208" s="56">
        <f t="shared" ca="1" si="506"/>
        <v>22.753872121081194</v>
      </c>
      <c r="Z208" s="56">
        <f t="shared" ca="1" si="506"/>
        <v>22.779725015462617</v>
      </c>
      <c r="AA208" s="56">
        <f t="shared" ca="1" si="506"/>
        <v>22.810147610889587</v>
      </c>
      <c r="AB208" s="56">
        <f t="shared" ca="1" si="506"/>
        <v>22.845074984010303</v>
      </c>
      <c r="AC208" s="56">
        <f t="shared" ca="1" si="506"/>
        <v>22.884432598050353</v>
      </c>
      <c r="AD208" s="56">
        <f t="shared" ca="1" si="506"/>
        <v>22.928136461877941</v>
      </c>
      <c r="AE208" s="56">
        <f t="shared" ref="AE208:AN214" ca="1" si="507">IF(AE183&gt;0,AE158+AE183,AE207)</f>
        <v>22.976093309245186</v>
      </c>
      <c r="AF208" s="56">
        <f t="shared" ca="1" si="507"/>
        <v>23.028200797823015</v>
      </c>
      <c r="AG208" s="56">
        <f t="shared" ca="1" si="507"/>
        <v>23.084347727604829</v>
      </c>
      <c r="AH208" s="56">
        <f t="shared" ca="1" si="507"/>
        <v>23.144414278212938</v>
      </c>
      <c r="AI208" s="56">
        <f t="shared" ca="1" si="507"/>
        <v>23.208272264601273</v>
      </c>
      <c r="AJ208" s="56">
        <f t="shared" ca="1" si="507"/>
        <v>23.275785410608741</v>
      </c>
      <c r="AK208" s="56">
        <f t="shared" ca="1" si="507"/>
        <v>23.346809639779423</v>
      </c>
      <c r="AL208" s="56">
        <f t="shared" ca="1" si="507"/>
        <v>23.421193382828982</v>
      </c>
      <c r="AM208" s="56">
        <f t="shared" ca="1" si="507"/>
        <v>23.498777901101157</v>
      </c>
      <c r="AN208" s="56">
        <f t="shared" ca="1" si="507"/>
        <v>23.579397625324077</v>
      </c>
      <c r="AO208" s="56">
        <f t="shared" ref="AO208:AX214" ca="1" si="508">IF(AO183&gt;0,AO158+AO183,AO207)</f>
        <v>23.662880508943388</v>
      </c>
      <c r="AP208" s="56">
        <f t="shared" ca="1" si="508"/>
        <v>23.749048395278308</v>
      </c>
      <c r="AQ208" s="56">
        <f t="shared" ca="1" si="508"/>
        <v>23.837717397716943</v>
      </c>
      <c r="AR208" s="56">
        <f t="shared" ca="1" si="508"/>
        <v>23.9286982921396</v>
      </c>
      <c r="AS208" s="56">
        <f t="shared" ca="1" si="508"/>
        <v>24.021796920732569</v>
      </c>
      <c r="AT208" s="56">
        <f t="shared" ca="1" si="508"/>
        <v>24.116814606330706</v>
      </c>
      <c r="AU208" s="56">
        <f t="shared" ca="1" si="508"/>
        <v>24.213548576404502</v>
      </c>
      <c r="AV208" s="56">
        <f t="shared" ca="1" si="508"/>
        <v>24.311792395786888</v>
      </c>
      <c r="AW208" s="56">
        <f t="shared" ca="1" si="508"/>
        <v>24.411336407216279</v>
      </c>
      <c r="AX208" s="56">
        <f t="shared" ca="1" si="508"/>
        <v>24.51196817875574</v>
      </c>
      <c r="AY208" s="56">
        <f t="shared" ref="AY208:BH214" ca="1" si="509">IF(AY183&gt;0,AY158+AY183,AY207)</f>
        <v>24.613472957133439</v>
      </c>
      <c r="AZ208" s="56">
        <f t="shared" ca="1" si="509"/>
        <v>24.715634126036964</v>
      </c>
      <c r="BA208" s="56">
        <f t="shared" ca="1" si="509"/>
        <v>24.818233668383431</v>
      </c>
      <c r="BB208" s="56">
        <f t="shared" ca="1" si="509"/>
        <v>24.921052631578945</v>
      </c>
      <c r="BC208" s="56">
        <f t="shared" ca="1" si="509"/>
        <v>25.023871594774462</v>
      </c>
      <c r="BD208" s="56">
        <f t="shared" ca="1" si="509"/>
        <v>25.12647113712093</v>
      </c>
      <c r="BE208" s="56">
        <f t="shared" ca="1" si="509"/>
        <v>25.228632306024451</v>
      </c>
      <c r="BF208" s="56">
        <f t="shared" ca="1" si="509"/>
        <v>25.330137084402153</v>
      </c>
      <c r="BG208" s="56">
        <f t="shared" ca="1" si="509"/>
        <v>25.430768855941615</v>
      </c>
      <c r="BH208" s="56">
        <f t="shared" ca="1" si="509"/>
        <v>25.530312867371006</v>
      </c>
      <c r="BI208" s="56">
        <f t="shared" ref="BI208:BR214" ca="1" si="510">IF(BI183&gt;0,BI158+BI183,BI207)</f>
        <v>25.628556686753392</v>
      </c>
      <c r="BJ208" s="56">
        <f t="shared" ca="1" si="510"/>
        <v>25.725290656827188</v>
      </c>
      <c r="BK208" s="56">
        <f t="shared" ca="1" si="510"/>
        <v>25.820308342425321</v>
      </c>
      <c r="BL208" s="56">
        <f t="shared" ca="1" si="510"/>
        <v>25.91340697101829</v>
      </c>
      <c r="BM208" s="56">
        <f t="shared" ca="1" si="510"/>
        <v>26.004387865440947</v>
      </c>
      <c r="BN208" s="56">
        <f t="shared" ca="1" si="510"/>
        <v>26.093056867879586</v>
      </c>
      <c r="BO208" s="56">
        <f t="shared" ca="1" si="510"/>
        <v>26.179224754214506</v>
      </c>
      <c r="BP208" s="56">
        <f t="shared" ca="1" si="510"/>
        <v>26.262707637833817</v>
      </c>
      <c r="BQ208" s="56">
        <f t="shared" ca="1" si="510"/>
        <v>26.343327362056733</v>
      </c>
      <c r="BR208" s="56">
        <f t="shared" ca="1" si="510"/>
        <v>26.420911880328916</v>
      </c>
      <c r="BS208" s="56">
        <f t="shared" ref="BS208:CB214" ca="1" si="511">IF(BS183&gt;0,BS158+BS183,BS207)</f>
        <v>26.495295623378471</v>
      </c>
      <c r="BT208" s="56">
        <f t="shared" ca="1" si="511"/>
        <v>26.56631985254915</v>
      </c>
      <c r="BU208" s="56">
        <f t="shared" ca="1" si="511"/>
        <v>26.63383299855662</v>
      </c>
      <c r="BV208" s="56">
        <f t="shared" ca="1" si="511"/>
        <v>26.697690984944956</v>
      </c>
      <c r="BW208" s="56">
        <f t="shared" ca="1" si="511"/>
        <v>26.757757535553061</v>
      </c>
      <c r="BX208" s="56">
        <f t="shared" ca="1" si="511"/>
        <v>26.813904465334879</v>
      </c>
      <c r="BY208" s="56">
        <f t="shared" ca="1" si="511"/>
        <v>26.866011953912707</v>
      </c>
      <c r="BZ208" s="56">
        <f t="shared" ca="1" si="511"/>
        <v>26.913968801279953</v>
      </c>
      <c r="CA208" s="56">
        <f t="shared" ca="1" si="511"/>
        <v>26.957672665107541</v>
      </c>
      <c r="CB208" s="56">
        <f t="shared" ca="1" si="511"/>
        <v>26.997030279147591</v>
      </c>
      <c r="CC208" s="56">
        <f t="shared" ref="CC208:CL214" ca="1" si="512">IF(CC183&gt;0,CC158+CC183,CC207)</f>
        <v>27.031957652268307</v>
      </c>
      <c r="CD208" s="56">
        <f t="shared" ca="1" si="512"/>
        <v>27.062380247695277</v>
      </c>
      <c r="CE208" s="56">
        <f t="shared" ca="1" si="512"/>
        <v>27.0882331420767</v>
      </c>
      <c r="CF208" s="56">
        <f t="shared" ca="1" si="512"/>
        <v>27.109461164033107</v>
      </c>
      <c r="CG208" s="56">
        <f t="shared" ca="1" si="512"/>
        <v>27.126019011895849</v>
      </c>
      <c r="CH208" s="56">
        <f t="shared" ca="1" si="512"/>
        <v>27.137871350383154</v>
      </c>
      <c r="CI208" s="56">
        <f t="shared" ca="1" si="512"/>
        <v>27.144992886007387</v>
      </c>
      <c r="CJ208" s="56">
        <f t="shared" ca="1" si="512"/>
        <v>27.147368421052633</v>
      </c>
      <c r="CK208" s="56">
        <f t="shared" si="512"/>
        <v>0</v>
      </c>
      <c r="CL208" s="56">
        <f t="shared" si="512"/>
        <v>0</v>
      </c>
      <c r="CM208" s="56">
        <f t="shared" ref="CM208:CV214" si="513">IF(CM183&gt;0,CM158+CM183,CM207)</f>
        <v>0</v>
      </c>
      <c r="CN208" s="56">
        <f t="shared" si="513"/>
        <v>0</v>
      </c>
      <c r="CO208" s="56">
        <f t="shared" si="513"/>
        <v>0</v>
      </c>
      <c r="CP208" s="56">
        <f t="shared" si="513"/>
        <v>0</v>
      </c>
      <c r="CQ208" s="56">
        <f t="shared" si="513"/>
        <v>0</v>
      </c>
      <c r="CR208" s="56">
        <f t="shared" si="513"/>
        <v>0</v>
      </c>
      <c r="CS208" s="56">
        <f t="shared" si="513"/>
        <v>0</v>
      </c>
      <c r="CT208" s="56">
        <f t="shared" si="513"/>
        <v>0</v>
      </c>
      <c r="CU208" s="56">
        <f t="shared" si="513"/>
        <v>0</v>
      </c>
      <c r="CV208" s="56">
        <f t="shared" si="513"/>
        <v>0</v>
      </c>
      <c r="CW208" s="56">
        <f t="shared" ref="CW208:DF214" si="514">IF(CW183&gt;0,CW158+CW183,CW207)</f>
        <v>0</v>
      </c>
      <c r="CX208" s="56">
        <f t="shared" si="514"/>
        <v>0</v>
      </c>
      <c r="CY208" s="56">
        <f t="shared" si="514"/>
        <v>0</v>
      </c>
      <c r="CZ208" s="56">
        <f t="shared" si="514"/>
        <v>0</v>
      </c>
      <c r="DA208" s="56">
        <f t="shared" si="514"/>
        <v>0</v>
      </c>
      <c r="DB208" s="56">
        <f t="shared" si="514"/>
        <v>0</v>
      </c>
      <c r="DC208" s="56">
        <f t="shared" si="514"/>
        <v>0</v>
      </c>
      <c r="DD208" s="56">
        <f t="shared" si="514"/>
        <v>0</v>
      </c>
      <c r="DE208" s="56">
        <f t="shared" si="514"/>
        <v>0</v>
      </c>
      <c r="DF208" s="56">
        <f t="shared" si="514"/>
        <v>0</v>
      </c>
      <c r="DG208" s="56">
        <f t="shared" ref="DG208:DP214" si="515">IF(DG183&gt;0,DG158+DG183,DG207)</f>
        <v>0</v>
      </c>
      <c r="DH208" s="56">
        <f t="shared" si="515"/>
        <v>0</v>
      </c>
      <c r="DI208" s="56">
        <f t="shared" si="515"/>
        <v>0</v>
      </c>
      <c r="DJ208" s="56">
        <f t="shared" si="515"/>
        <v>0</v>
      </c>
      <c r="DK208" s="56">
        <f t="shared" si="515"/>
        <v>0</v>
      </c>
      <c r="DL208" s="56">
        <f t="shared" si="515"/>
        <v>0</v>
      </c>
      <c r="DM208" s="56">
        <f t="shared" si="515"/>
        <v>0</v>
      </c>
      <c r="DN208" s="56">
        <f t="shared" si="515"/>
        <v>0</v>
      </c>
      <c r="DO208" s="56">
        <f t="shared" si="515"/>
        <v>0</v>
      </c>
      <c r="DP208" s="56">
        <f t="shared" si="515"/>
        <v>0</v>
      </c>
      <c r="DQ208" s="56">
        <f t="shared" ref="DQ208:DZ214" si="516">IF(DQ183&gt;0,DQ158+DQ183,DQ207)</f>
        <v>0</v>
      </c>
      <c r="DR208" s="56">
        <f t="shared" si="516"/>
        <v>0</v>
      </c>
      <c r="DS208" s="56">
        <f t="shared" si="516"/>
        <v>0</v>
      </c>
      <c r="DT208" s="56">
        <f t="shared" si="516"/>
        <v>0</v>
      </c>
      <c r="DU208" s="56">
        <f t="shared" si="516"/>
        <v>0</v>
      </c>
      <c r="DV208" s="56">
        <f t="shared" si="516"/>
        <v>0</v>
      </c>
      <c r="DW208" s="56">
        <f t="shared" si="516"/>
        <v>0</v>
      </c>
      <c r="DX208" s="56">
        <f t="shared" si="516"/>
        <v>0</v>
      </c>
      <c r="DY208" s="56">
        <f t="shared" si="516"/>
        <v>0</v>
      </c>
      <c r="DZ208" s="56">
        <f t="shared" si="516"/>
        <v>0</v>
      </c>
      <c r="EA208" s="56">
        <f t="shared" ref="EA208:EJ214" si="517">IF(EA183&gt;0,EA158+EA183,EA207)</f>
        <v>0</v>
      </c>
      <c r="EB208" s="56">
        <f t="shared" si="517"/>
        <v>0</v>
      </c>
      <c r="EC208" s="56">
        <f t="shared" si="517"/>
        <v>0</v>
      </c>
      <c r="ED208" s="56">
        <f t="shared" si="517"/>
        <v>0</v>
      </c>
      <c r="EE208" s="56">
        <f t="shared" si="517"/>
        <v>0</v>
      </c>
      <c r="EF208" s="56">
        <f t="shared" si="517"/>
        <v>0</v>
      </c>
      <c r="EG208" s="56">
        <f t="shared" si="517"/>
        <v>0</v>
      </c>
      <c r="EH208" s="56">
        <f t="shared" si="517"/>
        <v>0</v>
      </c>
      <c r="EI208" s="56">
        <f t="shared" si="517"/>
        <v>0</v>
      </c>
      <c r="EJ208" s="56">
        <f t="shared" si="517"/>
        <v>0</v>
      </c>
      <c r="EK208" s="56">
        <f t="shared" ref="EK208:ET214" si="518">IF(EK183&gt;0,EK158+EK183,EK207)</f>
        <v>0</v>
      </c>
      <c r="EL208" s="56">
        <f t="shared" si="518"/>
        <v>0</v>
      </c>
      <c r="EM208" s="56">
        <f t="shared" si="518"/>
        <v>0</v>
      </c>
      <c r="EN208" s="56">
        <f t="shared" si="518"/>
        <v>0</v>
      </c>
      <c r="EO208" s="56">
        <f t="shared" si="518"/>
        <v>0</v>
      </c>
      <c r="EP208" s="56">
        <f t="shared" si="518"/>
        <v>0</v>
      </c>
      <c r="EQ208" s="56">
        <f t="shared" si="518"/>
        <v>0</v>
      </c>
      <c r="ER208" s="56">
        <f t="shared" si="518"/>
        <v>0</v>
      </c>
      <c r="ES208" s="56">
        <f t="shared" si="518"/>
        <v>0</v>
      </c>
      <c r="ET208" s="56">
        <f t="shared" si="518"/>
        <v>0</v>
      </c>
      <c r="EU208" s="56">
        <f t="shared" ref="EU208:FD214" si="519">IF(EU183&gt;0,EU158+EU183,EU207)</f>
        <v>0</v>
      </c>
      <c r="EV208" s="56">
        <f t="shared" si="519"/>
        <v>0</v>
      </c>
      <c r="EW208" s="56">
        <f t="shared" si="519"/>
        <v>0</v>
      </c>
      <c r="EX208" s="56">
        <f t="shared" si="519"/>
        <v>0</v>
      </c>
      <c r="EY208" s="56">
        <f t="shared" si="519"/>
        <v>0</v>
      </c>
      <c r="EZ208" s="56">
        <f t="shared" si="519"/>
        <v>0</v>
      </c>
      <c r="FA208" s="56">
        <f t="shared" si="519"/>
        <v>0</v>
      </c>
      <c r="FB208" s="56">
        <f t="shared" si="519"/>
        <v>0</v>
      </c>
      <c r="FC208" s="56">
        <f t="shared" si="519"/>
        <v>0</v>
      </c>
      <c r="FD208" s="56">
        <f t="shared" si="519"/>
        <v>0</v>
      </c>
      <c r="FE208" s="56">
        <f t="shared" ref="FE208:FN214" si="520">IF(FE183&gt;0,FE158+FE183,FE207)</f>
        <v>0</v>
      </c>
      <c r="FF208" s="56">
        <f t="shared" si="520"/>
        <v>0</v>
      </c>
      <c r="FG208" s="56">
        <f t="shared" si="520"/>
        <v>0</v>
      </c>
      <c r="FH208" s="56">
        <f t="shared" si="520"/>
        <v>0</v>
      </c>
      <c r="FI208" s="56">
        <f t="shared" si="520"/>
        <v>0</v>
      </c>
      <c r="FJ208" s="56">
        <f t="shared" si="520"/>
        <v>0</v>
      </c>
      <c r="FK208" s="56">
        <f t="shared" si="520"/>
        <v>0</v>
      </c>
      <c r="FL208" s="56">
        <f t="shared" si="520"/>
        <v>0</v>
      </c>
      <c r="FM208" s="56">
        <f t="shared" si="520"/>
        <v>0</v>
      </c>
      <c r="FN208" s="56">
        <f t="shared" si="520"/>
        <v>0</v>
      </c>
      <c r="FO208" s="56">
        <f t="shared" ref="FO208:FX214" si="521">IF(FO183&gt;0,FO158+FO183,FO207)</f>
        <v>0</v>
      </c>
      <c r="FP208" s="56">
        <f t="shared" si="521"/>
        <v>0</v>
      </c>
      <c r="FQ208" s="56">
        <f t="shared" si="521"/>
        <v>0</v>
      </c>
      <c r="FR208" s="56">
        <f t="shared" si="521"/>
        <v>0</v>
      </c>
      <c r="FS208" s="56">
        <f t="shared" si="521"/>
        <v>0</v>
      </c>
      <c r="FT208" s="56">
        <f t="shared" si="521"/>
        <v>0</v>
      </c>
      <c r="FU208" s="56">
        <f t="shared" si="521"/>
        <v>0</v>
      </c>
      <c r="FV208" s="56">
        <f t="shared" si="521"/>
        <v>0</v>
      </c>
      <c r="FW208" s="56">
        <f t="shared" si="521"/>
        <v>0</v>
      </c>
      <c r="FX208" s="56">
        <f t="shared" si="521"/>
        <v>0</v>
      </c>
      <c r="FY208" s="56">
        <f t="shared" ref="FY208:GH214" si="522">IF(FY183&gt;0,FY158+FY183,FY207)</f>
        <v>0</v>
      </c>
      <c r="FZ208" s="56">
        <f t="shared" si="522"/>
        <v>0</v>
      </c>
      <c r="GA208" s="56">
        <f t="shared" si="522"/>
        <v>0</v>
      </c>
      <c r="GB208" s="56">
        <f t="shared" si="522"/>
        <v>0</v>
      </c>
      <c r="GC208" s="56">
        <f t="shared" si="522"/>
        <v>0</v>
      </c>
      <c r="GD208" s="56">
        <f t="shared" si="522"/>
        <v>0</v>
      </c>
      <c r="GE208" s="56">
        <f t="shared" si="522"/>
        <v>0</v>
      </c>
      <c r="GF208" s="56">
        <f t="shared" si="522"/>
        <v>0</v>
      </c>
      <c r="GG208" s="56">
        <f t="shared" si="522"/>
        <v>0</v>
      </c>
      <c r="GH208" s="56">
        <f t="shared" si="522"/>
        <v>0</v>
      </c>
      <c r="GI208" s="56">
        <f t="shared" ref="GI208:GP214" si="523">IF(GI183&gt;0,GI158+GI183,GI207)</f>
        <v>0</v>
      </c>
      <c r="GJ208" s="56">
        <f t="shared" si="523"/>
        <v>0</v>
      </c>
      <c r="GK208" s="56">
        <f t="shared" si="523"/>
        <v>0</v>
      </c>
      <c r="GL208" s="56">
        <f t="shared" si="523"/>
        <v>0</v>
      </c>
      <c r="GM208" s="56">
        <f t="shared" si="523"/>
        <v>0</v>
      </c>
      <c r="GN208" s="56">
        <f t="shared" si="523"/>
        <v>0</v>
      </c>
      <c r="GO208" s="56">
        <f t="shared" si="523"/>
        <v>0</v>
      </c>
      <c r="GP208" s="56">
        <f t="shared" si="523"/>
        <v>0</v>
      </c>
    </row>
    <row r="209" spans="1:198" x14ac:dyDescent="0.35">
      <c r="A209" s="55" t="str">
        <f t="shared" si="304"/>
        <v>UK &gt; available in future</v>
      </c>
      <c r="B209" s="55" t="s">
        <v>298</v>
      </c>
      <c r="K209" s="56">
        <f t="shared" ca="1" si="505"/>
        <v>27.547368421052628</v>
      </c>
      <c r="L209" s="56">
        <f t="shared" ca="1" si="505"/>
        <v>27.547368421052628</v>
      </c>
      <c r="M209" s="56">
        <f t="shared" ca="1" si="505"/>
        <v>27.547368421052628</v>
      </c>
      <c r="N209" s="56">
        <f t="shared" ca="1" si="505"/>
        <v>27.547368421052628</v>
      </c>
      <c r="O209" s="56">
        <f t="shared" ca="1" si="505"/>
        <v>27.547368421052628</v>
      </c>
      <c r="P209" s="56">
        <f t="shared" ca="1" si="505"/>
        <v>27.547368421052628</v>
      </c>
      <c r="Q209" s="56">
        <f t="shared" ca="1" si="505"/>
        <v>27.547368421052628</v>
      </c>
      <c r="R209" s="56">
        <f t="shared" ca="1" si="505"/>
        <v>27.547368421052628</v>
      </c>
      <c r="S209" s="56">
        <f t="shared" ca="1" si="505"/>
        <v>27.547368421052628</v>
      </c>
      <c r="T209" s="56">
        <f t="shared" ca="1" si="505"/>
        <v>27.547368421052628</v>
      </c>
      <c r="U209" s="56">
        <f t="shared" ca="1" si="506"/>
        <v>27.548019868015391</v>
      </c>
      <c r="V209" s="56">
        <f t="shared" ca="1" si="506"/>
        <v>27.549972818683027</v>
      </c>
      <c r="W209" s="56">
        <f t="shared" ca="1" si="506"/>
        <v>27.553223105360399</v>
      </c>
      <c r="X209" s="56">
        <f t="shared" ca="1" si="506"/>
        <v>27.557763791771929</v>
      </c>
      <c r="Y209" s="56">
        <f t="shared" ca="1" si="506"/>
        <v>27.563585187863996</v>
      </c>
      <c r="Z209" s="56">
        <f t="shared" ca="1" si="506"/>
        <v>27.570674870483959</v>
      </c>
      <c r="AA209" s="56">
        <f t="shared" ca="1" si="506"/>
        <v>27.579017709891829</v>
      </c>
      <c r="AB209" s="56">
        <f t="shared" ca="1" si="506"/>
        <v>27.588595902047864</v>
      </c>
      <c r="AC209" s="56">
        <f t="shared" ca="1" si="506"/>
        <v>27.599389006607311</v>
      </c>
      <c r="AD209" s="56">
        <f t="shared" ca="1" si="506"/>
        <v>27.611373990541118</v>
      </c>
      <c r="AE209" s="56">
        <f t="shared" ca="1" si="507"/>
        <v>27.624525277289582</v>
      </c>
      <c r="AF209" s="56">
        <f t="shared" ca="1" si="507"/>
        <v>27.638814801344022</v>
      </c>
      <c r="AG209" s="56">
        <f t="shared" ca="1" si="507"/>
        <v>27.65421206813998</v>
      </c>
      <c r="AH209" s="56">
        <f t="shared" ca="1" si="507"/>
        <v>27.670684219134166</v>
      </c>
      <c r="AI209" s="56">
        <f t="shared" ca="1" si="507"/>
        <v>27.688196101926238</v>
      </c>
      <c r="AJ209" s="56">
        <f t="shared" ca="1" si="507"/>
        <v>27.706710345275805</v>
      </c>
      <c r="AK209" s="56">
        <f t="shared" ca="1" si="507"/>
        <v>27.726187438854527</v>
      </c>
      <c r="AL209" s="56">
        <f t="shared" ca="1" si="507"/>
        <v>27.746585817563151</v>
      </c>
      <c r="AM209" s="56">
        <f t="shared" ca="1" si="507"/>
        <v>27.767861950233538</v>
      </c>
      <c r="AN209" s="56">
        <f t="shared" ca="1" si="507"/>
        <v>27.789970432526346</v>
      </c>
      <c r="AO209" s="56">
        <f t="shared" ca="1" si="508"/>
        <v>27.812864083826206</v>
      </c>
      <c r="AP209" s="56">
        <f t="shared" ca="1" si="508"/>
        <v>27.836494047927506</v>
      </c>
      <c r="AQ209" s="56">
        <f t="shared" ca="1" si="508"/>
        <v>27.860809897296022</v>
      </c>
      <c r="AR209" s="56">
        <f t="shared" ca="1" si="508"/>
        <v>27.885759740683795</v>
      </c>
      <c r="AS209" s="56">
        <f t="shared" ca="1" si="508"/>
        <v>27.911290333867683</v>
      </c>
      <c r="AT209" s="56">
        <f t="shared" ca="1" si="508"/>
        <v>27.937347193275208</v>
      </c>
      <c r="AU209" s="56">
        <f t="shared" ca="1" si="508"/>
        <v>27.963874712255258</v>
      </c>
      <c r="AV209" s="56">
        <f t="shared" ca="1" si="508"/>
        <v>27.990816279745463</v>
      </c>
      <c r="AW209" s="56">
        <f t="shared" ca="1" si="508"/>
        <v>28.018114401083075</v>
      </c>
      <c r="AX209" s="56">
        <f t="shared" ca="1" si="508"/>
        <v>28.045710820701462</v>
      </c>
      <c r="AY209" s="56">
        <f t="shared" ca="1" si="509"/>
        <v>28.073546646450428</v>
      </c>
      <c r="AZ209" s="56">
        <f t="shared" ca="1" si="509"/>
        <v>28.101562475275035</v>
      </c>
      <c r="BA209" s="56">
        <f t="shared" ca="1" si="509"/>
        <v>28.129698519984704</v>
      </c>
      <c r="BB209" s="56">
        <f t="shared" ca="1" si="509"/>
        <v>28.157894736842103</v>
      </c>
      <c r="BC209" s="56">
        <f t="shared" ca="1" si="509"/>
        <v>28.186090953699502</v>
      </c>
      <c r="BD209" s="56">
        <f t="shared" ca="1" si="509"/>
        <v>28.214226998409174</v>
      </c>
      <c r="BE209" s="56">
        <f t="shared" ca="1" si="509"/>
        <v>28.242242827233781</v>
      </c>
      <c r="BF209" s="56">
        <f t="shared" ca="1" si="509"/>
        <v>28.270078652982747</v>
      </c>
      <c r="BG209" s="56">
        <f t="shared" ca="1" si="509"/>
        <v>28.297675072601134</v>
      </c>
      <c r="BH209" s="56">
        <f t="shared" ca="1" si="509"/>
        <v>28.324973193938746</v>
      </c>
      <c r="BI209" s="56">
        <f t="shared" ca="1" si="510"/>
        <v>28.351914761428951</v>
      </c>
      <c r="BJ209" s="56">
        <f t="shared" ca="1" si="510"/>
        <v>28.378442280408997</v>
      </c>
      <c r="BK209" s="56">
        <f t="shared" ca="1" si="510"/>
        <v>28.404499139816526</v>
      </c>
      <c r="BL209" s="56">
        <f t="shared" ca="1" si="510"/>
        <v>28.430029733000413</v>
      </c>
      <c r="BM209" s="56">
        <f t="shared" ca="1" si="510"/>
        <v>28.454979576388187</v>
      </c>
      <c r="BN209" s="56">
        <f t="shared" ca="1" si="510"/>
        <v>28.479295425756703</v>
      </c>
      <c r="BO209" s="56">
        <f t="shared" ca="1" si="510"/>
        <v>28.502925389858003</v>
      </c>
      <c r="BP209" s="56">
        <f t="shared" ca="1" si="510"/>
        <v>28.525819041157863</v>
      </c>
      <c r="BQ209" s="56">
        <f t="shared" ca="1" si="510"/>
        <v>28.547927523450671</v>
      </c>
      <c r="BR209" s="56">
        <f t="shared" ca="1" si="510"/>
        <v>28.569203656121058</v>
      </c>
      <c r="BS209" s="56">
        <f t="shared" ca="1" si="511"/>
        <v>28.589602034829682</v>
      </c>
      <c r="BT209" s="56">
        <f t="shared" ca="1" si="511"/>
        <v>28.609079128408403</v>
      </c>
      <c r="BU209" s="56">
        <f t="shared" ca="1" si="511"/>
        <v>28.627593371757971</v>
      </c>
      <c r="BV209" s="56">
        <f t="shared" ca="1" si="511"/>
        <v>28.645105254550042</v>
      </c>
      <c r="BW209" s="56">
        <f t="shared" ca="1" si="511"/>
        <v>28.661577405544229</v>
      </c>
      <c r="BX209" s="56">
        <f t="shared" ca="1" si="511"/>
        <v>28.676974672340187</v>
      </c>
      <c r="BY209" s="56">
        <f t="shared" ca="1" si="511"/>
        <v>28.691264196394627</v>
      </c>
      <c r="BZ209" s="56">
        <f t="shared" ca="1" si="511"/>
        <v>28.704415483143091</v>
      </c>
      <c r="CA209" s="56">
        <f t="shared" ca="1" si="511"/>
        <v>28.716400467076898</v>
      </c>
      <c r="CB209" s="56">
        <f t="shared" ca="1" si="511"/>
        <v>28.727193571636345</v>
      </c>
      <c r="CC209" s="56">
        <f t="shared" ca="1" si="512"/>
        <v>28.73677176379238</v>
      </c>
      <c r="CD209" s="56">
        <f t="shared" ca="1" si="512"/>
        <v>28.74511460320025</v>
      </c>
      <c r="CE209" s="56">
        <f t="shared" ca="1" si="512"/>
        <v>28.752204285820213</v>
      </c>
      <c r="CF209" s="56">
        <f t="shared" ca="1" si="512"/>
        <v>28.758025681912279</v>
      </c>
      <c r="CG209" s="56">
        <f t="shared" ca="1" si="512"/>
        <v>28.76256636832381</v>
      </c>
      <c r="CH209" s="56">
        <f t="shared" ca="1" si="512"/>
        <v>28.765816655001181</v>
      </c>
      <c r="CI209" s="56">
        <f t="shared" ca="1" si="512"/>
        <v>28.767769605668818</v>
      </c>
      <c r="CJ209" s="56">
        <f t="shared" ca="1" si="512"/>
        <v>28.768421052631581</v>
      </c>
      <c r="CK209" s="56">
        <f t="shared" si="512"/>
        <v>0</v>
      </c>
      <c r="CL209" s="56">
        <f t="shared" si="512"/>
        <v>0</v>
      </c>
      <c r="CM209" s="56">
        <f t="shared" si="513"/>
        <v>0</v>
      </c>
      <c r="CN209" s="56">
        <f t="shared" si="513"/>
        <v>0</v>
      </c>
      <c r="CO209" s="56">
        <f t="shared" si="513"/>
        <v>0</v>
      </c>
      <c r="CP209" s="56">
        <f t="shared" si="513"/>
        <v>0</v>
      </c>
      <c r="CQ209" s="56">
        <f t="shared" si="513"/>
        <v>0</v>
      </c>
      <c r="CR209" s="56">
        <f t="shared" si="513"/>
        <v>0</v>
      </c>
      <c r="CS209" s="56">
        <f t="shared" si="513"/>
        <v>0</v>
      </c>
      <c r="CT209" s="56">
        <f t="shared" si="513"/>
        <v>0</v>
      </c>
      <c r="CU209" s="56">
        <f t="shared" si="513"/>
        <v>0</v>
      </c>
      <c r="CV209" s="56">
        <f t="shared" si="513"/>
        <v>0</v>
      </c>
      <c r="CW209" s="56">
        <f t="shared" si="514"/>
        <v>0</v>
      </c>
      <c r="CX209" s="56">
        <f t="shared" si="514"/>
        <v>0</v>
      </c>
      <c r="CY209" s="56">
        <f t="shared" si="514"/>
        <v>0</v>
      </c>
      <c r="CZ209" s="56">
        <f t="shared" si="514"/>
        <v>0</v>
      </c>
      <c r="DA209" s="56">
        <f t="shared" si="514"/>
        <v>0</v>
      </c>
      <c r="DB209" s="56">
        <f t="shared" si="514"/>
        <v>0</v>
      </c>
      <c r="DC209" s="56">
        <f t="shared" si="514"/>
        <v>0</v>
      </c>
      <c r="DD209" s="56">
        <f t="shared" si="514"/>
        <v>0</v>
      </c>
      <c r="DE209" s="56">
        <f t="shared" si="514"/>
        <v>0</v>
      </c>
      <c r="DF209" s="56">
        <f t="shared" si="514"/>
        <v>0</v>
      </c>
      <c r="DG209" s="56">
        <f t="shared" si="515"/>
        <v>0</v>
      </c>
      <c r="DH209" s="56">
        <f t="shared" si="515"/>
        <v>0</v>
      </c>
      <c r="DI209" s="56">
        <f t="shared" si="515"/>
        <v>0</v>
      </c>
      <c r="DJ209" s="56">
        <f t="shared" si="515"/>
        <v>0</v>
      </c>
      <c r="DK209" s="56">
        <f t="shared" si="515"/>
        <v>0</v>
      </c>
      <c r="DL209" s="56">
        <f t="shared" si="515"/>
        <v>0</v>
      </c>
      <c r="DM209" s="56">
        <f t="shared" si="515"/>
        <v>0</v>
      </c>
      <c r="DN209" s="56">
        <f t="shared" si="515"/>
        <v>0</v>
      </c>
      <c r="DO209" s="56">
        <f t="shared" si="515"/>
        <v>0</v>
      </c>
      <c r="DP209" s="56">
        <f t="shared" si="515"/>
        <v>0</v>
      </c>
      <c r="DQ209" s="56">
        <f t="shared" si="516"/>
        <v>0</v>
      </c>
      <c r="DR209" s="56">
        <f t="shared" si="516"/>
        <v>0</v>
      </c>
      <c r="DS209" s="56">
        <f t="shared" si="516"/>
        <v>0</v>
      </c>
      <c r="DT209" s="56">
        <f t="shared" si="516"/>
        <v>0</v>
      </c>
      <c r="DU209" s="56">
        <f t="shared" si="516"/>
        <v>0</v>
      </c>
      <c r="DV209" s="56">
        <f t="shared" si="516"/>
        <v>0</v>
      </c>
      <c r="DW209" s="56">
        <f t="shared" si="516"/>
        <v>0</v>
      </c>
      <c r="DX209" s="56">
        <f t="shared" si="516"/>
        <v>0</v>
      </c>
      <c r="DY209" s="56">
        <f t="shared" si="516"/>
        <v>0</v>
      </c>
      <c r="DZ209" s="56">
        <f t="shared" si="516"/>
        <v>0</v>
      </c>
      <c r="EA209" s="56">
        <f t="shared" si="517"/>
        <v>0</v>
      </c>
      <c r="EB209" s="56">
        <f t="shared" si="517"/>
        <v>0</v>
      </c>
      <c r="EC209" s="56">
        <f t="shared" si="517"/>
        <v>0</v>
      </c>
      <c r="ED209" s="56">
        <f t="shared" si="517"/>
        <v>0</v>
      </c>
      <c r="EE209" s="56">
        <f t="shared" si="517"/>
        <v>0</v>
      </c>
      <c r="EF209" s="56">
        <f t="shared" si="517"/>
        <v>0</v>
      </c>
      <c r="EG209" s="56">
        <f t="shared" si="517"/>
        <v>0</v>
      </c>
      <c r="EH209" s="56">
        <f t="shared" si="517"/>
        <v>0</v>
      </c>
      <c r="EI209" s="56">
        <f t="shared" si="517"/>
        <v>0</v>
      </c>
      <c r="EJ209" s="56">
        <f t="shared" si="517"/>
        <v>0</v>
      </c>
      <c r="EK209" s="56">
        <f t="shared" si="518"/>
        <v>0</v>
      </c>
      <c r="EL209" s="56">
        <f t="shared" si="518"/>
        <v>0</v>
      </c>
      <c r="EM209" s="56">
        <f t="shared" si="518"/>
        <v>0</v>
      </c>
      <c r="EN209" s="56">
        <f t="shared" si="518"/>
        <v>0</v>
      </c>
      <c r="EO209" s="56">
        <f t="shared" si="518"/>
        <v>0</v>
      </c>
      <c r="EP209" s="56">
        <f t="shared" si="518"/>
        <v>0</v>
      </c>
      <c r="EQ209" s="56">
        <f t="shared" si="518"/>
        <v>0</v>
      </c>
      <c r="ER209" s="56">
        <f t="shared" si="518"/>
        <v>0</v>
      </c>
      <c r="ES209" s="56">
        <f t="shared" si="518"/>
        <v>0</v>
      </c>
      <c r="ET209" s="56">
        <f t="shared" si="518"/>
        <v>0</v>
      </c>
      <c r="EU209" s="56">
        <f t="shared" si="519"/>
        <v>0</v>
      </c>
      <c r="EV209" s="56">
        <f t="shared" si="519"/>
        <v>0</v>
      </c>
      <c r="EW209" s="56">
        <f t="shared" si="519"/>
        <v>0</v>
      </c>
      <c r="EX209" s="56">
        <f t="shared" si="519"/>
        <v>0</v>
      </c>
      <c r="EY209" s="56">
        <f t="shared" si="519"/>
        <v>0</v>
      </c>
      <c r="EZ209" s="56">
        <f t="shared" si="519"/>
        <v>0</v>
      </c>
      <c r="FA209" s="56">
        <f t="shared" si="519"/>
        <v>0</v>
      </c>
      <c r="FB209" s="56">
        <f t="shared" si="519"/>
        <v>0</v>
      </c>
      <c r="FC209" s="56">
        <f t="shared" si="519"/>
        <v>0</v>
      </c>
      <c r="FD209" s="56">
        <f t="shared" si="519"/>
        <v>0</v>
      </c>
      <c r="FE209" s="56">
        <f t="shared" si="520"/>
        <v>0</v>
      </c>
      <c r="FF209" s="56">
        <f t="shared" si="520"/>
        <v>0</v>
      </c>
      <c r="FG209" s="56">
        <f t="shared" si="520"/>
        <v>0</v>
      </c>
      <c r="FH209" s="56">
        <f t="shared" si="520"/>
        <v>0</v>
      </c>
      <c r="FI209" s="56">
        <f t="shared" si="520"/>
        <v>0</v>
      </c>
      <c r="FJ209" s="56">
        <f t="shared" si="520"/>
        <v>0</v>
      </c>
      <c r="FK209" s="56">
        <f t="shared" si="520"/>
        <v>0</v>
      </c>
      <c r="FL209" s="56">
        <f t="shared" si="520"/>
        <v>0</v>
      </c>
      <c r="FM209" s="56">
        <f t="shared" si="520"/>
        <v>0</v>
      </c>
      <c r="FN209" s="56">
        <f t="shared" si="520"/>
        <v>0</v>
      </c>
      <c r="FO209" s="56">
        <f t="shared" si="521"/>
        <v>0</v>
      </c>
      <c r="FP209" s="56">
        <f t="shared" si="521"/>
        <v>0</v>
      </c>
      <c r="FQ209" s="56">
        <f t="shared" si="521"/>
        <v>0</v>
      </c>
      <c r="FR209" s="56">
        <f t="shared" si="521"/>
        <v>0</v>
      </c>
      <c r="FS209" s="56">
        <f t="shared" si="521"/>
        <v>0</v>
      </c>
      <c r="FT209" s="56">
        <f t="shared" si="521"/>
        <v>0</v>
      </c>
      <c r="FU209" s="56">
        <f t="shared" si="521"/>
        <v>0</v>
      </c>
      <c r="FV209" s="56">
        <f t="shared" si="521"/>
        <v>0</v>
      </c>
      <c r="FW209" s="56">
        <f t="shared" si="521"/>
        <v>0</v>
      </c>
      <c r="FX209" s="56">
        <f t="shared" si="521"/>
        <v>0</v>
      </c>
      <c r="FY209" s="56">
        <f t="shared" si="522"/>
        <v>0</v>
      </c>
      <c r="FZ209" s="56">
        <f t="shared" si="522"/>
        <v>0</v>
      </c>
      <c r="GA209" s="56">
        <f t="shared" si="522"/>
        <v>0</v>
      </c>
      <c r="GB209" s="56">
        <f t="shared" si="522"/>
        <v>0</v>
      </c>
      <c r="GC209" s="56">
        <f t="shared" si="522"/>
        <v>0</v>
      </c>
      <c r="GD209" s="56">
        <f t="shared" si="522"/>
        <v>0</v>
      </c>
      <c r="GE209" s="56">
        <f t="shared" si="522"/>
        <v>0</v>
      </c>
      <c r="GF209" s="56">
        <f t="shared" si="522"/>
        <v>0</v>
      </c>
      <c r="GG209" s="56">
        <f t="shared" si="522"/>
        <v>0</v>
      </c>
      <c r="GH209" s="56">
        <f t="shared" si="522"/>
        <v>0</v>
      </c>
      <c r="GI209" s="56">
        <f t="shared" si="523"/>
        <v>0</v>
      </c>
      <c r="GJ209" s="56">
        <f t="shared" si="523"/>
        <v>0</v>
      </c>
      <c r="GK209" s="56">
        <f t="shared" si="523"/>
        <v>0</v>
      </c>
      <c r="GL209" s="56">
        <f t="shared" si="523"/>
        <v>0</v>
      </c>
      <c r="GM209" s="56">
        <f t="shared" si="523"/>
        <v>0</v>
      </c>
      <c r="GN209" s="56">
        <f t="shared" si="523"/>
        <v>0</v>
      </c>
      <c r="GO209" s="56">
        <f t="shared" si="523"/>
        <v>0</v>
      </c>
      <c r="GP209" s="56">
        <f t="shared" si="523"/>
        <v>0</v>
      </c>
    </row>
    <row r="210" spans="1:198" x14ac:dyDescent="0.35">
      <c r="A210" s="55" t="str">
        <f t="shared" si="304"/>
        <v>LATAM &gt; available in future</v>
      </c>
      <c r="B210" s="55" t="s">
        <v>298</v>
      </c>
      <c r="K210" s="56">
        <f t="shared" ca="1" si="505"/>
        <v>30.378947368421048</v>
      </c>
      <c r="L210" s="56">
        <f t="shared" ca="1" si="505"/>
        <v>30.378947368421048</v>
      </c>
      <c r="M210" s="56">
        <f t="shared" ca="1" si="505"/>
        <v>30.378947368421048</v>
      </c>
      <c r="N210" s="56">
        <f t="shared" ca="1" si="505"/>
        <v>30.378947368421048</v>
      </c>
      <c r="O210" s="56">
        <f t="shared" ca="1" si="505"/>
        <v>30.378947368421048</v>
      </c>
      <c r="P210" s="56">
        <f t="shared" ca="1" si="505"/>
        <v>30.378947368421048</v>
      </c>
      <c r="Q210" s="56">
        <f t="shared" ca="1" si="505"/>
        <v>30.378947368421048</v>
      </c>
      <c r="R210" s="56">
        <f t="shared" ca="1" si="505"/>
        <v>30.378947368421048</v>
      </c>
      <c r="S210" s="56">
        <f t="shared" ca="1" si="505"/>
        <v>30.378947368421048</v>
      </c>
      <c r="T210" s="56">
        <f t="shared" ca="1" si="505"/>
        <v>30.378947368421048</v>
      </c>
      <c r="U210" s="56">
        <f t="shared" ca="1" si="506"/>
        <v>30.378520558341997</v>
      </c>
      <c r="V210" s="56">
        <f t="shared" ca="1" si="506"/>
        <v>30.377241038939061</v>
      </c>
      <c r="W210" s="56">
        <f t="shared" ca="1" si="506"/>
        <v>30.37511154077113</v>
      </c>
      <c r="X210" s="56">
        <f t="shared" ca="1" si="506"/>
        <v>30.37213660829461</v>
      </c>
      <c r="Y210" s="56">
        <f t="shared" ca="1" si="506"/>
        <v>30.368322590165327</v>
      </c>
      <c r="Z210" s="56">
        <f t="shared" ca="1" si="506"/>
        <v>30.363677625690176</v>
      </c>
      <c r="AA210" s="56">
        <f t="shared" ca="1" si="506"/>
        <v>30.358211627457436</v>
      </c>
      <c r="AB210" s="56">
        <f t="shared" ca="1" si="506"/>
        <v>30.351936260182789</v>
      </c>
      <c r="AC210" s="56">
        <f t="shared" ca="1" si="506"/>
        <v>30.344864915816256</v>
      </c>
      <c r="AD210" s="56">
        <f t="shared" ca="1" si="506"/>
        <v>30.337012684963074</v>
      </c>
      <c r="AE210" s="56">
        <f t="shared" ca="1" si="507"/>
        <v>30.328396324679598</v>
      </c>
      <c r="AF210" s="56">
        <f t="shared" ca="1" si="507"/>
        <v>30.319034222712894</v>
      </c>
      <c r="AG210" s="56">
        <f t="shared" ca="1" si="507"/>
        <v>30.308946358260371</v>
      </c>
      <c r="AH210" s="56">
        <f t="shared" ca="1" si="507"/>
        <v>30.298154259333145</v>
      </c>
      <c r="AI210" s="56">
        <f t="shared" ca="1" si="507"/>
        <v>30.286680956814202</v>
      </c>
      <c r="AJ210" s="56">
        <f t="shared" ca="1" si="507"/>
        <v>30.274550935309314</v>
      </c>
      <c r="AK210" s="56">
        <f t="shared" ca="1" si="507"/>
        <v>30.261790080895668</v>
      </c>
      <c r="AL210" s="56">
        <f t="shared" ca="1" si="507"/>
        <v>30.248425625879673</v>
      </c>
      <c r="AM210" s="56">
        <f t="shared" ca="1" si="507"/>
        <v>30.234486090681834</v>
      </c>
      <c r="AN210" s="56">
        <f t="shared" ca="1" si="507"/>
        <v>30.220001222972751</v>
      </c>
      <c r="AO210" s="56">
        <f t="shared" ca="1" si="508"/>
        <v>30.205001934190086</v>
      </c>
      <c r="AP210" s="56">
        <f t="shared" ca="1" si="508"/>
        <v>30.189520233571994</v>
      </c>
      <c r="AQ210" s="56">
        <f t="shared" ca="1" si="508"/>
        <v>30.173589159847793</v>
      </c>
      <c r="AR210" s="56">
        <f t="shared" ca="1" si="508"/>
        <v>30.157242710731666</v>
      </c>
      <c r="AS210" s="56">
        <f t="shared" ca="1" si="508"/>
        <v>30.140515770369809</v>
      </c>
      <c r="AT210" s="56">
        <f t="shared" ca="1" si="508"/>
        <v>30.123444034895911</v>
      </c>
      <c r="AU210" s="56">
        <f t="shared" ca="1" si="508"/>
        <v>30.106063936253811</v>
      </c>
      <c r="AV210" s="56">
        <f t="shared" ca="1" si="508"/>
        <v>30.088412564449882</v>
      </c>
      <c r="AW210" s="56">
        <f t="shared" ca="1" si="508"/>
        <v>30.070527588401106</v>
      </c>
      <c r="AX210" s="56">
        <f t="shared" ca="1" si="508"/>
        <v>30.05244717554768</v>
      </c>
      <c r="AY210" s="56">
        <f t="shared" ca="1" si="509"/>
        <v>30.034209910401803</v>
      </c>
      <c r="AZ210" s="56">
        <f t="shared" ca="1" si="509"/>
        <v>30.015854712206373</v>
      </c>
      <c r="BA210" s="56">
        <f t="shared" ca="1" si="509"/>
        <v>29.997420751879346</v>
      </c>
      <c r="BB210" s="56">
        <f t="shared" ca="1" si="509"/>
        <v>29.978947368421053</v>
      </c>
      <c r="BC210" s="56">
        <f t="shared" ca="1" si="509"/>
        <v>29.960473984962757</v>
      </c>
      <c r="BD210" s="56">
        <f t="shared" ca="1" si="509"/>
        <v>29.94204002463573</v>
      </c>
      <c r="BE210" s="56">
        <f t="shared" ca="1" si="509"/>
        <v>29.923684826440301</v>
      </c>
      <c r="BF210" s="56">
        <f t="shared" ca="1" si="509"/>
        <v>29.905447561294423</v>
      </c>
      <c r="BG210" s="56">
        <f t="shared" ca="1" si="509"/>
        <v>29.887367148440998</v>
      </c>
      <c r="BH210" s="56">
        <f t="shared" ca="1" si="509"/>
        <v>29.869482172392221</v>
      </c>
      <c r="BI210" s="56">
        <f t="shared" ca="1" si="510"/>
        <v>29.851830800588292</v>
      </c>
      <c r="BJ210" s="56">
        <f t="shared" ca="1" si="510"/>
        <v>29.834450701946192</v>
      </c>
      <c r="BK210" s="56">
        <f t="shared" ca="1" si="510"/>
        <v>29.817378966472294</v>
      </c>
      <c r="BL210" s="56">
        <f t="shared" ca="1" si="510"/>
        <v>29.800652026110438</v>
      </c>
      <c r="BM210" s="56">
        <f t="shared" ca="1" si="510"/>
        <v>29.78430557699431</v>
      </c>
      <c r="BN210" s="56">
        <f t="shared" ca="1" si="510"/>
        <v>29.76837450327011</v>
      </c>
      <c r="BO210" s="56">
        <f t="shared" ca="1" si="510"/>
        <v>29.752892802652017</v>
      </c>
      <c r="BP210" s="56">
        <f t="shared" ca="1" si="510"/>
        <v>29.737893513869352</v>
      </c>
      <c r="BQ210" s="56">
        <f t="shared" ca="1" si="510"/>
        <v>29.723408646160269</v>
      </c>
      <c r="BR210" s="56">
        <f t="shared" ca="1" si="510"/>
        <v>29.709469110962431</v>
      </c>
      <c r="BS210" s="56">
        <f t="shared" ca="1" si="511"/>
        <v>29.696104655946435</v>
      </c>
      <c r="BT210" s="56">
        <f t="shared" ca="1" si="511"/>
        <v>29.683343801532789</v>
      </c>
      <c r="BU210" s="56">
        <f t="shared" ca="1" si="511"/>
        <v>29.671213780027902</v>
      </c>
      <c r="BV210" s="56">
        <f t="shared" ca="1" si="511"/>
        <v>29.659740477508958</v>
      </c>
      <c r="BW210" s="56">
        <f t="shared" ca="1" si="511"/>
        <v>29.648948378581732</v>
      </c>
      <c r="BX210" s="56">
        <f t="shared" ca="1" si="511"/>
        <v>29.63886051412921</v>
      </c>
      <c r="BY210" s="56">
        <f t="shared" ca="1" si="511"/>
        <v>29.629498412162505</v>
      </c>
      <c r="BZ210" s="56">
        <f t="shared" ca="1" si="511"/>
        <v>29.620882051879029</v>
      </c>
      <c r="CA210" s="56">
        <f t="shared" ca="1" si="511"/>
        <v>29.613029821025847</v>
      </c>
      <c r="CB210" s="56">
        <f t="shared" ca="1" si="511"/>
        <v>29.605958476659314</v>
      </c>
      <c r="CC210" s="56">
        <f t="shared" ca="1" si="512"/>
        <v>29.599683109384667</v>
      </c>
      <c r="CD210" s="56">
        <f t="shared" ca="1" si="512"/>
        <v>29.594217111151927</v>
      </c>
      <c r="CE210" s="56">
        <f t="shared" ca="1" si="512"/>
        <v>29.589572146676776</v>
      </c>
      <c r="CF210" s="56">
        <f t="shared" ca="1" si="512"/>
        <v>29.585758128547493</v>
      </c>
      <c r="CG210" s="56">
        <f t="shared" ca="1" si="512"/>
        <v>29.582783196070974</v>
      </c>
      <c r="CH210" s="56">
        <f t="shared" ca="1" si="512"/>
        <v>29.580653697903042</v>
      </c>
      <c r="CI210" s="56">
        <f t="shared" ca="1" si="512"/>
        <v>29.579374178500107</v>
      </c>
      <c r="CJ210" s="56">
        <f t="shared" ca="1" si="512"/>
        <v>29.578947368421055</v>
      </c>
      <c r="CK210" s="56">
        <f t="shared" si="512"/>
        <v>0</v>
      </c>
      <c r="CL210" s="56">
        <f t="shared" si="512"/>
        <v>0</v>
      </c>
      <c r="CM210" s="56">
        <f t="shared" si="513"/>
        <v>0</v>
      </c>
      <c r="CN210" s="56">
        <f t="shared" si="513"/>
        <v>0</v>
      </c>
      <c r="CO210" s="56">
        <f t="shared" si="513"/>
        <v>0</v>
      </c>
      <c r="CP210" s="56">
        <f t="shared" si="513"/>
        <v>0</v>
      </c>
      <c r="CQ210" s="56">
        <f t="shared" si="513"/>
        <v>0</v>
      </c>
      <c r="CR210" s="56">
        <f t="shared" si="513"/>
        <v>0</v>
      </c>
      <c r="CS210" s="56">
        <f t="shared" si="513"/>
        <v>0</v>
      </c>
      <c r="CT210" s="56">
        <f t="shared" si="513"/>
        <v>0</v>
      </c>
      <c r="CU210" s="56">
        <f t="shared" si="513"/>
        <v>0</v>
      </c>
      <c r="CV210" s="56">
        <f t="shared" si="513"/>
        <v>0</v>
      </c>
      <c r="CW210" s="56">
        <f t="shared" si="514"/>
        <v>0</v>
      </c>
      <c r="CX210" s="56">
        <f t="shared" si="514"/>
        <v>0</v>
      </c>
      <c r="CY210" s="56">
        <f t="shared" si="514"/>
        <v>0</v>
      </c>
      <c r="CZ210" s="56">
        <f t="shared" si="514"/>
        <v>0</v>
      </c>
      <c r="DA210" s="56">
        <f t="shared" si="514"/>
        <v>0</v>
      </c>
      <c r="DB210" s="56">
        <f t="shared" si="514"/>
        <v>0</v>
      </c>
      <c r="DC210" s="56">
        <f t="shared" si="514"/>
        <v>0</v>
      </c>
      <c r="DD210" s="56">
        <f t="shared" si="514"/>
        <v>0</v>
      </c>
      <c r="DE210" s="56">
        <f t="shared" si="514"/>
        <v>0</v>
      </c>
      <c r="DF210" s="56">
        <f t="shared" si="514"/>
        <v>0</v>
      </c>
      <c r="DG210" s="56">
        <f t="shared" si="515"/>
        <v>0</v>
      </c>
      <c r="DH210" s="56">
        <f t="shared" si="515"/>
        <v>0</v>
      </c>
      <c r="DI210" s="56">
        <f t="shared" si="515"/>
        <v>0</v>
      </c>
      <c r="DJ210" s="56">
        <f t="shared" si="515"/>
        <v>0</v>
      </c>
      <c r="DK210" s="56">
        <f t="shared" si="515"/>
        <v>0</v>
      </c>
      <c r="DL210" s="56">
        <f t="shared" si="515"/>
        <v>0</v>
      </c>
      <c r="DM210" s="56">
        <f t="shared" si="515"/>
        <v>0</v>
      </c>
      <c r="DN210" s="56">
        <f t="shared" si="515"/>
        <v>0</v>
      </c>
      <c r="DO210" s="56">
        <f t="shared" si="515"/>
        <v>0</v>
      </c>
      <c r="DP210" s="56">
        <f t="shared" si="515"/>
        <v>0</v>
      </c>
      <c r="DQ210" s="56">
        <f t="shared" si="516"/>
        <v>0</v>
      </c>
      <c r="DR210" s="56">
        <f t="shared" si="516"/>
        <v>0</v>
      </c>
      <c r="DS210" s="56">
        <f t="shared" si="516"/>
        <v>0</v>
      </c>
      <c r="DT210" s="56">
        <f t="shared" si="516"/>
        <v>0</v>
      </c>
      <c r="DU210" s="56">
        <f t="shared" si="516"/>
        <v>0</v>
      </c>
      <c r="DV210" s="56">
        <f t="shared" si="516"/>
        <v>0</v>
      </c>
      <c r="DW210" s="56">
        <f t="shared" si="516"/>
        <v>0</v>
      </c>
      <c r="DX210" s="56">
        <f t="shared" si="516"/>
        <v>0</v>
      </c>
      <c r="DY210" s="56">
        <f t="shared" si="516"/>
        <v>0</v>
      </c>
      <c r="DZ210" s="56">
        <f t="shared" si="516"/>
        <v>0</v>
      </c>
      <c r="EA210" s="56">
        <f t="shared" si="517"/>
        <v>0</v>
      </c>
      <c r="EB210" s="56">
        <f t="shared" si="517"/>
        <v>0</v>
      </c>
      <c r="EC210" s="56">
        <f t="shared" si="517"/>
        <v>0</v>
      </c>
      <c r="ED210" s="56">
        <f t="shared" si="517"/>
        <v>0</v>
      </c>
      <c r="EE210" s="56">
        <f t="shared" si="517"/>
        <v>0</v>
      </c>
      <c r="EF210" s="56">
        <f t="shared" si="517"/>
        <v>0</v>
      </c>
      <c r="EG210" s="56">
        <f t="shared" si="517"/>
        <v>0</v>
      </c>
      <c r="EH210" s="56">
        <f t="shared" si="517"/>
        <v>0</v>
      </c>
      <c r="EI210" s="56">
        <f t="shared" si="517"/>
        <v>0</v>
      </c>
      <c r="EJ210" s="56">
        <f t="shared" si="517"/>
        <v>0</v>
      </c>
      <c r="EK210" s="56">
        <f t="shared" si="518"/>
        <v>0</v>
      </c>
      <c r="EL210" s="56">
        <f t="shared" si="518"/>
        <v>0</v>
      </c>
      <c r="EM210" s="56">
        <f t="shared" si="518"/>
        <v>0</v>
      </c>
      <c r="EN210" s="56">
        <f t="shared" si="518"/>
        <v>0</v>
      </c>
      <c r="EO210" s="56">
        <f t="shared" si="518"/>
        <v>0</v>
      </c>
      <c r="EP210" s="56">
        <f t="shared" si="518"/>
        <v>0</v>
      </c>
      <c r="EQ210" s="56">
        <f t="shared" si="518"/>
        <v>0</v>
      </c>
      <c r="ER210" s="56">
        <f t="shared" si="518"/>
        <v>0</v>
      </c>
      <c r="ES210" s="56">
        <f t="shared" si="518"/>
        <v>0</v>
      </c>
      <c r="ET210" s="56">
        <f t="shared" si="518"/>
        <v>0</v>
      </c>
      <c r="EU210" s="56">
        <f t="shared" si="519"/>
        <v>0</v>
      </c>
      <c r="EV210" s="56">
        <f t="shared" si="519"/>
        <v>0</v>
      </c>
      <c r="EW210" s="56">
        <f t="shared" si="519"/>
        <v>0</v>
      </c>
      <c r="EX210" s="56">
        <f t="shared" si="519"/>
        <v>0</v>
      </c>
      <c r="EY210" s="56">
        <f t="shared" si="519"/>
        <v>0</v>
      </c>
      <c r="EZ210" s="56">
        <f t="shared" si="519"/>
        <v>0</v>
      </c>
      <c r="FA210" s="56">
        <f t="shared" si="519"/>
        <v>0</v>
      </c>
      <c r="FB210" s="56">
        <f t="shared" si="519"/>
        <v>0</v>
      </c>
      <c r="FC210" s="56">
        <f t="shared" si="519"/>
        <v>0</v>
      </c>
      <c r="FD210" s="56">
        <f t="shared" si="519"/>
        <v>0</v>
      </c>
      <c r="FE210" s="56">
        <f t="shared" si="520"/>
        <v>0</v>
      </c>
      <c r="FF210" s="56">
        <f t="shared" si="520"/>
        <v>0</v>
      </c>
      <c r="FG210" s="56">
        <f t="shared" si="520"/>
        <v>0</v>
      </c>
      <c r="FH210" s="56">
        <f t="shared" si="520"/>
        <v>0</v>
      </c>
      <c r="FI210" s="56">
        <f t="shared" si="520"/>
        <v>0</v>
      </c>
      <c r="FJ210" s="56">
        <f t="shared" si="520"/>
        <v>0</v>
      </c>
      <c r="FK210" s="56">
        <f t="shared" si="520"/>
        <v>0</v>
      </c>
      <c r="FL210" s="56">
        <f t="shared" si="520"/>
        <v>0</v>
      </c>
      <c r="FM210" s="56">
        <f t="shared" si="520"/>
        <v>0</v>
      </c>
      <c r="FN210" s="56">
        <f t="shared" si="520"/>
        <v>0</v>
      </c>
      <c r="FO210" s="56">
        <f t="shared" si="521"/>
        <v>0</v>
      </c>
      <c r="FP210" s="56">
        <f t="shared" si="521"/>
        <v>0</v>
      </c>
      <c r="FQ210" s="56">
        <f t="shared" si="521"/>
        <v>0</v>
      </c>
      <c r="FR210" s="56">
        <f t="shared" si="521"/>
        <v>0</v>
      </c>
      <c r="FS210" s="56">
        <f t="shared" si="521"/>
        <v>0</v>
      </c>
      <c r="FT210" s="56">
        <f t="shared" si="521"/>
        <v>0</v>
      </c>
      <c r="FU210" s="56">
        <f t="shared" si="521"/>
        <v>0</v>
      </c>
      <c r="FV210" s="56">
        <f t="shared" si="521"/>
        <v>0</v>
      </c>
      <c r="FW210" s="56">
        <f t="shared" si="521"/>
        <v>0</v>
      </c>
      <c r="FX210" s="56">
        <f t="shared" si="521"/>
        <v>0</v>
      </c>
      <c r="FY210" s="56">
        <f t="shared" si="522"/>
        <v>0</v>
      </c>
      <c r="FZ210" s="56">
        <f t="shared" si="522"/>
        <v>0</v>
      </c>
      <c r="GA210" s="56">
        <f t="shared" si="522"/>
        <v>0</v>
      </c>
      <c r="GB210" s="56">
        <f t="shared" si="522"/>
        <v>0</v>
      </c>
      <c r="GC210" s="56">
        <f t="shared" si="522"/>
        <v>0</v>
      </c>
      <c r="GD210" s="56">
        <f t="shared" si="522"/>
        <v>0</v>
      </c>
      <c r="GE210" s="56">
        <f t="shared" si="522"/>
        <v>0</v>
      </c>
      <c r="GF210" s="56">
        <f t="shared" si="522"/>
        <v>0</v>
      </c>
      <c r="GG210" s="56">
        <f t="shared" si="522"/>
        <v>0</v>
      </c>
      <c r="GH210" s="56">
        <f t="shared" si="522"/>
        <v>0</v>
      </c>
      <c r="GI210" s="56">
        <f t="shared" si="523"/>
        <v>0</v>
      </c>
      <c r="GJ210" s="56">
        <f t="shared" si="523"/>
        <v>0</v>
      </c>
      <c r="GK210" s="56">
        <f t="shared" si="523"/>
        <v>0</v>
      </c>
      <c r="GL210" s="56">
        <f t="shared" si="523"/>
        <v>0</v>
      </c>
      <c r="GM210" s="56">
        <f t="shared" si="523"/>
        <v>0</v>
      </c>
      <c r="GN210" s="56">
        <f t="shared" si="523"/>
        <v>0</v>
      </c>
      <c r="GO210" s="56">
        <f t="shared" si="523"/>
        <v>0</v>
      </c>
      <c r="GP210" s="56">
        <f t="shared" si="523"/>
        <v>0</v>
      </c>
    </row>
    <row r="211" spans="1:198" x14ac:dyDescent="0.35">
      <c r="A211" s="55" t="str">
        <f t="shared" si="304"/>
        <v>Canada &gt; available in future</v>
      </c>
      <c r="B211" s="55" t="s">
        <v>298</v>
      </c>
      <c r="K211" s="56">
        <f t="shared" ca="1" si="505"/>
        <v>32.399999999999991</v>
      </c>
      <c r="L211" s="56">
        <f t="shared" ca="1" si="505"/>
        <v>32.399999999999991</v>
      </c>
      <c r="M211" s="56">
        <f t="shared" ca="1" si="505"/>
        <v>32.399999999999991</v>
      </c>
      <c r="N211" s="56">
        <f t="shared" ca="1" si="505"/>
        <v>32.399999999999991</v>
      </c>
      <c r="O211" s="56">
        <f t="shared" ca="1" si="505"/>
        <v>32.399999999999991</v>
      </c>
      <c r="P211" s="56">
        <f t="shared" ca="1" si="505"/>
        <v>32.399999999999991</v>
      </c>
      <c r="Q211" s="56">
        <f t="shared" ca="1" si="505"/>
        <v>32.399999999999991</v>
      </c>
      <c r="R211" s="56">
        <f t="shared" ca="1" si="505"/>
        <v>32.399999999999991</v>
      </c>
      <c r="S211" s="56">
        <f t="shared" ca="1" si="505"/>
        <v>32.399999999999991</v>
      </c>
      <c r="T211" s="56">
        <f t="shared" ca="1" si="505"/>
        <v>32.399999999999991</v>
      </c>
      <c r="U211" s="56">
        <f t="shared" ca="1" si="506"/>
        <v>32.399359784881419</v>
      </c>
      <c r="V211" s="56">
        <f t="shared" ca="1" si="506"/>
        <v>32.397440505777013</v>
      </c>
      <c r="W211" s="56">
        <f t="shared" ca="1" si="506"/>
        <v>32.394246258525115</v>
      </c>
      <c r="X211" s="56">
        <f t="shared" ca="1" si="506"/>
        <v>32.389783859810336</v>
      </c>
      <c r="Y211" s="56">
        <f t="shared" ca="1" si="506"/>
        <v>32.384062832616408</v>
      </c>
      <c r="Z211" s="56">
        <f t="shared" ca="1" si="506"/>
        <v>32.377095385903687</v>
      </c>
      <c r="AA211" s="56">
        <f t="shared" ca="1" si="506"/>
        <v>32.368896388554575</v>
      </c>
      <c r="AB211" s="56">
        <f t="shared" ca="1" si="506"/>
        <v>32.359483337642608</v>
      </c>
      <c r="AC211" s="56">
        <f t="shared" ca="1" si="506"/>
        <v>32.348876321092803</v>
      </c>
      <c r="AD211" s="56">
        <f t="shared" ca="1" si="506"/>
        <v>32.337097974813034</v>
      </c>
      <c r="AE211" s="56">
        <f t="shared" ca="1" si="507"/>
        <v>32.324173434387816</v>
      </c>
      <c r="AF211" s="56">
        <f t="shared" ca="1" si="507"/>
        <v>32.310130281437765</v>
      </c>
      <c r="AG211" s="56">
        <f t="shared" ca="1" si="507"/>
        <v>32.294998484758977</v>
      </c>
      <c r="AH211" s="56">
        <f t="shared" ca="1" si="507"/>
        <v>32.278810336368139</v>
      </c>
      <c r="AI211" s="56">
        <f t="shared" ca="1" si="507"/>
        <v>32.26160038258972</v>
      </c>
      <c r="AJ211" s="56">
        <f t="shared" ca="1" si="507"/>
        <v>32.243405350332388</v>
      </c>
      <c r="AK211" s="56">
        <f t="shared" ca="1" si="507"/>
        <v>32.224264068711925</v>
      </c>
      <c r="AL211" s="56">
        <f t="shared" ca="1" si="507"/>
        <v>32.204217386187928</v>
      </c>
      <c r="AM211" s="56">
        <f t="shared" ca="1" si="507"/>
        <v>32.183308083391168</v>
      </c>
      <c r="AN211" s="56">
        <f t="shared" ca="1" si="507"/>
        <v>32.161580781827546</v>
      </c>
      <c r="AO211" s="56">
        <f t="shared" ca="1" si="508"/>
        <v>32.139081848653547</v>
      </c>
      <c r="AP211" s="56">
        <f t="shared" ca="1" si="508"/>
        <v>32.115859297726409</v>
      </c>
      <c r="AQ211" s="56">
        <f t="shared" ca="1" si="508"/>
        <v>32.091962687140111</v>
      </c>
      <c r="AR211" s="56">
        <f t="shared" ca="1" si="508"/>
        <v>32.067443013465919</v>
      </c>
      <c r="AS211" s="56">
        <f t="shared" ca="1" si="508"/>
        <v>32.042352602923131</v>
      </c>
      <c r="AT211" s="56">
        <f t="shared" ca="1" si="508"/>
        <v>32.016744999712287</v>
      </c>
      <c r="AU211" s="56">
        <f t="shared" ca="1" si="508"/>
        <v>31.990674851749137</v>
      </c>
      <c r="AV211" s="56">
        <f t="shared" ca="1" si="508"/>
        <v>31.964197794043248</v>
      </c>
      <c r="AW211" s="56">
        <f t="shared" ca="1" si="508"/>
        <v>31.937370329970079</v>
      </c>
      <c r="AX211" s="56">
        <f t="shared" ca="1" si="508"/>
        <v>31.910249710689939</v>
      </c>
      <c r="AY211" s="56">
        <f t="shared" ca="1" si="509"/>
        <v>31.882893812971126</v>
      </c>
      <c r="AZ211" s="56">
        <f t="shared" ca="1" si="509"/>
        <v>31.855361015677978</v>
      </c>
      <c r="BA211" s="56">
        <f t="shared" ca="1" si="509"/>
        <v>31.827710075187444</v>
      </c>
      <c r="BB211" s="56">
        <f t="shared" ca="1" si="509"/>
        <v>31.8</v>
      </c>
      <c r="BC211" s="56">
        <f t="shared" ca="1" si="509"/>
        <v>31.772289924812554</v>
      </c>
      <c r="BD211" s="56">
        <f t="shared" ca="1" si="509"/>
        <v>31.74463898432202</v>
      </c>
      <c r="BE211" s="56">
        <f t="shared" ca="1" si="509"/>
        <v>31.717106187028872</v>
      </c>
      <c r="BF211" s="56">
        <f t="shared" ca="1" si="509"/>
        <v>31.689750289310059</v>
      </c>
      <c r="BG211" s="56">
        <f t="shared" ca="1" si="509"/>
        <v>31.662629670029919</v>
      </c>
      <c r="BH211" s="56">
        <f t="shared" ca="1" si="509"/>
        <v>31.63580220595675</v>
      </c>
      <c r="BI211" s="56">
        <f t="shared" ca="1" si="510"/>
        <v>31.609325148250861</v>
      </c>
      <c r="BJ211" s="56">
        <f t="shared" ca="1" si="510"/>
        <v>31.583255000287707</v>
      </c>
      <c r="BK211" s="56">
        <f t="shared" ca="1" si="510"/>
        <v>31.557647397076863</v>
      </c>
      <c r="BL211" s="56">
        <f t="shared" ca="1" si="510"/>
        <v>31.532556986534079</v>
      </c>
      <c r="BM211" s="56">
        <f t="shared" ca="1" si="510"/>
        <v>31.508037312859887</v>
      </c>
      <c r="BN211" s="56">
        <f t="shared" ca="1" si="510"/>
        <v>31.484140702273589</v>
      </c>
      <c r="BO211" s="56">
        <f t="shared" ca="1" si="510"/>
        <v>31.460918151346448</v>
      </c>
      <c r="BP211" s="56">
        <f t="shared" ca="1" si="510"/>
        <v>31.438419218172449</v>
      </c>
      <c r="BQ211" s="56">
        <f t="shared" ca="1" si="510"/>
        <v>31.416691916608826</v>
      </c>
      <c r="BR211" s="56">
        <f t="shared" ca="1" si="510"/>
        <v>31.395782613812067</v>
      </c>
      <c r="BS211" s="56">
        <f t="shared" ca="1" si="511"/>
        <v>31.375735931288073</v>
      </c>
      <c r="BT211" s="56">
        <f t="shared" ca="1" si="511"/>
        <v>31.356594649667606</v>
      </c>
      <c r="BU211" s="56">
        <f t="shared" ca="1" si="511"/>
        <v>31.338399617410275</v>
      </c>
      <c r="BV211" s="56">
        <f t="shared" ca="1" si="511"/>
        <v>31.321189663631859</v>
      </c>
      <c r="BW211" s="56">
        <f t="shared" ca="1" si="511"/>
        <v>31.30500151524102</v>
      </c>
      <c r="BX211" s="56">
        <f t="shared" ca="1" si="511"/>
        <v>31.289869718562233</v>
      </c>
      <c r="BY211" s="56">
        <f t="shared" ca="1" si="511"/>
        <v>31.275826565612181</v>
      </c>
      <c r="BZ211" s="56">
        <f t="shared" ca="1" si="511"/>
        <v>31.262902025186964</v>
      </c>
      <c r="CA211" s="56">
        <f t="shared" ca="1" si="511"/>
        <v>31.251123678907192</v>
      </c>
      <c r="CB211" s="56">
        <f t="shared" ca="1" si="511"/>
        <v>31.24051666235739</v>
      </c>
      <c r="CC211" s="56">
        <f t="shared" ca="1" si="512"/>
        <v>31.231103611445423</v>
      </c>
      <c r="CD211" s="56">
        <f t="shared" ca="1" si="512"/>
        <v>31.222904614096311</v>
      </c>
      <c r="CE211" s="56">
        <f t="shared" ca="1" si="512"/>
        <v>31.215937167383586</v>
      </c>
      <c r="CF211" s="56">
        <f t="shared" ca="1" si="512"/>
        <v>31.210216140189662</v>
      </c>
      <c r="CG211" s="56">
        <f t="shared" ca="1" si="512"/>
        <v>31.205753741474879</v>
      </c>
      <c r="CH211" s="56">
        <f t="shared" ca="1" si="512"/>
        <v>31.202559494222982</v>
      </c>
      <c r="CI211" s="56">
        <f t="shared" ca="1" si="512"/>
        <v>31.200640215118579</v>
      </c>
      <c r="CJ211" s="56">
        <f t="shared" ca="1" si="512"/>
        <v>31.200000000000003</v>
      </c>
      <c r="CK211" s="56">
        <f t="shared" si="512"/>
        <v>0</v>
      </c>
      <c r="CL211" s="56">
        <f t="shared" si="512"/>
        <v>0</v>
      </c>
      <c r="CM211" s="56">
        <f t="shared" si="513"/>
        <v>0</v>
      </c>
      <c r="CN211" s="56">
        <f t="shared" si="513"/>
        <v>0</v>
      </c>
      <c r="CO211" s="56">
        <f t="shared" si="513"/>
        <v>0</v>
      </c>
      <c r="CP211" s="56">
        <f t="shared" si="513"/>
        <v>0</v>
      </c>
      <c r="CQ211" s="56">
        <f t="shared" si="513"/>
        <v>0</v>
      </c>
      <c r="CR211" s="56">
        <f t="shared" si="513"/>
        <v>0</v>
      </c>
      <c r="CS211" s="56">
        <f t="shared" si="513"/>
        <v>0</v>
      </c>
      <c r="CT211" s="56">
        <f t="shared" si="513"/>
        <v>0</v>
      </c>
      <c r="CU211" s="56">
        <f t="shared" si="513"/>
        <v>0</v>
      </c>
      <c r="CV211" s="56">
        <f t="shared" si="513"/>
        <v>0</v>
      </c>
      <c r="CW211" s="56">
        <f t="shared" si="514"/>
        <v>0</v>
      </c>
      <c r="CX211" s="56">
        <f t="shared" si="514"/>
        <v>0</v>
      </c>
      <c r="CY211" s="56">
        <f t="shared" si="514"/>
        <v>0</v>
      </c>
      <c r="CZ211" s="56">
        <f t="shared" si="514"/>
        <v>0</v>
      </c>
      <c r="DA211" s="56">
        <f t="shared" si="514"/>
        <v>0</v>
      </c>
      <c r="DB211" s="56">
        <f t="shared" si="514"/>
        <v>0</v>
      </c>
      <c r="DC211" s="56">
        <f t="shared" si="514"/>
        <v>0</v>
      </c>
      <c r="DD211" s="56">
        <f t="shared" si="514"/>
        <v>0</v>
      </c>
      <c r="DE211" s="56">
        <f t="shared" si="514"/>
        <v>0</v>
      </c>
      <c r="DF211" s="56">
        <f t="shared" si="514"/>
        <v>0</v>
      </c>
      <c r="DG211" s="56">
        <f t="shared" si="515"/>
        <v>0</v>
      </c>
      <c r="DH211" s="56">
        <f t="shared" si="515"/>
        <v>0</v>
      </c>
      <c r="DI211" s="56">
        <f t="shared" si="515"/>
        <v>0</v>
      </c>
      <c r="DJ211" s="56">
        <f t="shared" si="515"/>
        <v>0</v>
      </c>
      <c r="DK211" s="56">
        <f t="shared" si="515"/>
        <v>0</v>
      </c>
      <c r="DL211" s="56">
        <f t="shared" si="515"/>
        <v>0</v>
      </c>
      <c r="DM211" s="56">
        <f t="shared" si="515"/>
        <v>0</v>
      </c>
      <c r="DN211" s="56">
        <f t="shared" si="515"/>
        <v>0</v>
      </c>
      <c r="DO211" s="56">
        <f t="shared" si="515"/>
        <v>0</v>
      </c>
      <c r="DP211" s="56">
        <f t="shared" si="515"/>
        <v>0</v>
      </c>
      <c r="DQ211" s="56">
        <f t="shared" si="516"/>
        <v>0</v>
      </c>
      <c r="DR211" s="56">
        <f t="shared" si="516"/>
        <v>0</v>
      </c>
      <c r="DS211" s="56">
        <f t="shared" si="516"/>
        <v>0</v>
      </c>
      <c r="DT211" s="56">
        <f t="shared" si="516"/>
        <v>0</v>
      </c>
      <c r="DU211" s="56">
        <f t="shared" si="516"/>
        <v>0</v>
      </c>
      <c r="DV211" s="56">
        <f t="shared" si="516"/>
        <v>0</v>
      </c>
      <c r="DW211" s="56">
        <f t="shared" si="516"/>
        <v>0</v>
      </c>
      <c r="DX211" s="56">
        <f t="shared" si="516"/>
        <v>0</v>
      </c>
      <c r="DY211" s="56">
        <f t="shared" si="516"/>
        <v>0</v>
      </c>
      <c r="DZ211" s="56">
        <f t="shared" si="516"/>
        <v>0</v>
      </c>
      <c r="EA211" s="56">
        <f t="shared" si="517"/>
        <v>0</v>
      </c>
      <c r="EB211" s="56">
        <f t="shared" si="517"/>
        <v>0</v>
      </c>
      <c r="EC211" s="56">
        <f t="shared" si="517"/>
        <v>0</v>
      </c>
      <c r="ED211" s="56">
        <f t="shared" si="517"/>
        <v>0</v>
      </c>
      <c r="EE211" s="56">
        <f t="shared" si="517"/>
        <v>0</v>
      </c>
      <c r="EF211" s="56">
        <f t="shared" si="517"/>
        <v>0</v>
      </c>
      <c r="EG211" s="56">
        <f t="shared" si="517"/>
        <v>0</v>
      </c>
      <c r="EH211" s="56">
        <f t="shared" si="517"/>
        <v>0</v>
      </c>
      <c r="EI211" s="56">
        <f t="shared" si="517"/>
        <v>0</v>
      </c>
      <c r="EJ211" s="56">
        <f t="shared" si="517"/>
        <v>0</v>
      </c>
      <c r="EK211" s="56">
        <f t="shared" si="518"/>
        <v>0</v>
      </c>
      <c r="EL211" s="56">
        <f t="shared" si="518"/>
        <v>0</v>
      </c>
      <c r="EM211" s="56">
        <f t="shared" si="518"/>
        <v>0</v>
      </c>
      <c r="EN211" s="56">
        <f t="shared" si="518"/>
        <v>0</v>
      </c>
      <c r="EO211" s="56">
        <f t="shared" si="518"/>
        <v>0</v>
      </c>
      <c r="EP211" s="56">
        <f t="shared" si="518"/>
        <v>0</v>
      </c>
      <c r="EQ211" s="56">
        <f t="shared" si="518"/>
        <v>0</v>
      </c>
      <c r="ER211" s="56">
        <f t="shared" si="518"/>
        <v>0</v>
      </c>
      <c r="ES211" s="56">
        <f t="shared" si="518"/>
        <v>0</v>
      </c>
      <c r="ET211" s="56">
        <f t="shared" si="518"/>
        <v>0</v>
      </c>
      <c r="EU211" s="56">
        <f t="shared" si="519"/>
        <v>0</v>
      </c>
      <c r="EV211" s="56">
        <f t="shared" si="519"/>
        <v>0</v>
      </c>
      <c r="EW211" s="56">
        <f t="shared" si="519"/>
        <v>0</v>
      </c>
      <c r="EX211" s="56">
        <f t="shared" si="519"/>
        <v>0</v>
      </c>
      <c r="EY211" s="56">
        <f t="shared" si="519"/>
        <v>0</v>
      </c>
      <c r="EZ211" s="56">
        <f t="shared" si="519"/>
        <v>0</v>
      </c>
      <c r="FA211" s="56">
        <f t="shared" si="519"/>
        <v>0</v>
      </c>
      <c r="FB211" s="56">
        <f t="shared" si="519"/>
        <v>0</v>
      </c>
      <c r="FC211" s="56">
        <f t="shared" si="519"/>
        <v>0</v>
      </c>
      <c r="FD211" s="56">
        <f t="shared" si="519"/>
        <v>0</v>
      </c>
      <c r="FE211" s="56">
        <f t="shared" si="520"/>
        <v>0</v>
      </c>
      <c r="FF211" s="56">
        <f t="shared" si="520"/>
        <v>0</v>
      </c>
      <c r="FG211" s="56">
        <f t="shared" si="520"/>
        <v>0</v>
      </c>
      <c r="FH211" s="56">
        <f t="shared" si="520"/>
        <v>0</v>
      </c>
      <c r="FI211" s="56">
        <f t="shared" si="520"/>
        <v>0</v>
      </c>
      <c r="FJ211" s="56">
        <f t="shared" si="520"/>
        <v>0</v>
      </c>
      <c r="FK211" s="56">
        <f t="shared" si="520"/>
        <v>0</v>
      </c>
      <c r="FL211" s="56">
        <f t="shared" si="520"/>
        <v>0</v>
      </c>
      <c r="FM211" s="56">
        <f t="shared" si="520"/>
        <v>0</v>
      </c>
      <c r="FN211" s="56">
        <f t="shared" si="520"/>
        <v>0</v>
      </c>
      <c r="FO211" s="56">
        <f t="shared" si="521"/>
        <v>0</v>
      </c>
      <c r="FP211" s="56">
        <f t="shared" si="521"/>
        <v>0</v>
      </c>
      <c r="FQ211" s="56">
        <f t="shared" si="521"/>
        <v>0</v>
      </c>
      <c r="FR211" s="56">
        <f t="shared" si="521"/>
        <v>0</v>
      </c>
      <c r="FS211" s="56">
        <f t="shared" si="521"/>
        <v>0</v>
      </c>
      <c r="FT211" s="56">
        <f t="shared" si="521"/>
        <v>0</v>
      </c>
      <c r="FU211" s="56">
        <f t="shared" si="521"/>
        <v>0</v>
      </c>
      <c r="FV211" s="56">
        <f t="shared" si="521"/>
        <v>0</v>
      </c>
      <c r="FW211" s="56">
        <f t="shared" si="521"/>
        <v>0</v>
      </c>
      <c r="FX211" s="56">
        <f t="shared" si="521"/>
        <v>0</v>
      </c>
      <c r="FY211" s="56">
        <f t="shared" si="522"/>
        <v>0</v>
      </c>
      <c r="FZ211" s="56">
        <f t="shared" si="522"/>
        <v>0</v>
      </c>
      <c r="GA211" s="56">
        <f t="shared" si="522"/>
        <v>0</v>
      </c>
      <c r="GB211" s="56">
        <f t="shared" si="522"/>
        <v>0</v>
      </c>
      <c r="GC211" s="56">
        <f t="shared" si="522"/>
        <v>0</v>
      </c>
      <c r="GD211" s="56">
        <f t="shared" si="522"/>
        <v>0</v>
      </c>
      <c r="GE211" s="56">
        <f t="shared" si="522"/>
        <v>0</v>
      </c>
      <c r="GF211" s="56">
        <f t="shared" si="522"/>
        <v>0</v>
      </c>
      <c r="GG211" s="56">
        <f t="shared" si="522"/>
        <v>0</v>
      </c>
      <c r="GH211" s="56">
        <f t="shared" si="522"/>
        <v>0</v>
      </c>
      <c r="GI211" s="56">
        <f t="shared" si="523"/>
        <v>0</v>
      </c>
      <c r="GJ211" s="56">
        <f t="shared" si="523"/>
        <v>0</v>
      </c>
      <c r="GK211" s="56">
        <f t="shared" si="523"/>
        <v>0</v>
      </c>
      <c r="GL211" s="56">
        <f t="shared" si="523"/>
        <v>0</v>
      </c>
      <c r="GM211" s="56">
        <f t="shared" si="523"/>
        <v>0</v>
      </c>
      <c r="GN211" s="56">
        <f t="shared" si="523"/>
        <v>0</v>
      </c>
      <c r="GO211" s="56">
        <f t="shared" si="523"/>
        <v>0</v>
      </c>
      <c r="GP211" s="56">
        <f t="shared" si="523"/>
        <v>0</v>
      </c>
    </row>
    <row r="212" spans="1:198" x14ac:dyDescent="0.35">
      <c r="A212" s="55" t="str">
        <f t="shared" si="304"/>
        <v>Other &gt; available in future</v>
      </c>
      <c r="B212" s="55" t="s">
        <v>298</v>
      </c>
      <c r="K212" s="56">
        <f t="shared" ca="1" si="505"/>
        <v>32.399999999999991</v>
      </c>
      <c r="L212" s="56">
        <f t="shared" ca="1" si="505"/>
        <v>32.399999999999991</v>
      </c>
      <c r="M212" s="56">
        <f t="shared" ca="1" si="505"/>
        <v>32.399999999999991</v>
      </c>
      <c r="N212" s="56">
        <f t="shared" ca="1" si="505"/>
        <v>32.399999999999991</v>
      </c>
      <c r="O212" s="56">
        <f t="shared" ca="1" si="505"/>
        <v>32.399999999999991</v>
      </c>
      <c r="P212" s="56">
        <f t="shared" ca="1" si="505"/>
        <v>32.399999999999991</v>
      </c>
      <c r="Q212" s="56">
        <f t="shared" ca="1" si="505"/>
        <v>32.399999999999991</v>
      </c>
      <c r="R212" s="56">
        <f t="shared" ca="1" si="505"/>
        <v>32.399999999999991</v>
      </c>
      <c r="S212" s="56">
        <f t="shared" ca="1" si="505"/>
        <v>32.399999999999991</v>
      </c>
      <c r="T212" s="56">
        <f t="shared" ca="1" si="505"/>
        <v>32.399999999999991</v>
      </c>
      <c r="U212" s="56">
        <f t="shared" ca="1" si="506"/>
        <v>32.399359784881419</v>
      </c>
      <c r="V212" s="56">
        <f t="shared" ca="1" si="506"/>
        <v>32.397440505777013</v>
      </c>
      <c r="W212" s="56">
        <f t="shared" ca="1" si="506"/>
        <v>32.394246258525115</v>
      </c>
      <c r="X212" s="56">
        <f t="shared" ca="1" si="506"/>
        <v>32.389783859810336</v>
      </c>
      <c r="Y212" s="56">
        <f t="shared" ca="1" si="506"/>
        <v>32.384062832616408</v>
      </c>
      <c r="Z212" s="56">
        <f t="shared" ca="1" si="506"/>
        <v>32.377095385903687</v>
      </c>
      <c r="AA212" s="56">
        <f t="shared" ca="1" si="506"/>
        <v>32.368896388554575</v>
      </c>
      <c r="AB212" s="56">
        <f t="shared" ca="1" si="506"/>
        <v>32.359483337642608</v>
      </c>
      <c r="AC212" s="56">
        <f t="shared" ca="1" si="506"/>
        <v>32.348876321092803</v>
      </c>
      <c r="AD212" s="56">
        <f t="shared" ca="1" si="506"/>
        <v>32.337097974813034</v>
      </c>
      <c r="AE212" s="56">
        <f t="shared" ca="1" si="507"/>
        <v>32.324173434387816</v>
      </c>
      <c r="AF212" s="56">
        <f t="shared" ca="1" si="507"/>
        <v>32.310130281437765</v>
      </c>
      <c r="AG212" s="56">
        <f t="shared" ca="1" si="507"/>
        <v>32.294998484758977</v>
      </c>
      <c r="AH212" s="56">
        <f t="shared" ca="1" si="507"/>
        <v>32.278810336368139</v>
      </c>
      <c r="AI212" s="56">
        <f t="shared" ca="1" si="507"/>
        <v>32.26160038258972</v>
      </c>
      <c r="AJ212" s="56">
        <f t="shared" ca="1" si="507"/>
        <v>32.243405350332388</v>
      </c>
      <c r="AK212" s="56">
        <f t="shared" ca="1" si="507"/>
        <v>32.224264068711925</v>
      </c>
      <c r="AL212" s="56">
        <f t="shared" ca="1" si="507"/>
        <v>32.204217386187928</v>
      </c>
      <c r="AM212" s="56">
        <f t="shared" ca="1" si="507"/>
        <v>32.183308083391168</v>
      </c>
      <c r="AN212" s="56">
        <f t="shared" ca="1" si="507"/>
        <v>32.161580781827546</v>
      </c>
      <c r="AO212" s="56">
        <f t="shared" ca="1" si="508"/>
        <v>32.139081848653547</v>
      </c>
      <c r="AP212" s="56">
        <f t="shared" ca="1" si="508"/>
        <v>32.115859297726409</v>
      </c>
      <c r="AQ212" s="56">
        <f t="shared" ca="1" si="508"/>
        <v>32.091962687140111</v>
      </c>
      <c r="AR212" s="56">
        <f t="shared" ca="1" si="508"/>
        <v>32.067443013465919</v>
      </c>
      <c r="AS212" s="56">
        <f t="shared" ca="1" si="508"/>
        <v>32.042352602923131</v>
      </c>
      <c r="AT212" s="56">
        <f t="shared" ca="1" si="508"/>
        <v>32.016744999712287</v>
      </c>
      <c r="AU212" s="56">
        <f t="shared" ca="1" si="508"/>
        <v>31.990674851749137</v>
      </c>
      <c r="AV212" s="56">
        <f t="shared" ca="1" si="508"/>
        <v>31.964197794043248</v>
      </c>
      <c r="AW212" s="56">
        <f t="shared" ca="1" si="508"/>
        <v>31.937370329970079</v>
      </c>
      <c r="AX212" s="56">
        <f t="shared" ca="1" si="508"/>
        <v>31.910249710689939</v>
      </c>
      <c r="AY212" s="56">
        <f t="shared" ca="1" si="509"/>
        <v>31.882893812971126</v>
      </c>
      <c r="AZ212" s="56">
        <f t="shared" ca="1" si="509"/>
        <v>31.855361015677978</v>
      </c>
      <c r="BA212" s="56">
        <f t="shared" ca="1" si="509"/>
        <v>31.827710075187444</v>
      </c>
      <c r="BB212" s="56">
        <f t="shared" ca="1" si="509"/>
        <v>31.8</v>
      </c>
      <c r="BC212" s="56">
        <f t="shared" ca="1" si="509"/>
        <v>31.772289924812554</v>
      </c>
      <c r="BD212" s="56">
        <f t="shared" ca="1" si="509"/>
        <v>31.74463898432202</v>
      </c>
      <c r="BE212" s="56">
        <f t="shared" ca="1" si="509"/>
        <v>31.717106187028872</v>
      </c>
      <c r="BF212" s="56">
        <f t="shared" ca="1" si="509"/>
        <v>31.689750289310059</v>
      </c>
      <c r="BG212" s="56">
        <f t="shared" ca="1" si="509"/>
        <v>31.662629670029919</v>
      </c>
      <c r="BH212" s="56">
        <f t="shared" ca="1" si="509"/>
        <v>31.63580220595675</v>
      </c>
      <c r="BI212" s="56">
        <f t="shared" ca="1" si="510"/>
        <v>31.609325148250861</v>
      </c>
      <c r="BJ212" s="56">
        <f t="shared" ca="1" si="510"/>
        <v>31.583255000287707</v>
      </c>
      <c r="BK212" s="56">
        <f t="shared" ca="1" si="510"/>
        <v>31.557647397076863</v>
      </c>
      <c r="BL212" s="56">
        <f t="shared" ca="1" si="510"/>
        <v>31.532556986534079</v>
      </c>
      <c r="BM212" s="56">
        <f t="shared" ca="1" si="510"/>
        <v>31.508037312859887</v>
      </c>
      <c r="BN212" s="56">
        <f t="shared" ca="1" si="510"/>
        <v>31.484140702273589</v>
      </c>
      <c r="BO212" s="56">
        <f t="shared" ca="1" si="510"/>
        <v>31.460918151346448</v>
      </c>
      <c r="BP212" s="56">
        <f t="shared" ca="1" si="510"/>
        <v>31.438419218172449</v>
      </c>
      <c r="BQ212" s="56">
        <f t="shared" ca="1" si="510"/>
        <v>31.416691916608826</v>
      </c>
      <c r="BR212" s="56">
        <f t="shared" ca="1" si="510"/>
        <v>31.395782613812067</v>
      </c>
      <c r="BS212" s="56">
        <f t="shared" ca="1" si="511"/>
        <v>31.375735931288073</v>
      </c>
      <c r="BT212" s="56">
        <f t="shared" ca="1" si="511"/>
        <v>31.356594649667606</v>
      </c>
      <c r="BU212" s="56">
        <f t="shared" ca="1" si="511"/>
        <v>31.338399617410275</v>
      </c>
      <c r="BV212" s="56">
        <f t="shared" ca="1" si="511"/>
        <v>31.321189663631859</v>
      </c>
      <c r="BW212" s="56">
        <f t="shared" ca="1" si="511"/>
        <v>31.30500151524102</v>
      </c>
      <c r="BX212" s="56">
        <f t="shared" ca="1" si="511"/>
        <v>31.289869718562233</v>
      </c>
      <c r="BY212" s="56">
        <f t="shared" ca="1" si="511"/>
        <v>31.275826565612181</v>
      </c>
      <c r="BZ212" s="56">
        <f t="shared" ca="1" si="511"/>
        <v>31.262902025186964</v>
      </c>
      <c r="CA212" s="56">
        <f t="shared" ca="1" si="511"/>
        <v>31.251123678907192</v>
      </c>
      <c r="CB212" s="56">
        <f t="shared" ca="1" si="511"/>
        <v>31.24051666235739</v>
      </c>
      <c r="CC212" s="56">
        <f t="shared" ca="1" si="512"/>
        <v>31.231103611445423</v>
      </c>
      <c r="CD212" s="56">
        <f t="shared" ca="1" si="512"/>
        <v>31.222904614096311</v>
      </c>
      <c r="CE212" s="56">
        <f t="shared" ca="1" si="512"/>
        <v>31.215937167383586</v>
      </c>
      <c r="CF212" s="56">
        <f t="shared" ca="1" si="512"/>
        <v>31.210216140189662</v>
      </c>
      <c r="CG212" s="56">
        <f t="shared" ca="1" si="512"/>
        <v>31.205753741474879</v>
      </c>
      <c r="CH212" s="56">
        <f t="shared" ca="1" si="512"/>
        <v>31.202559494222982</v>
      </c>
      <c r="CI212" s="56">
        <f t="shared" ca="1" si="512"/>
        <v>31.200640215118579</v>
      </c>
      <c r="CJ212" s="56">
        <f t="shared" ca="1" si="512"/>
        <v>31.200000000000003</v>
      </c>
      <c r="CK212" s="56">
        <f t="shared" si="512"/>
        <v>0</v>
      </c>
      <c r="CL212" s="56">
        <f t="shared" si="512"/>
        <v>0</v>
      </c>
      <c r="CM212" s="56">
        <f t="shared" si="513"/>
        <v>0</v>
      </c>
      <c r="CN212" s="56">
        <f t="shared" si="513"/>
        <v>0</v>
      </c>
      <c r="CO212" s="56">
        <f t="shared" si="513"/>
        <v>0</v>
      </c>
      <c r="CP212" s="56">
        <f t="shared" si="513"/>
        <v>0</v>
      </c>
      <c r="CQ212" s="56">
        <f t="shared" si="513"/>
        <v>0</v>
      </c>
      <c r="CR212" s="56">
        <f t="shared" si="513"/>
        <v>0</v>
      </c>
      <c r="CS212" s="56">
        <f t="shared" si="513"/>
        <v>0</v>
      </c>
      <c r="CT212" s="56">
        <f t="shared" si="513"/>
        <v>0</v>
      </c>
      <c r="CU212" s="56">
        <f t="shared" si="513"/>
        <v>0</v>
      </c>
      <c r="CV212" s="56">
        <f t="shared" si="513"/>
        <v>0</v>
      </c>
      <c r="CW212" s="56">
        <f t="shared" si="514"/>
        <v>0</v>
      </c>
      <c r="CX212" s="56">
        <f t="shared" si="514"/>
        <v>0</v>
      </c>
      <c r="CY212" s="56">
        <f t="shared" si="514"/>
        <v>0</v>
      </c>
      <c r="CZ212" s="56">
        <f t="shared" si="514"/>
        <v>0</v>
      </c>
      <c r="DA212" s="56">
        <f t="shared" si="514"/>
        <v>0</v>
      </c>
      <c r="DB212" s="56">
        <f t="shared" si="514"/>
        <v>0</v>
      </c>
      <c r="DC212" s="56">
        <f t="shared" si="514"/>
        <v>0</v>
      </c>
      <c r="DD212" s="56">
        <f t="shared" si="514"/>
        <v>0</v>
      </c>
      <c r="DE212" s="56">
        <f t="shared" si="514"/>
        <v>0</v>
      </c>
      <c r="DF212" s="56">
        <f t="shared" si="514"/>
        <v>0</v>
      </c>
      <c r="DG212" s="56">
        <f t="shared" si="515"/>
        <v>0</v>
      </c>
      <c r="DH212" s="56">
        <f t="shared" si="515"/>
        <v>0</v>
      </c>
      <c r="DI212" s="56">
        <f t="shared" si="515"/>
        <v>0</v>
      </c>
      <c r="DJ212" s="56">
        <f t="shared" si="515"/>
        <v>0</v>
      </c>
      <c r="DK212" s="56">
        <f t="shared" si="515"/>
        <v>0</v>
      </c>
      <c r="DL212" s="56">
        <f t="shared" si="515"/>
        <v>0</v>
      </c>
      <c r="DM212" s="56">
        <f t="shared" si="515"/>
        <v>0</v>
      </c>
      <c r="DN212" s="56">
        <f t="shared" si="515"/>
        <v>0</v>
      </c>
      <c r="DO212" s="56">
        <f t="shared" si="515"/>
        <v>0</v>
      </c>
      <c r="DP212" s="56">
        <f t="shared" si="515"/>
        <v>0</v>
      </c>
      <c r="DQ212" s="56">
        <f t="shared" si="516"/>
        <v>0</v>
      </c>
      <c r="DR212" s="56">
        <f t="shared" si="516"/>
        <v>0</v>
      </c>
      <c r="DS212" s="56">
        <f t="shared" si="516"/>
        <v>0</v>
      </c>
      <c r="DT212" s="56">
        <f t="shared" si="516"/>
        <v>0</v>
      </c>
      <c r="DU212" s="56">
        <f t="shared" si="516"/>
        <v>0</v>
      </c>
      <c r="DV212" s="56">
        <f t="shared" si="516"/>
        <v>0</v>
      </c>
      <c r="DW212" s="56">
        <f t="shared" si="516"/>
        <v>0</v>
      </c>
      <c r="DX212" s="56">
        <f t="shared" si="516"/>
        <v>0</v>
      </c>
      <c r="DY212" s="56">
        <f t="shared" si="516"/>
        <v>0</v>
      </c>
      <c r="DZ212" s="56">
        <f t="shared" si="516"/>
        <v>0</v>
      </c>
      <c r="EA212" s="56">
        <f t="shared" si="517"/>
        <v>0</v>
      </c>
      <c r="EB212" s="56">
        <f t="shared" si="517"/>
        <v>0</v>
      </c>
      <c r="EC212" s="56">
        <f t="shared" si="517"/>
        <v>0</v>
      </c>
      <c r="ED212" s="56">
        <f t="shared" si="517"/>
        <v>0</v>
      </c>
      <c r="EE212" s="56">
        <f t="shared" si="517"/>
        <v>0</v>
      </c>
      <c r="EF212" s="56">
        <f t="shared" si="517"/>
        <v>0</v>
      </c>
      <c r="EG212" s="56">
        <f t="shared" si="517"/>
        <v>0</v>
      </c>
      <c r="EH212" s="56">
        <f t="shared" si="517"/>
        <v>0</v>
      </c>
      <c r="EI212" s="56">
        <f t="shared" si="517"/>
        <v>0</v>
      </c>
      <c r="EJ212" s="56">
        <f t="shared" si="517"/>
        <v>0</v>
      </c>
      <c r="EK212" s="56">
        <f t="shared" si="518"/>
        <v>0</v>
      </c>
      <c r="EL212" s="56">
        <f t="shared" si="518"/>
        <v>0</v>
      </c>
      <c r="EM212" s="56">
        <f t="shared" si="518"/>
        <v>0</v>
      </c>
      <c r="EN212" s="56">
        <f t="shared" si="518"/>
        <v>0</v>
      </c>
      <c r="EO212" s="56">
        <f t="shared" si="518"/>
        <v>0</v>
      </c>
      <c r="EP212" s="56">
        <f t="shared" si="518"/>
        <v>0</v>
      </c>
      <c r="EQ212" s="56">
        <f t="shared" si="518"/>
        <v>0</v>
      </c>
      <c r="ER212" s="56">
        <f t="shared" si="518"/>
        <v>0</v>
      </c>
      <c r="ES212" s="56">
        <f t="shared" si="518"/>
        <v>0</v>
      </c>
      <c r="ET212" s="56">
        <f t="shared" si="518"/>
        <v>0</v>
      </c>
      <c r="EU212" s="56">
        <f t="shared" si="519"/>
        <v>0</v>
      </c>
      <c r="EV212" s="56">
        <f t="shared" si="519"/>
        <v>0</v>
      </c>
      <c r="EW212" s="56">
        <f t="shared" si="519"/>
        <v>0</v>
      </c>
      <c r="EX212" s="56">
        <f t="shared" si="519"/>
        <v>0</v>
      </c>
      <c r="EY212" s="56">
        <f t="shared" si="519"/>
        <v>0</v>
      </c>
      <c r="EZ212" s="56">
        <f t="shared" si="519"/>
        <v>0</v>
      </c>
      <c r="FA212" s="56">
        <f t="shared" si="519"/>
        <v>0</v>
      </c>
      <c r="FB212" s="56">
        <f t="shared" si="519"/>
        <v>0</v>
      </c>
      <c r="FC212" s="56">
        <f t="shared" si="519"/>
        <v>0</v>
      </c>
      <c r="FD212" s="56">
        <f t="shared" si="519"/>
        <v>0</v>
      </c>
      <c r="FE212" s="56">
        <f t="shared" si="520"/>
        <v>0</v>
      </c>
      <c r="FF212" s="56">
        <f t="shared" si="520"/>
        <v>0</v>
      </c>
      <c r="FG212" s="56">
        <f t="shared" si="520"/>
        <v>0</v>
      </c>
      <c r="FH212" s="56">
        <f t="shared" si="520"/>
        <v>0</v>
      </c>
      <c r="FI212" s="56">
        <f t="shared" si="520"/>
        <v>0</v>
      </c>
      <c r="FJ212" s="56">
        <f t="shared" si="520"/>
        <v>0</v>
      </c>
      <c r="FK212" s="56">
        <f t="shared" si="520"/>
        <v>0</v>
      </c>
      <c r="FL212" s="56">
        <f t="shared" si="520"/>
        <v>0</v>
      </c>
      <c r="FM212" s="56">
        <f t="shared" si="520"/>
        <v>0</v>
      </c>
      <c r="FN212" s="56">
        <f t="shared" si="520"/>
        <v>0</v>
      </c>
      <c r="FO212" s="56">
        <f t="shared" si="521"/>
        <v>0</v>
      </c>
      <c r="FP212" s="56">
        <f t="shared" si="521"/>
        <v>0</v>
      </c>
      <c r="FQ212" s="56">
        <f t="shared" si="521"/>
        <v>0</v>
      </c>
      <c r="FR212" s="56">
        <f t="shared" si="521"/>
        <v>0</v>
      </c>
      <c r="FS212" s="56">
        <f t="shared" si="521"/>
        <v>0</v>
      </c>
      <c r="FT212" s="56">
        <f t="shared" si="521"/>
        <v>0</v>
      </c>
      <c r="FU212" s="56">
        <f t="shared" si="521"/>
        <v>0</v>
      </c>
      <c r="FV212" s="56">
        <f t="shared" si="521"/>
        <v>0</v>
      </c>
      <c r="FW212" s="56">
        <f t="shared" si="521"/>
        <v>0</v>
      </c>
      <c r="FX212" s="56">
        <f t="shared" si="521"/>
        <v>0</v>
      </c>
      <c r="FY212" s="56">
        <f t="shared" si="522"/>
        <v>0</v>
      </c>
      <c r="FZ212" s="56">
        <f t="shared" si="522"/>
        <v>0</v>
      </c>
      <c r="GA212" s="56">
        <f t="shared" si="522"/>
        <v>0</v>
      </c>
      <c r="GB212" s="56">
        <f t="shared" si="522"/>
        <v>0</v>
      </c>
      <c r="GC212" s="56">
        <f t="shared" si="522"/>
        <v>0</v>
      </c>
      <c r="GD212" s="56">
        <f t="shared" si="522"/>
        <v>0</v>
      </c>
      <c r="GE212" s="56">
        <f t="shared" si="522"/>
        <v>0</v>
      </c>
      <c r="GF212" s="56">
        <f t="shared" si="522"/>
        <v>0</v>
      </c>
      <c r="GG212" s="56">
        <f t="shared" si="522"/>
        <v>0</v>
      </c>
      <c r="GH212" s="56">
        <f t="shared" si="522"/>
        <v>0</v>
      </c>
      <c r="GI212" s="56">
        <f t="shared" si="523"/>
        <v>0</v>
      </c>
      <c r="GJ212" s="56">
        <f t="shared" si="523"/>
        <v>0</v>
      </c>
      <c r="GK212" s="56">
        <f t="shared" si="523"/>
        <v>0</v>
      </c>
      <c r="GL212" s="56">
        <f t="shared" si="523"/>
        <v>0</v>
      </c>
      <c r="GM212" s="56">
        <f t="shared" si="523"/>
        <v>0</v>
      </c>
      <c r="GN212" s="56">
        <f t="shared" si="523"/>
        <v>0</v>
      </c>
      <c r="GO212" s="56">
        <f t="shared" si="523"/>
        <v>0</v>
      </c>
      <c r="GP212" s="56">
        <f t="shared" si="523"/>
        <v>0</v>
      </c>
    </row>
    <row r="213" spans="1:198" ht="24" x14ac:dyDescent="0.35">
      <c r="A213" s="57" t="str">
        <f t="shared" ca="1" si="304"/>
        <v>26
Available in future</v>
      </c>
      <c r="B213" s="55" t="s">
        <v>298</v>
      </c>
      <c r="K213" s="56">
        <f t="shared" ca="1" si="505"/>
        <v>32.399999999999991</v>
      </c>
      <c r="L213" s="56">
        <f t="shared" ca="1" si="505"/>
        <v>32.399999999999991</v>
      </c>
      <c r="M213" s="56">
        <f t="shared" ca="1" si="505"/>
        <v>32.399999999999991</v>
      </c>
      <c r="N213" s="56">
        <f t="shared" ca="1" si="505"/>
        <v>32.399999999999991</v>
      </c>
      <c r="O213" s="56">
        <f t="shared" ca="1" si="505"/>
        <v>32.399999999999991</v>
      </c>
      <c r="P213" s="56">
        <f t="shared" ca="1" si="505"/>
        <v>32.399999999999991</v>
      </c>
      <c r="Q213" s="56">
        <f t="shared" ca="1" si="505"/>
        <v>32.399999999999991</v>
      </c>
      <c r="R213" s="56">
        <f t="shared" ca="1" si="505"/>
        <v>32.399999999999991</v>
      </c>
      <c r="S213" s="56">
        <f t="shared" ca="1" si="505"/>
        <v>32.399999999999991</v>
      </c>
      <c r="T213" s="56">
        <f t="shared" ca="1" si="505"/>
        <v>32.399999999999991</v>
      </c>
      <c r="U213" s="56">
        <f t="shared" ca="1" si="506"/>
        <v>32.399359784881419</v>
      </c>
      <c r="V213" s="56">
        <f t="shared" ca="1" si="506"/>
        <v>32.397440505777013</v>
      </c>
      <c r="W213" s="56">
        <f t="shared" ca="1" si="506"/>
        <v>32.394246258525115</v>
      </c>
      <c r="X213" s="56">
        <f t="shared" ca="1" si="506"/>
        <v>32.389783859810336</v>
      </c>
      <c r="Y213" s="56">
        <f t="shared" ca="1" si="506"/>
        <v>32.384062832616408</v>
      </c>
      <c r="Z213" s="56">
        <f t="shared" ca="1" si="506"/>
        <v>32.377095385903687</v>
      </c>
      <c r="AA213" s="56">
        <f t="shared" ca="1" si="506"/>
        <v>32.368896388554575</v>
      </c>
      <c r="AB213" s="56">
        <f t="shared" ca="1" si="506"/>
        <v>32.359483337642608</v>
      </c>
      <c r="AC213" s="56">
        <f t="shared" ca="1" si="506"/>
        <v>32.348876321092803</v>
      </c>
      <c r="AD213" s="56">
        <f t="shared" ca="1" si="506"/>
        <v>32.337097974813034</v>
      </c>
      <c r="AE213" s="56">
        <f t="shared" ca="1" si="507"/>
        <v>32.324173434387816</v>
      </c>
      <c r="AF213" s="56">
        <f t="shared" ca="1" si="507"/>
        <v>32.310130281437765</v>
      </c>
      <c r="AG213" s="56">
        <f t="shared" ca="1" si="507"/>
        <v>32.294998484758977</v>
      </c>
      <c r="AH213" s="56">
        <f t="shared" ca="1" si="507"/>
        <v>32.278810336368139</v>
      </c>
      <c r="AI213" s="56">
        <f t="shared" ca="1" si="507"/>
        <v>32.26160038258972</v>
      </c>
      <c r="AJ213" s="56">
        <f t="shared" ca="1" si="507"/>
        <v>32.243405350332388</v>
      </c>
      <c r="AK213" s="56">
        <f t="shared" ca="1" si="507"/>
        <v>32.224264068711925</v>
      </c>
      <c r="AL213" s="56">
        <f t="shared" ca="1" si="507"/>
        <v>32.204217386187928</v>
      </c>
      <c r="AM213" s="56">
        <f t="shared" ca="1" si="507"/>
        <v>32.183308083391168</v>
      </c>
      <c r="AN213" s="56">
        <f t="shared" ca="1" si="507"/>
        <v>32.161580781827546</v>
      </c>
      <c r="AO213" s="56">
        <f t="shared" ca="1" si="508"/>
        <v>32.139081848653547</v>
      </c>
      <c r="AP213" s="56">
        <f t="shared" ca="1" si="508"/>
        <v>32.115859297726409</v>
      </c>
      <c r="AQ213" s="56">
        <f t="shared" ca="1" si="508"/>
        <v>32.091962687140111</v>
      </c>
      <c r="AR213" s="56">
        <f t="shared" ca="1" si="508"/>
        <v>32.067443013465919</v>
      </c>
      <c r="AS213" s="56">
        <f t="shared" ca="1" si="508"/>
        <v>32.042352602923131</v>
      </c>
      <c r="AT213" s="56">
        <f t="shared" ca="1" si="508"/>
        <v>32.016744999712287</v>
      </c>
      <c r="AU213" s="56">
        <f t="shared" ca="1" si="508"/>
        <v>31.990674851749137</v>
      </c>
      <c r="AV213" s="56">
        <f t="shared" ca="1" si="508"/>
        <v>31.964197794043248</v>
      </c>
      <c r="AW213" s="56">
        <f t="shared" ca="1" si="508"/>
        <v>31.937370329970079</v>
      </c>
      <c r="AX213" s="56">
        <f t="shared" ca="1" si="508"/>
        <v>31.910249710689939</v>
      </c>
      <c r="AY213" s="56">
        <f t="shared" ca="1" si="509"/>
        <v>31.882893812971126</v>
      </c>
      <c r="AZ213" s="56">
        <f t="shared" ca="1" si="509"/>
        <v>31.855361015677978</v>
      </c>
      <c r="BA213" s="56">
        <f t="shared" ca="1" si="509"/>
        <v>31.827710075187444</v>
      </c>
      <c r="BB213" s="56">
        <f t="shared" ca="1" si="509"/>
        <v>31.8</v>
      </c>
      <c r="BC213" s="56">
        <f t="shared" ca="1" si="509"/>
        <v>31.772289924812554</v>
      </c>
      <c r="BD213" s="56">
        <f t="shared" ca="1" si="509"/>
        <v>31.74463898432202</v>
      </c>
      <c r="BE213" s="56">
        <f t="shared" ca="1" si="509"/>
        <v>31.717106187028872</v>
      </c>
      <c r="BF213" s="56">
        <f t="shared" ca="1" si="509"/>
        <v>31.689750289310059</v>
      </c>
      <c r="BG213" s="56">
        <f t="shared" ca="1" si="509"/>
        <v>31.662629670029919</v>
      </c>
      <c r="BH213" s="56">
        <f t="shared" ca="1" si="509"/>
        <v>31.63580220595675</v>
      </c>
      <c r="BI213" s="56">
        <f t="shared" ca="1" si="510"/>
        <v>31.609325148250861</v>
      </c>
      <c r="BJ213" s="56">
        <f t="shared" ca="1" si="510"/>
        <v>31.583255000287707</v>
      </c>
      <c r="BK213" s="56">
        <f t="shared" ca="1" si="510"/>
        <v>31.557647397076863</v>
      </c>
      <c r="BL213" s="56">
        <f t="shared" ca="1" si="510"/>
        <v>31.532556986534079</v>
      </c>
      <c r="BM213" s="56">
        <f t="shared" ca="1" si="510"/>
        <v>31.508037312859887</v>
      </c>
      <c r="BN213" s="56">
        <f t="shared" ca="1" si="510"/>
        <v>31.484140702273589</v>
      </c>
      <c r="BO213" s="56">
        <f t="shared" ca="1" si="510"/>
        <v>31.460918151346448</v>
      </c>
      <c r="BP213" s="56">
        <f t="shared" ca="1" si="510"/>
        <v>31.438419218172449</v>
      </c>
      <c r="BQ213" s="56">
        <f t="shared" ca="1" si="510"/>
        <v>31.416691916608826</v>
      </c>
      <c r="BR213" s="56">
        <f t="shared" ca="1" si="510"/>
        <v>31.395782613812067</v>
      </c>
      <c r="BS213" s="56">
        <f t="shared" ca="1" si="511"/>
        <v>31.375735931288073</v>
      </c>
      <c r="BT213" s="56">
        <f t="shared" ca="1" si="511"/>
        <v>31.356594649667606</v>
      </c>
      <c r="BU213" s="56">
        <f t="shared" ca="1" si="511"/>
        <v>31.338399617410275</v>
      </c>
      <c r="BV213" s="56">
        <f t="shared" ca="1" si="511"/>
        <v>31.321189663631859</v>
      </c>
      <c r="BW213" s="56">
        <f t="shared" ca="1" si="511"/>
        <v>31.30500151524102</v>
      </c>
      <c r="BX213" s="56">
        <f t="shared" ca="1" si="511"/>
        <v>31.289869718562233</v>
      </c>
      <c r="BY213" s="56">
        <f t="shared" ca="1" si="511"/>
        <v>31.275826565612181</v>
      </c>
      <c r="BZ213" s="56">
        <f t="shared" ca="1" si="511"/>
        <v>31.262902025186964</v>
      </c>
      <c r="CA213" s="56">
        <f t="shared" ca="1" si="511"/>
        <v>31.251123678907192</v>
      </c>
      <c r="CB213" s="56">
        <f t="shared" ca="1" si="511"/>
        <v>31.24051666235739</v>
      </c>
      <c r="CC213" s="56">
        <f t="shared" ca="1" si="512"/>
        <v>31.231103611445423</v>
      </c>
      <c r="CD213" s="56">
        <f t="shared" ca="1" si="512"/>
        <v>31.222904614096311</v>
      </c>
      <c r="CE213" s="56">
        <f t="shared" ca="1" si="512"/>
        <v>31.215937167383586</v>
      </c>
      <c r="CF213" s="56">
        <f t="shared" ca="1" si="512"/>
        <v>31.210216140189662</v>
      </c>
      <c r="CG213" s="56">
        <f t="shared" ca="1" si="512"/>
        <v>31.205753741474879</v>
      </c>
      <c r="CH213" s="56">
        <f t="shared" ca="1" si="512"/>
        <v>31.202559494222982</v>
      </c>
      <c r="CI213" s="56">
        <f t="shared" ca="1" si="512"/>
        <v>31.200640215118579</v>
      </c>
      <c r="CJ213" s="56">
        <f t="shared" ca="1" si="512"/>
        <v>31.200000000000003</v>
      </c>
      <c r="CK213" s="56">
        <f t="shared" ca="1" si="512"/>
        <v>31.200000000000003</v>
      </c>
      <c r="CL213" s="56">
        <f t="shared" ca="1" si="512"/>
        <v>31.200000000000003</v>
      </c>
      <c r="CM213" s="56">
        <f t="shared" ca="1" si="513"/>
        <v>31.200000000000003</v>
      </c>
      <c r="CN213" s="56">
        <f t="shared" ca="1" si="513"/>
        <v>31.200000000000003</v>
      </c>
      <c r="CO213" s="56">
        <f t="shared" ca="1" si="513"/>
        <v>31.200000000000003</v>
      </c>
      <c r="CP213" s="56">
        <f t="shared" ca="1" si="513"/>
        <v>31.200000000000003</v>
      </c>
      <c r="CQ213" s="56">
        <f t="shared" ca="1" si="513"/>
        <v>31.200000000000003</v>
      </c>
      <c r="CR213" s="56">
        <f t="shared" ca="1" si="513"/>
        <v>31.200000000000003</v>
      </c>
      <c r="CS213" s="56">
        <f t="shared" ca="1" si="513"/>
        <v>31.200000000000003</v>
      </c>
      <c r="CT213" s="56">
        <f t="shared" ca="1" si="513"/>
        <v>31.200000000000003</v>
      </c>
      <c r="CU213" s="56">
        <f t="shared" ca="1" si="513"/>
        <v>31.200000000000003</v>
      </c>
      <c r="CV213" s="56">
        <f t="shared" ca="1" si="513"/>
        <v>31.200000000000003</v>
      </c>
      <c r="CW213" s="56">
        <f t="shared" ca="1" si="514"/>
        <v>31.200000000000003</v>
      </c>
      <c r="CX213" s="56">
        <f t="shared" ca="1" si="514"/>
        <v>31.200000000000003</v>
      </c>
      <c r="CY213" s="56">
        <f t="shared" ca="1" si="514"/>
        <v>31.200000000000003</v>
      </c>
      <c r="CZ213" s="56">
        <f t="shared" ca="1" si="514"/>
        <v>31.200000000000003</v>
      </c>
      <c r="DA213" s="56">
        <f t="shared" ca="1" si="514"/>
        <v>31.200000000000003</v>
      </c>
      <c r="DB213" s="56">
        <f t="shared" ca="1" si="514"/>
        <v>31.200000000000003</v>
      </c>
      <c r="DC213" s="56">
        <f t="shared" ca="1" si="514"/>
        <v>31.200000000000003</v>
      </c>
      <c r="DD213" s="56">
        <f t="shared" ca="1" si="514"/>
        <v>31.200000000000003</v>
      </c>
      <c r="DE213" s="56">
        <f t="shared" ca="1" si="514"/>
        <v>31.200000000000003</v>
      </c>
      <c r="DF213" s="56">
        <f t="shared" ca="1" si="514"/>
        <v>31.200000000000003</v>
      </c>
      <c r="DG213" s="56">
        <f t="shared" ca="1" si="515"/>
        <v>31.200000000000003</v>
      </c>
      <c r="DH213" s="56">
        <f t="shared" ca="1" si="515"/>
        <v>31.200000000000003</v>
      </c>
      <c r="DI213" s="56">
        <f t="shared" ca="1" si="515"/>
        <v>31.200000000000003</v>
      </c>
      <c r="DJ213" s="56">
        <f t="shared" ca="1" si="515"/>
        <v>31.200000000000003</v>
      </c>
      <c r="DK213" s="56">
        <f t="shared" ca="1" si="515"/>
        <v>31.200000000000003</v>
      </c>
      <c r="DL213" s="56">
        <f t="shared" ca="1" si="515"/>
        <v>31.200000000000003</v>
      </c>
      <c r="DM213" s="56">
        <f t="shared" ca="1" si="515"/>
        <v>31.200000000000003</v>
      </c>
      <c r="DN213" s="56">
        <f t="shared" ca="1" si="515"/>
        <v>31.200000000000003</v>
      </c>
      <c r="DO213" s="56">
        <f t="shared" ca="1" si="515"/>
        <v>31.200000000000003</v>
      </c>
      <c r="DP213" s="56">
        <f t="shared" ca="1" si="515"/>
        <v>31.200000000000003</v>
      </c>
      <c r="DQ213" s="56">
        <f t="shared" si="516"/>
        <v>0</v>
      </c>
      <c r="DR213" s="56">
        <f t="shared" si="516"/>
        <v>0</v>
      </c>
      <c r="DS213" s="56">
        <f t="shared" si="516"/>
        <v>0</v>
      </c>
      <c r="DT213" s="56">
        <f t="shared" si="516"/>
        <v>0</v>
      </c>
      <c r="DU213" s="56">
        <f t="shared" si="516"/>
        <v>0</v>
      </c>
      <c r="DV213" s="56">
        <f t="shared" si="516"/>
        <v>0</v>
      </c>
      <c r="DW213" s="56">
        <f t="shared" si="516"/>
        <v>0</v>
      </c>
      <c r="DX213" s="56">
        <f t="shared" si="516"/>
        <v>0</v>
      </c>
      <c r="DY213" s="56">
        <f t="shared" si="516"/>
        <v>0</v>
      </c>
      <c r="DZ213" s="56">
        <f t="shared" si="516"/>
        <v>0</v>
      </c>
      <c r="EA213" s="56">
        <f t="shared" si="517"/>
        <v>0</v>
      </c>
      <c r="EB213" s="56">
        <f t="shared" si="517"/>
        <v>0</v>
      </c>
      <c r="EC213" s="56">
        <f t="shared" si="517"/>
        <v>0</v>
      </c>
      <c r="ED213" s="56">
        <f t="shared" si="517"/>
        <v>0</v>
      </c>
      <c r="EE213" s="56">
        <f t="shared" si="517"/>
        <v>0</v>
      </c>
      <c r="EF213" s="56">
        <f t="shared" si="517"/>
        <v>0</v>
      </c>
      <c r="EG213" s="56">
        <f t="shared" si="517"/>
        <v>0</v>
      </c>
      <c r="EH213" s="56">
        <f t="shared" si="517"/>
        <v>0</v>
      </c>
      <c r="EI213" s="56">
        <f t="shared" si="517"/>
        <v>0</v>
      </c>
      <c r="EJ213" s="56">
        <f t="shared" si="517"/>
        <v>0</v>
      </c>
      <c r="EK213" s="56">
        <f t="shared" si="518"/>
        <v>0</v>
      </c>
      <c r="EL213" s="56">
        <f t="shared" si="518"/>
        <v>0</v>
      </c>
      <c r="EM213" s="56">
        <f t="shared" si="518"/>
        <v>0</v>
      </c>
      <c r="EN213" s="56">
        <f t="shared" si="518"/>
        <v>0</v>
      </c>
      <c r="EO213" s="56">
        <f t="shared" si="518"/>
        <v>0</v>
      </c>
      <c r="EP213" s="56">
        <f t="shared" si="518"/>
        <v>0</v>
      </c>
      <c r="EQ213" s="56">
        <f t="shared" si="518"/>
        <v>0</v>
      </c>
      <c r="ER213" s="56">
        <f t="shared" si="518"/>
        <v>0</v>
      </c>
      <c r="ES213" s="56">
        <f t="shared" si="518"/>
        <v>0</v>
      </c>
      <c r="ET213" s="56">
        <f t="shared" si="518"/>
        <v>0</v>
      </c>
      <c r="EU213" s="56">
        <f t="shared" si="519"/>
        <v>0</v>
      </c>
      <c r="EV213" s="56">
        <f t="shared" si="519"/>
        <v>0</v>
      </c>
      <c r="EW213" s="56">
        <f t="shared" si="519"/>
        <v>0</v>
      </c>
      <c r="EX213" s="56">
        <f t="shared" si="519"/>
        <v>0</v>
      </c>
      <c r="EY213" s="56">
        <f t="shared" si="519"/>
        <v>0</v>
      </c>
      <c r="EZ213" s="56">
        <f t="shared" si="519"/>
        <v>0</v>
      </c>
      <c r="FA213" s="56">
        <f t="shared" si="519"/>
        <v>0</v>
      </c>
      <c r="FB213" s="56">
        <f t="shared" si="519"/>
        <v>0</v>
      </c>
      <c r="FC213" s="56">
        <f t="shared" si="519"/>
        <v>0</v>
      </c>
      <c r="FD213" s="56">
        <f t="shared" si="519"/>
        <v>0</v>
      </c>
      <c r="FE213" s="56">
        <f t="shared" si="520"/>
        <v>0</v>
      </c>
      <c r="FF213" s="56">
        <f t="shared" si="520"/>
        <v>0</v>
      </c>
      <c r="FG213" s="56">
        <f t="shared" si="520"/>
        <v>0</v>
      </c>
      <c r="FH213" s="56">
        <f t="shared" si="520"/>
        <v>0</v>
      </c>
      <c r="FI213" s="56">
        <f t="shared" si="520"/>
        <v>0</v>
      </c>
      <c r="FJ213" s="56">
        <f t="shared" si="520"/>
        <v>0</v>
      </c>
      <c r="FK213" s="56">
        <f t="shared" si="520"/>
        <v>0</v>
      </c>
      <c r="FL213" s="56">
        <f t="shared" si="520"/>
        <v>0</v>
      </c>
      <c r="FM213" s="56">
        <f t="shared" si="520"/>
        <v>0</v>
      </c>
      <c r="FN213" s="56">
        <f t="shared" si="520"/>
        <v>0</v>
      </c>
      <c r="FO213" s="56">
        <f t="shared" si="521"/>
        <v>0</v>
      </c>
      <c r="FP213" s="56">
        <f t="shared" si="521"/>
        <v>0</v>
      </c>
      <c r="FQ213" s="56">
        <f t="shared" si="521"/>
        <v>0</v>
      </c>
      <c r="FR213" s="56">
        <f t="shared" si="521"/>
        <v>0</v>
      </c>
      <c r="FS213" s="56">
        <f t="shared" si="521"/>
        <v>0</v>
      </c>
      <c r="FT213" s="56">
        <f t="shared" si="521"/>
        <v>0</v>
      </c>
      <c r="FU213" s="56">
        <f t="shared" si="521"/>
        <v>0</v>
      </c>
      <c r="FV213" s="56">
        <f t="shared" si="521"/>
        <v>0</v>
      </c>
      <c r="FW213" s="56">
        <f t="shared" si="521"/>
        <v>0</v>
      </c>
      <c r="FX213" s="56">
        <f t="shared" si="521"/>
        <v>0</v>
      </c>
      <c r="FY213" s="56">
        <f t="shared" si="522"/>
        <v>0</v>
      </c>
      <c r="FZ213" s="56">
        <f t="shared" si="522"/>
        <v>0</v>
      </c>
      <c r="GA213" s="56">
        <f t="shared" si="522"/>
        <v>0</v>
      </c>
      <c r="GB213" s="56">
        <f t="shared" si="522"/>
        <v>0</v>
      </c>
      <c r="GC213" s="56">
        <f t="shared" si="522"/>
        <v>0</v>
      </c>
      <c r="GD213" s="56">
        <f t="shared" si="522"/>
        <v>0</v>
      </c>
      <c r="GE213" s="56">
        <f t="shared" si="522"/>
        <v>0</v>
      </c>
      <c r="GF213" s="56">
        <f t="shared" si="522"/>
        <v>0</v>
      </c>
      <c r="GG213" s="56">
        <f t="shared" si="522"/>
        <v>0</v>
      </c>
      <c r="GH213" s="56">
        <f t="shared" si="522"/>
        <v>0</v>
      </c>
      <c r="GI213" s="56">
        <f t="shared" si="523"/>
        <v>0</v>
      </c>
      <c r="GJ213" s="56">
        <f t="shared" si="523"/>
        <v>0</v>
      </c>
      <c r="GK213" s="56">
        <f t="shared" si="523"/>
        <v>0</v>
      </c>
      <c r="GL213" s="56">
        <f t="shared" si="523"/>
        <v>0</v>
      </c>
      <c r="GM213" s="56">
        <f t="shared" si="523"/>
        <v>0</v>
      </c>
      <c r="GN213" s="56">
        <f t="shared" si="523"/>
        <v>0</v>
      </c>
      <c r="GO213" s="56">
        <f t="shared" si="523"/>
        <v>0</v>
      </c>
      <c r="GP213" s="56">
        <f t="shared" si="523"/>
        <v>0</v>
      </c>
    </row>
    <row r="214" spans="1:198" x14ac:dyDescent="0.35">
      <c r="A214" s="55" t="str">
        <f t="shared" si="304"/>
        <v>Available in future &gt; Future deployments</v>
      </c>
      <c r="B214" s="55" t="s">
        <v>298</v>
      </c>
      <c r="K214" s="56">
        <f t="shared" ca="1" si="505"/>
        <v>32.399999999999991</v>
      </c>
      <c r="L214" s="56">
        <f t="shared" ca="1" si="505"/>
        <v>32.399999999999991</v>
      </c>
      <c r="M214" s="56">
        <f t="shared" ca="1" si="505"/>
        <v>32.399999999999991</v>
      </c>
      <c r="N214" s="56">
        <f t="shared" ca="1" si="505"/>
        <v>32.399999999999991</v>
      </c>
      <c r="O214" s="56">
        <f t="shared" ca="1" si="505"/>
        <v>32.399999999999991</v>
      </c>
      <c r="P214" s="56">
        <f t="shared" ca="1" si="505"/>
        <v>32.399999999999991</v>
      </c>
      <c r="Q214" s="56">
        <f t="shared" ca="1" si="505"/>
        <v>32.399999999999991</v>
      </c>
      <c r="R214" s="56">
        <f t="shared" ca="1" si="505"/>
        <v>32.399999999999991</v>
      </c>
      <c r="S214" s="56">
        <f t="shared" ca="1" si="505"/>
        <v>32.399999999999991</v>
      </c>
      <c r="T214" s="56">
        <f t="shared" ca="1" si="505"/>
        <v>32.399999999999991</v>
      </c>
      <c r="U214" s="56">
        <f t="shared" ca="1" si="506"/>
        <v>32.399359784881419</v>
      </c>
      <c r="V214" s="56">
        <f t="shared" ca="1" si="506"/>
        <v>32.397440505777013</v>
      </c>
      <c r="W214" s="56">
        <f t="shared" ca="1" si="506"/>
        <v>32.394246258525115</v>
      </c>
      <c r="X214" s="56">
        <f t="shared" ca="1" si="506"/>
        <v>32.389783859810336</v>
      </c>
      <c r="Y214" s="56">
        <f t="shared" ca="1" si="506"/>
        <v>32.384062832616408</v>
      </c>
      <c r="Z214" s="56">
        <f t="shared" ca="1" si="506"/>
        <v>32.377095385903687</v>
      </c>
      <c r="AA214" s="56">
        <f t="shared" ca="1" si="506"/>
        <v>32.368896388554575</v>
      </c>
      <c r="AB214" s="56">
        <f t="shared" ca="1" si="506"/>
        <v>32.359483337642608</v>
      </c>
      <c r="AC214" s="56">
        <f t="shared" ca="1" si="506"/>
        <v>32.348876321092803</v>
      </c>
      <c r="AD214" s="56">
        <f t="shared" ca="1" si="506"/>
        <v>32.337097974813034</v>
      </c>
      <c r="AE214" s="56">
        <f t="shared" ca="1" si="507"/>
        <v>32.324173434387816</v>
      </c>
      <c r="AF214" s="56">
        <f t="shared" ca="1" si="507"/>
        <v>32.310130281437765</v>
      </c>
      <c r="AG214" s="56">
        <f t="shared" ca="1" si="507"/>
        <v>32.294998484758977</v>
      </c>
      <c r="AH214" s="56">
        <f t="shared" ca="1" si="507"/>
        <v>32.278810336368139</v>
      </c>
      <c r="AI214" s="56">
        <f t="shared" ca="1" si="507"/>
        <v>32.26160038258972</v>
      </c>
      <c r="AJ214" s="56">
        <f t="shared" ca="1" si="507"/>
        <v>32.243405350332388</v>
      </c>
      <c r="AK214" s="56">
        <f t="shared" ca="1" si="507"/>
        <v>32.224264068711925</v>
      </c>
      <c r="AL214" s="56">
        <f t="shared" ca="1" si="507"/>
        <v>32.204217386187928</v>
      </c>
      <c r="AM214" s="56">
        <f t="shared" ca="1" si="507"/>
        <v>32.183308083391168</v>
      </c>
      <c r="AN214" s="56">
        <f t="shared" ca="1" si="507"/>
        <v>32.161580781827546</v>
      </c>
      <c r="AO214" s="56">
        <f t="shared" ca="1" si="508"/>
        <v>32.139081848653547</v>
      </c>
      <c r="AP214" s="56">
        <f t="shared" ca="1" si="508"/>
        <v>32.115859297726409</v>
      </c>
      <c r="AQ214" s="56">
        <f t="shared" ca="1" si="508"/>
        <v>32.091962687140111</v>
      </c>
      <c r="AR214" s="56">
        <f t="shared" ca="1" si="508"/>
        <v>32.067443013465919</v>
      </c>
      <c r="AS214" s="56">
        <f t="shared" ca="1" si="508"/>
        <v>32.042352602923131</v>
      </c>
      <c r="AT214" s="56">
        <f t="shared" ca="1" si="508"/>
        <v>32.016744999712287</v>
      </c>
      <c r="AU214" s="56">
        <f t="shared" ca="1" si="508"/>
        <v>31.990674851749137</v>
      </c>
      <c r="AV214" s="56">
        <f t="shared" ca="1" si="508"/>
        <v>31.964197794043248</v>
      </c>
      <c r="AW214" s="56">
        <f t="shared" ca="1" si="508"/>
        <v>31.937370329970079</v>
      </c>
      <c r="AX214" s="56">
        <f t="shared" ca="1" si="508"/>
        <v>31.910249710689939</v>
      </c>
      <c r="AY214" s="56">
        <f t="shared" ca="1" si="509"/>
        <v>31.882893812971126</v>
      </c>
      <c r="AZ214" s="56">
        <f t="shared" ca="1" si="509"/>
        <v>31.855361015677978</v>
      </c>
      <c r="BA214" s="56">
        <f t="shared" ca="1" si="509"/>
        <v>31.827710075187444</v>
      </c>
      <c r="BB214" s="56">
        <f t="shared" ca="1" si="509"/>
        <v>31.8</v>
      </c>
      <c r="BC214" s="56">
        <f t="shared" ca="1" si="509"/>
        <v>31.772289924812554</v>
      </c>
      <c r="BD214" s="56">
        <f t="shared" ca="1" si="509"/>
        <v>31.74463898432202</v>
      </c>
      <c r="BE214" s="56">
        <f t="shared" ca="1" si="509"/>
        <v>31.717106187028872</v>
      </c>
      <c r="BF214" s="56">
        <f t="shared" ca="1" si="509"/>
        <v>31.689750289310059</v>
      </c>
      <c r="BG214" s="56">
        <f t="shared" ca="1" si="509"/>
        <v>31.662629670029919</v>
      </c>
      <c r="BH214" s="56">
        <f t="shared" ca="1" si="509"/>
        <v>31.63580220595675</v>
      </c>
      <c r="BI214" s="56">
        <f t="shared" ca="1" si="510"/>
        <v>31.609325148250861</v>
      </c>
      <c r="BJ214" s="56">
        <f t="shared" ca="1" si="510"/>
        <v>31.583255000287707</v>
      </c>
      <c r="BK214" s="56">
        <f t="shared" ca="1" si="510"/>
        <v>31.557647397076863</v>
      </c>
      <c r="BL214" s="56">
        <f t="shared" ca="1" si="510"/>
        <v>31.532556986534079</v>
      </c>
      <c r="BM214" s="56">
        <f t="shared" ca="1" si="510"/>
        <v>31.508037312859887</v>
      </c>
      <c r="BN214" s="56">
        <f t="shared" ca="1" si="510"/>
        <v>31.484140702273589</v>
      </c>
      <c r="BO214" s="56">
        <f t="shared" ca="1" si="510"/>
        <v>31.460918151346448</v>
      </c>
      <c r="BP214" s="56">
        <f t="shared" ca="1" si="510"/>
        <v>31.438419218172449</v>
      </c>
      <c r="BQ214" s="56">
        <f t="shared" ca="1" si="510"/>
        <v>31.416691916608826</v>
      </c>
      <c r="BR214" s="56">
        <f t="shared" ca="1" si="510"/>
        <v>31.395782613812067</v>
      </c>
      <c r="BS214" s="56">
        <f t="shared" ca="1" si="511"/>
        <v>31.375735931288073</v>
      </c>
      <c r="BT214" s="56">
        <f t="shared" ca="1" si="511"/>
        <v>31.356594649667606</v>
      </c>
      <c r="BU214" s="56">
        <f t="shared" ca="1" si="511"/>
        <v>31.338399617410275</v>
      </c>
      <c r="BV214" s="56">
        <f t="shared" ca="1" si="511"/>
        <v>31.321189663631859</v>
      </c>
      <c r="BW214" s="56">
        <f t="shared" ca="1" si="511"/>
        <v>31.30500151524102</v>
      </c>
      <c r="BX214" s="56">
        <f t="shared" ca="1" si="511"/>
        <v>31.289869718562233</v>
      </c>
      <c r="BY214" s="56">
        <f t="shared" ca="1" si="511"/>
        <v>31.275826565612181</v>
      </c>
      <c r="BZ214" s="56">
        <f t="shared" ca="1" si="511"/>
        <v>31.262902025186964</v>
      </c>
      <c r="CA214" s="56">
        <f t="shared" ca="1" si="511"/>
        <v>31.251123678907192</v>
      </c>
      <c r="CB214" s="56">
        <f t="shared" ca="1" si="511"/>
        <v>31.24051666235739</v>
      </c>
      <c r="CC214" s="56">
        <f t="shared" ca="1" si="512"/>
        <v>31.231103611445423</v>
      </c>
      <c r="CD214" s="56">
        <f t="shared" ca="1" si="512"/>
        <v>31.222904614096311</v>
      </c>
      <c r="CE214" s="56">
        <f t="shared" ca="1" si="512"/>
        <v>31.215937167383586</v>
      </c>
      <c r="CF214" s="56">
        <f t="shared" ca="1" si="512"/>
        <v>31.210216140189662</v>
      </c>
      <c r="CG214" s="56">
        <f t="shared" ca="1" si="512"/>
        <v>31.205753741474879</v>
      </c>
      <c r="CH214" s="56">
        <f t="shared" ca="1" si="512"/>
        <v>31.202559494222982</v>
      </c>
      <c r="CI214" s="56">
        <f t="shared" ca="1" si="512"/>
        <v>31.200640215118579</v>
      </c>
      <c r="CJ214" s="56">
        <f t="shared" ca="1" si="512"/>
        <v>31.200000000000003</v>
      </c>
      <c r="CK214" s="56">
        <f t="shared" ca="1" si="512"/>
        <v>31.200000000000003</v>
      </c>
      <c r="CL214" s="56">
        <f t="shared" ca="1" si="512"/>
        <v>31.200000000000003</v>
      </c>
      <c r="CM214" s="56">
        <f t="shared" ca="1" si="513"/>
        <v>31.200000000000003</v>
      </c>
      <c r="CN214" s="56">
        <f t="shared" ca="1" si="513"/>
        <v>31.200000000000003</v>
      </c>
      <c r="CO214" s="56">
        <f t="shared" ca="1" si="513"/>
        <v>31.200000000000003</v>
      </c>
      <c r="CP214" s="56">
        <f t="shared" ca="1" si="513"/>
        <v>31.200000000000003</v>
      </c>
      <c r="CQ214" s="56">
        <f t="shared" ca="1" si="513"/>
        <v>31.200000000000003</v>
      </c>
      <c r="CR214" s="56">
        <f t="shared" ca="1" si="513"/>
        <v>31.200000000000003</v>
      </c>
      <c r="CS214" s="56">
        <f t="shared" ca="1" si="513"/>
        <v>31.200000000000003</v>
      </c>
      <c r="CT214" s="56">
        <f t="shared" ca="1" si="513"/>
        <v>31.200000000000003</v>
      </c>
      <c r="CU214" s="56">
        <f t="shared" ca="1" si="513"/>
        <v>31.200000000000003</v>
      </c>
      <c r="CV214" s="56">
        <f t="shared" ca="1" si="513"/>
        <v>31.200000000000003</v>
      </c>
      <c r="CW214" s="56">
        <f t="shared" ca="1" si="514"/>
        <v>31.200000000000003</v>
      </c>
      <c r="CX214" s="56">
        <f t="shared" ca="1" si="514"/>
        <v>31.200000000000003</v>
      </c>
      <c r="CY214" s="56">
        <f t="shared" ca="1" si="514"/>
        <v>31.200000000000003</v>
      </c>
      <c r="CZ214" s="56">
        <f t="shared" ca="1" si="514"/>
        <v>31.200000000000003</v>
      </c>
      <c r="DA214" s="56">
        <f t="shared" ca="1" si="514"/>
        <v>31.200000000000003</v>
      </c>
      <c r="DB214" s="56">
        <f t="shared" ca="1" si="514"/>
        <v>31.200000000000003</v>
      </c>
      <c r="DC214" s="56">
        <f t="shared" ca="1" si="514"/>
        <v>31.200000000000003</v>
      </c>
      <c r="DD214" s="56">
        <f t="shared" ca="1" si="514"/>
        <v>31.200000000000003</v>
      </c>
      <c r="DE214" s="56">
        <f t="shared" ca="1" si="514"/>
        <v>31.200000000000003</v>
      </c>
      <c r="DF214" s="56">
        <f t="shared" ca="1" si="514"/>
        <v>31.200000000000003</v>
      </c>
      <c r="DG214" s="56">
        <f t="shared" ca="1" si="515"/>
        <v>31.200000000000003</v>
      </c>
      <c r="DH214" s="56">
        <f t="shared" ca="1" si="515"/>
        <v>31.200000000000003</v>
      </c>
      <c r="DI214" s="56">
        <f t="shared" ca="1" si="515"/>
        <v>31.200000000000003</v>
      </c>
      <c r="DJ214" s="56">
        <f t="shared" ca="1" si="515"/>
        <v>31.200000000000003</v>
      </c>
      <c r="DK214" s="56">
        <f t="shared" ca="1" si="515"/>
        <v>31.200000000000003</v>
      </c>
      <c r="DL214" s="56">
        <f t="shared" ca="1" si="515"/>
        <v>31.200000000000003</v>
      </c>
      <c r="DM214" s="56">
        <f t="shared" ca="1" si="515"/>
        <v>31.200000000000003</v>
      </c>
      <c r="DN214" s="56">
        <f t="shared" ca="1" si="515"/>
        <v>31.200000000000003</v>
      </c>
      <c r="DO214" s="56">
        <f t="shared" ca="1" si="515"/>
        <v>31.200000000000003</v>
      </c>
      <c r="DP214" s="56">
        <f t="shared" ca="1" si="515"/>
        <v>31.200000000000003</v>
      </c>
      <c r="DQ214" s="56">
        <f t="shared" ca="1" si="516"/>
        <v>31.200000000000003</v>
      </c>
      <c r="DR214" s="56">
        <f t="shared" ca="1" si="516"/>
        <v>31.201318930217148</v>
      </c>
      <c r="DS214" s="56">
        <f t="shared" ca="1" si="516"/>
        <v>31.205272821573722</v>
      </c>
      <c r="DT214" s="56">
        <f t="shared" ca="1" si="516"/>
        <v>31.211852982558419</v>
      </c>
      <c r="DU214" s="56">
        <f t="shared" ca="1" si="516"/>
        <v>31.221044948549309</v>
      </c>
      <c r="DV214" s="56">
        <f t="shared" ca="1" si="516"/>
        <v>31.232828513610226</v>
      </c>
      <c r="DW214" s="56">
        <f t="shared" ca="1" si="516"/>
        <v>31.247177774907794</v>
      </c>
      <c r="DX214" s="56">
        <f t="shared" ca="1" si="516"/>
        <v>31.264061189651478</v>
      </c>
      <c r="DY214" s="56">
        <f t="shared" ca="1" si="516"/>
        <v>31.283441644431498</v>
      </c>
      <c r="DZ214" s="56">
        <f t="shared" ca="1" si="516"/>
        <v>31.305276536802126</v>
      </c>
      <c r="EA214" s="56">
        <f t="shared" ca="1" si="517"/>
        <v>31.329517868931138</v>
      </c>
      <c r="EB214" s="56">
        <f t="shared" ca="1" si="517"/>
        <v>31.356112353109452</v>
      </c>
      <c r="EC214" s="56">
        <f t="shared" ca="1" si="517"/>
        <v>31.385001528889084</v>
      </c>
      <c r="ED214" s="56">
        <f t="shared" ca="1" si="517"/>
        <v>31.416121891591892</v>
      </c>
      <c r="EE214" s="56">
        <f t="shared" ca="1" si="517"/>
        <v>31.449405031906647</v>
      </c>
      <c r="EF214" s="56">
        <f t="shared" ca="1" si="517"/>
        <v>31.484777786267543</v>
      </c>
      <c r="EG214" s="56">
        <f t="shared" ca="1" si="517"/>
        <v>31.522162397683598</v>
      </c>
      <c r="EH214" s="56">
        <f t="shared" ca="1" si="517"/>
        <v>31.561476686665394</v>
      </c>
      <c r="EI214" s="56">
        <f t="shared" ca="1" si="517"/>
        <v>31.602634231873417</v>
      </c>
      <c r="EJ214" s="56">
        <f t="shared" ca="1" si="517"/>
        <v>31.64554456009094</v>
      </c>
      <c r="EK214" s="56">
        <f t="shared" ca="1" si="518"/>
        <v>31.690113345103775</v>
      </c>
      <c r="EL214" s="56">
        <f t="shared" ca="1" si="518"/>
        <v>31.736242615049761</v>
      </c>
      <c r="EM214" s="56">
        <f t="shared" ca="1" si="518"/>
        <v>31.78383096778219</v>
      </c>
      <c r="EN214" s="56">
        <f t="shared" ca="1" si="518"/>
        <v>31.832773793773725</v>
      </c>
      <c r="EO214" s="56">
        <f t="shared" ca="1" si="518"/>
        <v>31.882963506070837</v>
      </c>
      <c r="EP214" s="56">
        <f t="shared" ca="1" si="518"/>
        <v>31.9342897767933</v>
      </c>
      <c r="EQ214" s="56">
        <f t="shared" ca="1" si="518"/>
        <v>31.986639779658802</v>
      </c>
      <c r="ER214" s="56">
        <f t="shared" ca="1" si="518"/>
        <v>32.039898437999597</v>
      </c>
      <c r="ES214" s="56">
        <f t="shared" ca="1" si="518"/>
        <v>32.09394867772599</v>
      </c>
      <c r="ET214" s="56">
        <f t="shared" ca="1" si="518"/>
        <v>32.148671684680629</v>
      </c>
      <c r="EU214" s="56">
        <f t="shared" ca="1" si="519"/>
        <v>32.203947165817766</v>
      </c>
      <c r="EV214" s="56">
        <f t="shared" ca="1" si="519"/>
        <v>32.259653613633503</v>
      </c>
      <c r="EW214" s="56">
        <f t="shared" ca="1" si="519"/>
        <v>32.315668573265654</v>
      </c>
      <c r="EX214" s="56">
        <f t="shared" ca="1" si="519"/>
        <v>32.371868911676088</v>
      </c>
      <c r="EY214" s="56">
        <f t="shared" ca="1" si="519"/>
        <v>32.428131088323916</v>
      </c>
      <c r="EZ214" s="56">
        <f t="shared" ca="1" si="519"/>
        <v>32.484331426734357</v>
      </c>
      <c r="FA214" s="56">
        <f t="shared" ca="1" si="519"/>
        <v>32.540346386366501</v>
      </c>
      <c r="FB214" s="56">
        <f t="shared" ca="1" si="519"/>
        <v>32.596052834182238</v>
      </c>
      <c r="FC214" s="56">
        <f t="shared" ca="1" si="519"/>
        <v>32.651328315319375</v>
      </c>
      <c r="FD214" s="56">
        <f t="shared" ca="1" si="519"/>
        <v>32.706051322274014</v>
      </c>
      <c r="FE214" s="56">
        <f t="shared" ca="1" si="520"/>
        <v>32.760101562000415</v>
      </c>
      <c r="FF214" s="56">
        <f t="shared" ca="1" si="520"/>
        <v>32.813360220341202</v>
      </c>
      <c r="FG214" s="56">
        <f t="shared" ca="1" si="520"/>
        <v>32.865710223206705</v>
      </c>
      <c r="FH214" s="56">
        <f t="shared" ca="1" si="520"/>
        <v>32.917036493929167</v>
      </c>
      <c r="FI214" s="56">
        <f t="shared" ca="1" si="520"/>
        <v>32.967226206226279</v>
      </c>
      <c r="FJ214" s="56">
        <f t="shared" ca="1" si="520"/>
        <v>33.016169032217817</v>
      </c>
      <c r="FK214" s="56">
        <f t="shared" ca="1" si="520"/>
        <v>33.063757384950243</v>
      </c>
      <c r="FL214" s="56">
        <f t="shared" ca="1" si="520"/>
        <v>33.109886654896229</v>
      </c>
      <c r="FM214" s="56">
        <f t="shared" ca="1" si="520"/>
        <v>33.154455439909064</v>
      </c>
      <c r="FN214" s="56">
        <f t="shared" ca="1" si="520"/>
        <v>33.197365768126588</v>
      </c>
      <c r="FO214" s="56">
        <f t="shared" ca="1" si="521"/>
        <v>33.238523313334611</v>
      </c>
      <c r="FP214" s="56">
        <f t="shared" ca="1" si="521"/>
        <v>33.27783760231641</v>
      </c>
      <c r="FQ214" s="56">
        <f t="shared" ca="1" si="521"/>
        <v>33.315222213732461</v>
      </c>
      <c r="FR214" s="56">
        <f t="shared" ca="1" si="521"/>
        <v>33.350594968093361</v>
      </c>
      <c r="FS214" s="56">
        <f t="shared" ca="1" si="521"/>
        <v>33.383878108408112</v>
      </c>
      <c r="FT214" s="56">
        <f t="shared" ca="1" si="521"/>
        <v>33.41499847111092</v>
      </c>
      <c r="FU214" s="56">
        <f t="shared" ca="1" si="521"/>
        <v>33.443887646890552</v>
      </c>
      <c r="FV214" s="56">
        <f t="shared" ca="1" si="521"/>
        <v>33.470482131068863</v>
      </c>
      <c r="FW214" s="56">
        <f t="shared" ca="1" si="521"/>
        <v>33.494723463197879</v>
      </c>
      <c r="FX214" s="56">
        <f t="shared" ca="1" si="521"/>
        <v>33.516558355568506</v>
      </c>
      <c r="FY214" s="56">
        <f t="shared" ca="1" si="522"/>
        <v>33.535938810348526</v>
      </c>
      <c r="FZ214" s="56">
        <f t="shared" ca="1" si="522"/>
        <v>33.552822225092214</v>
      </c>
      <c r="GA214" s="56">
        <f t="shared" ca="1" si="522"/>
        <v>33.567171486389782</v>
      </c>
      <c r="GB214" s="56">
        <f t="shared" ca="1" si="522"/>
        <v>33.578955051450691</v>
      </c>
      <c r="GC214" s="56">
        <f t="shared" ca="1" si="522"/>
        <v>33.588147017441585</v>
      </c>
      <c r="GD214" s="56">
        <f t="shared" ca="1" si="522"/>
        <v>33.594727178426282</v>
      </c>
      <c r="GE214" s="56">
        <f t="shared" ca="1" si="522"/>
        <v>33.598681069782856</v>
      </c>
      <c r="GF214" s="56">
        <f t="shared" ca="1" si="522"/>
        <v>33.6</v>
      </c>
      <c r="GG214" s="56">
        <f t="shared" ca="1" si="522"/>
        <v>33.6</v>
      </c>
      <c r="GH214" s="56">
        <f t="shared" ca="1" si="522"/>
        <v>33.6</v>
      </c>
      <c r="GI214" s="56">
        <f t="shared" ca="1" si="523"/>
        <v>33.6</v>
      </c>
      <c r="GJ214" s="56">
        <f t="shared" ca="1" si="523"/>
        <v>33.6</v>
      </c>
      <c r="GK214" s="56">
        <f t="shared" ca="1" si="523"/>
        <v>33.6</v>
      </c>
      <c r="GL214" s="56">
        <f t="shared" ca="1" si="523"/>
        <v>33.6</v>
      </c>
      <c r="GM214" s="56">
        <f t="shared" ca="1" si="523"/>
        <v>33.6</v>
      </c>
      <c r="GN214" s="56">
        <f t="shared" ca="1" si="523"/>
        <v>33.6</v>
      </c>
      <c r="GO214" s="56">
        <f t="shared" ca="1" si="523"/>
        <v>33.6</v>
      </c>
      <c r="GP214" s="56">
        <f t="shared" ca="1" si="523"/>
        <v>33.6</v>
      </c>
    </row>
    <row r="216" spans="1:198" x14ac:dyDescent="0.35">
      <c r="A216" s="53" t="s">
        <v>303</v>
      </c>
      <c r="B216" s="54"/>
      <c r="C216" s="54"/>
      <c r="D216" s="54"/>
      <c r="E216" s="54"/>
      <c r="F216" s="54"/>
      <c r="G216" s="54"/>
      <c r="H216" s="54"/>
      <c r="I216" s="54"/>
    </row>
    <row r="217" spans="1:198" x14ac:dyDescent="0.35">
      <c r="A217" s="55" t="str">
        <f t="shared" ref="A217:A239" si="524">A114</f>
        <v>USA &gt; available now</v>
      </c>
      <c r="B217" s="55" t="s">
        <v>297</v>
      </c>
      <c r="K217" s="56">
        <f t="shared" ref="K217:AP217" ca="1" si="525">IF(K167&gt;0,MAX(0,K142-0),0)</f>
        <v>0</v>
      </c>
      <c r="L217" s="56">
        <f t="shared" ca="1" si="525"/>
        <v>0</v>
      </c>
      <c r="M217" s="56">
        <f t="shared" ca="1" si="525"/>
        <v>0</v>
      </c>
      <c r="N217" s="56">
        <f t="shared" ca="1" si="525"/>
        <v>0</v>
      </c>
      <c r="O217" s="56">
        <f t="shared" ca="1" si="525"/>
        <v>0</v>
      </c>
      <c r="P217" s="56">
        <f t="shared" ca="1" si="525"/>
        <v>0</v>
      </c>
      <c r="Q217" s="56">
        <f t="shared" ca="1" si="525"/>
        <v>0</v>
      </c>
      <c r="R217" s="56">
        <f t="shared" ca="1" si="525"/>
        <v>0</v>
      </c>
      <c r="S217" s="56">
        <f t="shared" ca="1" si="525"/>
        <v>0</v>
      </c>
      <c r="T217" s="56">
        <f t="shared" ca="1" si="525"/>
        <v>0</v>
      </c>
      <c r="U217" s="56">
        <f t="shared" ca="1" si="525"/>
        <v>0</v>
      </c>
      <c r="V217" s="56">
        <f t="shared" ca="1" si="525"/>
        <v>0</v>
      </c>
      <c r="W217" s="56">
        <f t="shared" ca="1" si="525"/>
        <v>0</v>
      </c>
      <c r="X217" s="56">
        <f t="shared" ca="1" si="525"/>
        <v>0</v>
      </c>
      <c r="Y217" s="56">
        <f t="shared" ca="1" si="525"/>
        <v>0</v>
      </c>
      <c r="Z217" s="56">
        <f t="shared" ca="1" si="525"/>
        <v>0</v>
      </c>
      <c r="AA217" s="56">
        <f t="shared" ca="1" si="525"/>
        <v>0</v>
      </c>
      <c r="AB217" s="56">
        <f t="shared" ca="1" si="525"/>
        <v>0</v>
      </c>
      <c r="AC217" s="56">
        <f t="shared" ca="1" si="525"/>
        <v>0</v>
      </c>
      <c r="AD217" s="56">
        <f t="shared" ca="1" si="525"/>
        <v>0</v>
      </c>
      <c r="AE217" s="56">
        <f t="shared" ca="1" si="525"/>
        <v>0</v>
      </c>
      <c r="AF217" s="56">
        <f t="shared" ca="1" si="525"/>
        <v>0</v>
      </c>
      <c r="AG217" s="56">
        <f t="shared" ca="1" si="525"/>
        <v>0</v>
      </c>
      <c r="AH217" s="56">
        <f t="shared" ca="1" si="525"/>
        <v>0</v>
      </c>
      <c r="AI217" s="56">
        <f t="shared" ca="1" si="525"/>
        <v>0</v>
      </c>
      <c r="AJ217" s="56">
        <f t="shared" ca="1" si="525"/>
        <v>0</v>
      </c>
      <c r="AK217" s="56">
        <f t="shared" ca="1" si="525"/>
        <v>0</v>
      </c>
      <c r="AL217" s="56">
        <f t="shared" ca="1" si="525"/>
        <v>0</v>
      </c>
      <c r="AM217" s="56">
        <f t="shared" ca="1" si="525"/>
        <v>0</v>
      </c>
      <c r="AN217" s="56">
        <f t="shared" ca="1" si="525"/>
        <v>0</v>
      </c>
      <c r="AO217" s="56">
        <f t="shared" ca="1" si="525"/>
        <v>0</v>
      </c>
      <c r="AP217" s="56">
        <f t="shared" ca="1" si="525"/>
        <v>0</v>
      </c>
      <c r="AQ217" s="56">
        <f t="shared" ref="AQ217:BV217" ca="1" si="526">IF(AQ167&gt;0,MAX(0,AQ142-0),0)</f>
        <v>0</v>
      </c>
      <c r="AR217" s="56">
        <f t="shared" ca="1" si="526"/>
        <v>0</v>
      </c>
      <c r="AS217" s="56">
        <f t="shared" ca="1" si="526"/>
        <v>0</v>
      </c>
      <c r="AT217" s="56">
        <f t="shared" ca="1" si="526"/>
        <v>0</v>
      </c>
      <c r="AU217" s="56">
        <f t="shared" ca="1" si="526"/>
        <v>0</v>
      </c>
      <c r="AV217" s="56">
        <f t="shared" ca="1" si="526"/>
        <v>0</v>
      </c>
      <c r="AW217" s="56">
        <f t="shared" ca="1" si="526"/>
        <v>0</v>
      </c>
      <c r="AX217" s="56">
        <f t="shared" ca="1" si="526"/>
        <v>0</v>
      </c>
      <c r="AY217" s="56">
        <f t="shared" ca="1" si="526"/>
        <v>0</v>
      </c>
      <c r="AZ217" s="56">
        <f t="shared" ca="1" si="526"/>
        <v>0</v>
      </c>
      <c r="BA217" s="56">
        <f t="shared" ca="1" si="526"/>
        <v>0</v>
      </c>
      <c r="BB217" s="56">
        <f t="shared" ca="1" si="526"/>
        <v>0</v>
      </c>
      <c r="BC217" s="56">
        <f t="shared" ca="1" si="526"/>
        <v>0</v>
      </c>
      <c r="BD217" s="56">
        <f t="shared" ca="1" si="526"/>
        <v>0</v>
      </c>
      <c r="BE217" s="56">
        <f t="shared" ca="1" si="526"/>
        <v>0</v>
      </c>
      <c r="BF217" s="56">
        <f t="shared" ca="1" si="526"/>
        <v>0</v>
      </c>
      <c r="BG217" s="56">
        <f t="shared" ca="1" si="526"/>
        <v>0</v>
      </c>
      <c r="BH217" s="56">
        <f t="shared" ca="1" si="526"/>
        <v>0</v>
      </c>
      <c r="BI217" s="56">
        <f t="shared" ca="1" si="526"/>
        <v>0</v>
      </c>
      <c r="BJ217" s="56">
        <f t="shared" ca="1" si="526"/>
        <v>0</v>
      </c>
      <c r="BK217" s="56">
        <f t="shared" ca="1" si="526"/>
        <v>0</v>
      </c>
      <c r="BL217" s="56">
        <f t="shared" ca="1" si="526"/>
        <v>0</v>
      </c>
      <c r="BM217" s="56">
        <f t="shared" ca="1" si="526"/>
        <v>0</v>
      </c>
      <c r="BN217" s="56">
        <f t="shared" ca="1" si="526"/>
        <v>0</v>
      </c>
      <c r="BO217" s="56">
        <f t="shared" ca="1" si="526"/>
        <v>0</v>
      </c>
      <c r="BP217" s="56">
        <f t="shared" ca="1" si="526"/>
        <v>0</v>
      </c>
      <c r="BQ217" s="56">
        <f t="shared" ca="1" si="526"/>
        <v>0</v>
      </c>
      <c r="BR217" s="56">
        <f t="shared" ca="1" si="526"/>
        <v>0</v>
      </c>
      <c r="BS217" s="56">
        <f t="shared" ca="1" si="526"/>
        <v>0</v>
      </c>
      <c r="BT217" s="56">
        <f t="shared" ca="1" si="526"/>
        <v>0</v>
      </c>
      <c r="BU217" s="56">
        <f t="shared" ca="1" si="526"/>
        <v>0</v>
      </c>
      <c r="BV217" s="56">
        <f t="shared" ca="1" si="526"/>
        <v>0</v>
      </c>
      <c r="BW217" s="56">
        <f t="shared" ref="BW217:DB217" ca="1" si="527">IF(BW167&gt;0,MAX(0,BW142-0),0)</f>
        <v>0</v>
      </c>
      <c r="BX217" s="56">
        <f t="shared" ca="1" si="527"/>
        <v>0</v>
      </c>
      <c r="BY217" s="56">
        <f t="shared" ca="1" si="527"/>
        <v>0</v>
      </c>
      <c r="BZ217" s="56">
        <f t="shared" ca="1" si="527"/>
        <v>0</v>
      </c>
      <c r="CA217" s="56">
        <f t="shared" ca="1" si="527"/>
        <v>0</v>
      </c>
      <c r="CB217" s="56">
        <f t="shared" ca="1" si="527"/>
        <v>0</v>
      </c>
      <c r="CC217" s="56">
        <f t="shared" ca="1" si="527"/>
        <v>0</v>
      </c>
      <c r="CD217" s="56">
        <f t="shared" ca="1" si="527"/>
        <v>0</v>
      </c>
      <c r="CE217" s="56">
        <f t="shared" ca="1" si="527"/>
        <v>0</v>
      </c>
      <c r="CF217" s="56">
        <f t="shared" ca="1" si="527"/>
        <v>0</v>
      </c>
      <c r="CG217" s="56">
        <f t="shared" ca="1" si="527"/>
        <v>0</v>
      </c>
      <c r="CH217" s="56">
        <f t="shared" ca="1" si="527"/>
        <v>0</v>
      </c>
      <c r="CI217" s="56">
        <f t="shared" ca="1" si="527"/>
        <v>0</v>
      </c>
      <c r="CJ217" s="56">
        <f t="shared" ca="1" si="527"/>
        <v>0</v>
      </c>
      <c r="CK217" s="56">
        <f t="shared" si="527"/>
        <v>0</v>
      </c>
      <c r="CL217" s="56">
        <f t="shared" si="527"/>
        <v>0</v>
      </c>
      <c r="CM217" s="56">
        <f t="shared" si="527"/>
        <v>0</v>
      </c>
      <c r="CN217" s="56">
        <f t="shared" si="527"/>
        <v>0</v>
      </c>
      <c r="CO217" s="56">
        <f t="shared" si="527"/>
        <v>0</v>
      </c>
      <c r="CP217" s="56">
        <f t="shared" si="527"/>
        <v>0</v>
      </c>
      <c r="CQ217" s="56">
        <f t="shared" si="527"/>
        <v>0</v>
      </c>
      <c r="CR217" s="56">
        <f t="shared" si="527"/>
        <v>0</v>
      </c>
      <c r="CS217" s="56">
        <f t="shared" si="527"/>
        <v>0</v>
      </c>
      <c r="CT217" s="56">
        <f t="shared" si="527"/>
        <v>0</v>
      </c>
      <c r="CU217" s="56">
        <f t="shared" si="527"/>
        <v>0</v>
      </c>
      <c r="CV217" s="56">
        <f t="shared" si="527"/>
        <v>0</v>
      </c>
      <c r="CW217" s="56">
        <f t="shared" si="527"/>
        <v>0</v>
      </c>
      <c r="CX217" s="56">
        <f t="shared" si="527"/>
        <v>0</v>
      </c>
      <c r="CY217" s="56">
        <f t="shared" si="527"/>
        <v>0</v>
      </c>
      <c r="CZ217" s="56">
        <f t="shared" si="527"/>
        <v>0</v>
      </c>
      <c r="DA217" s="56">
        <f t="shared" si="527"/>
        <v>0</v>
      </c>
      <c r="DB217" s="56">
        <f t="shared" si="527"/>
        <v>0</v>
      </c>
      <c r="DC217" s="56">
        <f t="shared" ref="DC217:EH217" si="528">IF(DC167&gt;0,MAX(0,DC142-0),0)</f>
        <v>0</v>
      </c>
      <c r="DD217" s="56">
        <f t="shared" si="528"/>
        <v>0</v>
      </c>
      <c r="DE217" s="56">
        <f t="shared" si="528"/>
        <v>0</v>
      </c>
      <c r="DF217" s="56">
        <f t="shared" si="528"/>
        <v>0</v>
      </c>
      <c r="DG217" s="56">
        <f t="shared" si="528"/>
        <v>0</v>
      </c>
      <c r="DH217" s="56">
        <f t="shared" si="528"/>
        <v>0</v>
      </c>
      <c r="DI217" s="56">
        <f t="shared" si="528"/>
        <v>0</v>
      </c>
      <c r="DJ217" s="56">
        <f t="shared" si="528"/>
        <v>0</v>
      </c>
      <c r="DK217" s="56">
        <f t="shared" si="528"/>
        <v>0</v>
      </c>
      <c r="DL217" s="56">
        <f t="shared" si="528"/>
        <v>0</v>
      </c>
      <c r="DM217" s="56">
        <f t="shared" si="528"/>
        <v>0</v>
      </c>
      <c r="DN217" s="56">
        <f t="shared" si="528"/>
        <v>0</v>
      </c>
      <c r="DO217" s="56">
        <f t="shared" si="528"/>
        <v>0</v>
      </c>
      <c r="DP217" s="56">
        <f t="shared" si="528"/>
        <v>0</v>
      </c>
      <c r="DQ217" s="56">
        <f t="shared" si="528"/>
        <v>0</v>
      </c>
      <c r="DR217" s="56">
        <f t="shared" si="528"/>
        <v>0</v>
      </c>
      <c r="DS217" s="56">
        <f t="shared" si="528"/>
        <v>0</v>
      </c>
      <c r="DT217" s="56">
        <f t="shared" si="528"/>
        <v>0</v>
      </c>
      <c r="DU217" s="56">
        <f t="shared" si="528"/>
        <v>0</v>
      </c>
      <c r="DV217" s="56">
        <f t="shared" si="528"/>
        <v>0</v>
      </c>
      <c r="DW217" s="56">
        <f t="shared" si="528"/>
        <v>0</v>
      </c>
      <c r="DX217" s="56">
        <f t="shared" si="528"/>
        <v>0</v>
      </c>
      <c r="DY217" s="56">
        <f t="shared" si="528"/>
        <v>0</v>
      </c>
      <c r="DZ217" s="56">
        <f t="shared" si="528"/>
        <v>0</v>
      </c>
      <c r="EA217" s="56">
        <f t="shared" si="528"/>
        <v>0</v>
      </c>
      <c r="EB217" s="56">
        <f t="shared" si="528"/>
        <v>0</v>
      </c>
      <c r="EC217" s="56">
        <f t="shared" si="528"/>
        <v>0</v>
      </c>
      <c r="ED217" s="56">
        <f t="shared" si="528"/>
        <v>0</v>
      </c>
      <c r="EE217" s="56">
        <f t="shared" si="528"/>
        <v>0</v>
      </c>
      <c r="EF217" s="56">
        <f t="shared" si="528"/>
        <v>0</v>
      </c>
      <c r="EG217" s="56">
        <f t="shared" si="528"/>
        <v>0</v>
      </c>
      <c r="EH217" s="56">
        <f t="shared" si="528"/>
        <v>0</v>
      </c>
      <c r="EI217" s="56">
        <f t="shared" ref="EI217:FN217" si="529">IF(EI167&gt;0,MAX(0,EI142-0),0)</f>
        <v>0</v>
      </c>
      <c r="EJ217" s="56">
        <f t="shared" si="529"/>
        <v>0</v>
      </c>
      <c r="EK217" s="56">
        <f t="shared" si="529"/>
        <v>0</v>
      </c>
      <c r="EL217" s="56">
        <f t="shared" si="529"/>
        <v>0</v>
      </c>
      <c r="EM217" s="56">
        <f t="shared" si="529"/>
        <v>0</v>
      </c>
      <c r="EN217" s="56">
        <f t="shared" si="529"/>
        <v>0</v>
      </c>
      <c r="EO217" s="56">
        <f t="shared" si="529"/>
        <v>0</v>
      </c>
      <c r="EP217" s="56">
        <f t="shared" si="529"/>
        <v>0</v>
      </c>
      <c r="EQ217" s="56">
        <f t="shared" si="529"/>
        <v>0</v>
      </c>
      <c r="ER217" s="56">
        <f t="shared" si="529"/>
        <v>0</v>
      </c>
      <c r="ES217" s="56">
        <f t="shared" si="529"/>
        <v>0</v>
      </c>
      <c r="ET217" s="56">
        <f t="shared" si="529"/>
        <v>0</v>
      </c>
      <c r="EU217" s="56">
        <f t="shared" si="529"/>
        <v>0</v>
      </c>
      <c r="EV217" s="56">
        <f t="shared" si="529"/>
        <v>0</v>
      </c>
      <c r="EW217" s="56">
        <f t="shared" si="529"/>
        <v>0</v>
      </c>
      <c r="EX217" s="56">
        <f t="shared" si="529"/>
        <v>0</v>
      </c>
      <c r="EY217" s="56">
        <f t="shared" si="529"/>
        <v>0</v>
      </c>
      <c r="EZ217" s="56">
        <f t="shared" si="529"/>
        <v>0</v>
      </c>
      <c r="FA217" s="56">
        <f t="shared" si="529"/>
        <v>0</v>
      </c>
      <c r="FB217" s="56">
        <f t="shared" si="529"/>
        <v>0</v>
      </c>
      <c r="FC217" s="56">
        <f t="shared" si="529"/>
        <v>0</v>
      </c>
      <c r="FD217" s="56">
        <f t="shared" si="529"/>
        <v>0</v>
      </c>
      <c r="FE217" s="56">
        <f t="shared" si="529"/>
        <v>0</v>
      </c>
      <c r="FF217" s="56">
        <f t="shared" si="529"/>
        <v>0</v>
      </c>
      <c r="FG217" s="56">
        <f t="shared" si="529"/>
        <v>0</v>
      </c>
      <c r="FH217" s="56">
        <f t="shared" si="529"/>
        <v>0</v>
      </c>
      <c r="FI217" s="56">
        <f t="shared" si="529"/>
        <v>0</v>
      </c>
      <c r="FJ217" s="56">
        <f t="shared" si="529"/>
        <v>0</v>
      </c>
      <c r="FK217" s="56">
        <f t="shared" si="529"/>
        <v>0</v>
      </c>
      <c r="FL217" s="56">
        <f t="shared" si="529"/>
        <v>0</v>
      </c>
      <c r="FM217" s="56">
        <f t="shared" si="529"/>
        <v>0</v>
      </c>
      <c r="FN217" s="56">
        <f t="shared" si="529"/>
        <v>0</v>
      </c>
      <c r="FO217" s="56">
        <f t="shared" ref="FO217:GP217" si="530">IF(FO167&gt;0,MAX(0,FO142-0),0)</f>
        <v>0</v>
      </c>
      <c r="FP217" s="56">
        <f t="shared" si="530"/>
        <v>0</v>
      </c>
      <c r="FQ217" s="56">
        <f t="shared" si="530"/>
        <v>0</v>
      </c>
      <c r="FR217" s="56">
        <f t="shared" si="530"/>
        <v>0</v>
      </c>
      <c r="FS217" s="56">
        <f t="shared" si="530"/>
        <v>0</v>
      </c>
      <c r="FT217" s="56">
        <f t="shared" si="530"/>
        <v>0</v>
      </c>
      <c r="FU217" s="56">
        <f t="shared" si="530"/>
        <v>0</v>
      </c>
      <c r="FV217" s="56">
        <f t="shared" si="530"/>
        <v>0</v>
      </c>
      <c r="FW217" s="56">
        <f t="shared" si="530"/>
        <v>0</v>
      </c>
      <c r="FX217" s="56">
        <f t="shared" si="530"/>
        <v>0</v>
      </c>
      <c r="FY217" s="56">
        <f t="shared" si="530"/>
        <v>0</v>
      </c>
      <c r="FZ217" s="56">
        <f t="shared" si="530"/>
        <v>0</v>
      </c>
      <c r="GA217" s="56">
        <f t="shared" si="530"/>
        <v>0</v>
      </c>
      <c r="GB217" s="56">
        <f t="shared" si="530"/>
        <v>0</v>
      </c>
      <c r="GC217" s="56">
        <f t="shared" si="530"/>
        <v>0</v>
      </c>
      <c r="GD217" s="56">
        <f t="shared" si="530"/>
        <v>0</v>
      </c>
      <c r="GE217" s="56">
        <f t="shared" si="530"/>
        <v>0</v>
      </c>
      <c r="GF217" s="56">
        <f t="shared" si="530"/>
        <v>0</v>
      </c>
      <c r="GG217" s="56">
        <f t="shared" si="530"/>
        <v>0</v>
      </c>
      <c r="GH217" s="56">
        <f t="shared" si="530"/>
        <v>0</v>
      </c>
      <c r="GI217" s="56">
        <f t="shared" si="530"/>
        <v>0</v>
      </c>
      <c r="GJ217" s="56">
        <f t="shared" si="530"/>
        <v>0</v>
      </c>
      <c r="GK217" s="56">
        <f t="shared" si="530"/>
        <v>0</v>
      </c>
      <c r="GL217" s="56">
        <f t="shared" si="530"/>
        <v>0</v>
      </c>
      <c r="GM217" s="56">
        <f t="shared" si="530"/>
        <v>0</v>
      </c>
      <c r="GN217" s="56">
        <f t="shared" si="530"/>
        <v>0</v>
      </c>
      <c r="GO217" s="56">
        <f t="shared" si="530"/>
        <v>0</v>
      </c>
      <c r="GP217" s="56">
        <f t="shared" si="530"/>
        <v>0</v>
      </c>
    </row>
    <row r="218" spans="1:198" x14ac:dyDescent="0.35">
      <c r="A218" s="55" t="str">
        <f t="shared" si="524"/>
        <v>India &gt; available now</v>
      </c>
      <c r="B218" s="55" t="s">
        <v>297</v>
      </c>
      <c r="K218" s="56">
        <f t="shared" ref="K218:AP218" ca="1" si="531">IF(K168&gt;0,MAX(0,K143-K192),0)</f>
        <v>17.421052631578945</v>
      </c>
      <c r="L218" s="56">
        <f t="shared" ca="1" si="531"/>
        <v>17.421052631578945</v>
      </c>
      <c r="M218" s="56">
        <f t="shared" ca="1" si="531"/>
        <v>17.421052631578945</v>
      </c>
      <c r="N218" s="56">
        <f t="shared" ca="1" si="531"/>
        <v>17.421052631578945</v>
      </c>
      <c r="O218" s="56">
        <f t="shared" ca="1" si="531"/>
        <v>17.421052631578945</v>
      </c>
      <c r="P218" s="56">
        <f t="shared" ca="1" si="531"/>
        <v>17.421052631578945</v>
      </c>
      <c r="Q218" s="56">
        <f t="shared" ca="1" si="531"/>
        <v>17.421052631578945</v>
      </c>
      <c r="R218" s="56">
        <f t="shared" ca="1" si="531"/>
        <v>17.421052631578945</v>
      </c>
      <c r="S218" s="56">
        <f t="shared" ca="1" si="531"/>
        <v>17.421052631578945</v>
      </c>
      <c r="T218" s="56">
        <f t="shared" ca="1" si="531"/>
        <v>17.421052631578945</v>
      </c>
      <c r="U218" s="56">
        <f t="shared" ca="1" si="531"/>
        <v>17.4117582805154</v>
      </c>
      <c r="V218" s="56">
        <f t="shared" ca="1" si="531"/>
        <v>17.383895061938325</v>
      </c>
      <c r="W218" s="56">
        <f t="shared" ca="1" si="531"/>
        <v>17.337522437360338</v>
      </c>
      <c r="X218" s="56">
        <f t="shared" ca="1" si="531"/>
        <v>17.272739368299248</v>
      </c>
      <c r="Y218" s="56">
        <f t="shared" ca="1" si="531"/>
        <v>17.189684105089192</v>
      </c>
      <c r="Z218" s="56">
        <f t="shared" ca="1" si="531"/>
        <v>17.088533891847447</v>
      </c>
      <c r="AA218" s="56">
        <f t="shared" ca="1" si="531"/>
        <v>16.96950458822657</v>
      </c>
      <c r="AB218" s="56">
        <f t="shared" ca="1" si="531"/>
        <v>16.832850208758991</v>
      </c>
      <c r="AC218" s="56">
        <f t="shared" ca="1" si="531"/>
        <v>16.678862380777232</v>
      </c>
      <c r="AD218" s="56">
        <f t="shared" ca="1" si="531"/>
        <v>16.507869722066463</v>
      </c>
      <c r="AE218" s="56">
        <f t="shared" ca="1" si="531"/>
        <v>16.320237139577586</v>
      </c>
      <c r="AF218" s="56">
        <f t="shared" ca="1" si="531"/>
        <v>16.116365050697429</v>
      </c>
      <c r="AG218" s="56">
        <f t="shared" ca="1" si="531"/>
        <v>15.89668852873784</v>
      </c>
      <c r="AH218" s="56">
        <f t="shared" ca="1" si="531"/>
        <v>15.661676374467348</v>
      </c>
      <c r="AI218" s="56">
        <f t="shared" ca="1" si="531"/>
        <v>15.411830115666653</v>
      </c>
      <c r="AJ218" s="56">
        <f t="shared" ca="1" si="531"/>
        <v>15.147682936843108</v>
      </c>
      <c r="AK218" s="56">
        <f t="shared" ca="1" si="531"/>
        <v>14.869798541388082</v>
      </c>
      <c r="AL218" s="56">
        <f t="shared" ca="1" si="531"/>
        <v>14.578769948605537</v>
      </c>
      <c r="AM218" s="56">
        <f t="shared" ca="1" si="531"/>
        <v>14.275218228178925</v>
      </c>
      <c r="AN218" s="56">
        <f t="shared" ca="1" si="531"/>
        <v>13.959791174777205</v>
      </c>
      <c r="AO218" s="56">
        <f t="shared" ca="1" si="531"/>
        <v>13.633161925628364</v>
      </c>
      <c r="AP218" s="56">
        <f t="shared" ca="1" si="531"/>
        <v>13.29602752401065</v>
      </c>
      <c r="AQ218" s="56">
        <f t="shared" ref="AQ218:BV218" ca="1" si="532">IF(AQ168&gt;0,MAX(0,AQ143-AQ192),0)</f>
        <v>12.949107431727089</v>
      </c>
      <c r="AR218" s="56">
        <f t="shared" ca="1" si="532"/>
        <v>12.593141993737742</v>
      </c>
      <c r="AS218" s="56">
        <f t="shared" ca="1" si="532"/>
        <v>12.22889085822624</v>
      </c>
      <c r="AT218" s="56">
        <f t="shared" ca="1" si="532"/>
        <v>11.857131355472305</v>
      </c>
      <c r="AU218" s="56">
        <f t="shared" ca="1" si="532"/>
        <v>11.478656838989721</v>
      </c>
      <c r="AV218" s="56">
        <f t="shared" ca="1" si="532"/>
        <v>11.094274992469984</v>
      </c>
      <c r="AW218" s="56">
        <f t="shared" ca="1" si="532"/>
        <v>10.704806106144588</v>
      </c>
      <c r="AX218" s="56">
        <f t="shared" ca="1" si="532"/>
        <v>10.311081326244338</v>
      </c>
      <c r="AY218" s="56">
        <f t="shared" ca="1" si="532"/>
        <v>9.9139408812913956</v>
      </c>
      <c r="AZ218" s="56">
        <f t="shared" ca="1" si="532"/>
        <v>9.5142322890092856</v>
      </c>
      <c r="BA218" s="56">
        <f t="shared" ca="1" si="532"/>
        <v>9.1128085476773606</v>
      </c>
      <c r="BB218" s="56">
        <f t="shared" ca="1" si="532"/>
        <v>8.7105263157894726</v>
      </c>
      <c r="BC218" s="56">
        <f t="shared" ca="1" si="532"/>
        <v>8.3082440839015845</v>
      </c>
      <c r="BD218" s="56">
        <f t="shared" ca="1" si="532"/>
        <v>7.9068203425696586</v>
      </c>
      <c r="BE218" s="56">
        <f t="shared" ca="1" si="532"/>
        <v>7.5071117502875522</v>
      </c>
      <c r="BF218" s="56">
        <f t="shared" ca="1" si="532"/>
        <v>7.1099713053346081</v>
      </c>
      <c r="BG218" s="56">
        <f t="shared" ca="1" si="532"/>
        <v>6.7162465254343582</v>
      </c>
      <c r="BH218" s="56">
        <f t="shared" ca="1" si="532"/>
        <v>6.3267776391089603</v>
      </c>
      <c r="BI218" s="56">
        <f t="shared" ca="1" si="532"/>
        <v>5.942395792589223</v>
      </c>
      <c r="BJ218" s="56">
        <f t="shared" ca="1" si="532"/>
        <v>5.5639212761066394</v>
      </c>
      <c r="BK218" s="56">
        <f t="shared" ca="1" si="532"/>
        <v>5.1921617733527041</v>
      </c>
      <c r="BL218" s="56">
        <f t="shared" ca="1" si="532"/>
        <v>4.8279106378412058</v>
      </c>
      <c r="BM218" s="56">
        <f t="shared" ca="1" si="532"/>
        <v>4.4719451998518567</v>
      </c>
      <c r="BN218" s="56">
        <f t="shared" ca="1" si="532"/>
        <v>4.1250251075682938</v>
      </c>
      <c r="BO218" s="56">
        <f t="shared" ca="1" si="532"/>
        <v>3.7878907059505798</v>
      </c>
      <c r="BP218" s="56">
        <f t="shared" ca="1" si="532"/>
        <v>3.461261456801739</v>
      </c>
      <c r="BQ218" s="56">
        <f t="shared" ca="1" si="532"/>
        <v>3.1458344034000207</v>
      </c>
      <c r="BR218" s="56">
        <f t="shared" ca="1" si="532"/>
        <v>2.8422826829734076</v>
      </c>
      <c r="BS218" s="56">
        <f t="shared" ca="1" si="532"/>
        <v>2.551254090190862</v>
      </c>
      <c r="BT218" s="56">
        <f t="shared" ca="1" si="532"/>
        <v>2.2733696947358366</v>
      </c>
      <c r="BU218" s="56">
        <f t="shared" ca="1" si="532"/>
        <v>2.0092225159122892</v>
      </c>
      <c r="BV218" s="56">
        <f t="shared" ca="1" si="532"/>
        <v>1.7593762571115965</v>
      </c>
      <c r="BW218" s="56">
        <f t="shared" ref="BW218:DB218" ca="1" si="533">IF(BW168&gt;0,MAX(0,BW143-BW192),0)</f>
        <v>1.5243641028411039</v>
      </c>
      <c r="BX218" s="56">
        <f t="shared" ca="1" si="533"/>
        <v>1.3046875808815193</v>
      </c>
      <c r="BY218" s="56">
        <f t="shared" ca="1" si="533"/>
        <v>1.1008154920013586</v>
      </c>
      <c r="BZ218" s="56">
        <f t="shared" ca="1" si="533"/>
        <v>0.91318290951248482</v>
      </c>
      <c r="CA218" s="56">
        <f t="shared" ca="1" si="533"/>
        <v>0.74219025080171175</v>
      </c>
      <c r="CB218" s="56">
        <f t="shared" ca="1" si="533"/>
        <v>0.58820242281995316</v>
      </c>
      <c r="CC218" s="56">
        <f t="shared" ca="1" si="533"/>
        <v>0.45154804335237397</v>
      </c>
      <c r="CD218" s="56">
        <f t="shared" ca="1" si="533"/>
        <v>0.33251873973149682</v>
      </c>
      <c r="CE218" s="56">
        <f t="shared" ca="1" si="533"/>
        <v>0.23136852648975204</v>
      </c>
      <c r="CF218" s="56">
        <f t="shared" ca="1" si="533"/>
        <v>0.14831326327969574</v>
      </c>
      <c r="CG218" s="56">
        <f t="shared" ca="1" si="533"/>
        <v>8.3530194218606191E-2</v>
      </c>
      <c r="CH218" s="56">
        <f t="shared" ca="1" si="533"/>
        <v>3.7157569640618782E-2</v>
      </c>
      <c r="CI218" s="56">
        <f t="shared" ca="1" si="533"/>
        <v>9.2943510635441484E-3</v>
      </c>
      <c r="CJ218" s="56">
        <f t="shared" ca="1" si="533"/>
        <v>0</v>
      </c>
      <c r="CK218" s="56">
        <f t="shared" si="533"/>
        <v>0</v>
      </c>
      <c r="CL218" s="56">
        <f t="shared" si="533"/>
        <v>0</v>
      </c>
      <c r="CM218" s="56">
        <f t="shared" si="533"/>
        <v>0</v>
      </c>
      <c r="CN218" s="56">
        <f t="shared" si="533"/>
        <v>0</v>
      </c>
      <c r="CO218" s="56">
        <f t="shared" si="533"/>
        <v>0</v>
      </c>
      <c r="CP218" s="56">
        <f t="shared" si="533"/>
        <v>0</v>
      </c>
      <c r="CQ218" s="56">
        <f t="shared" si="533"/>
        <v>0</v>
      </c>
      <c r="CR218" s="56">
        <f t="shared" si="533"/>
        <v>0</v>
      </c>
      <c r="CS218" s="56">
        <f t="shared" si="533"/>
        <v>0</v>
      </c>
      <c r="CT218" s="56">
        <f t="shared" si="533"/>
        <v>0</v>
      </c>
      <c r="CU218" s="56">
        <f t="shared" si="533"/>
        <v>0</v>
      </c>
      <c r="CV218" s="56">
        <f t="shared" si="533"/>
        <v>0</v>
      </c>
      <c r="CW218" s="56">
        <f t="shared" si="533"/>
        <v>0</v>
      </c>
      <c r="CX218" s="56">
        <f t="shared" si="533"/>
        <v>0</v>
      </c>
      <c r="CY218" s="56">
        <f t="shared" si="533"/>
        <v>0</v>
      </c>
      <c r="CZ218" s="56">
        <f t="shared" si="533"/>
        <v>0</v>
      </c>
      <c r="DA218" s="56">
        <f t="shared" si="533"/>
        <v>0</v>
      </c>
      <c r="DB218" s="56">
        <f t="shared" si="533"/>
        <v>0</v>
      </c>
      <c r="DC218" s="56">
        <f t="shared" ref="DC218:EH218" si="534">IF(DC168&gt;0,MAX(0,DC143-DC192),0)</f>
        <v>0</v>
      </c>
      <c r="DD218" s="56">
        <f t="shared" si="534"/>
        <v>0</v>
      </c>
      <c r="DE218" s="56">
        <f t="shared" si="534"/>
        <v>0</v>
      </c>
      <c r="DF218" s="56">
        <f t="shared" si="534"/>
        <v>0</v>
      </c>
      <c r="DG218" s="56">
        <f t="shared" si="534"/>
        <v>0</v>
      </c>
      <c r="DH218" s="56">
        <f t="shared" si="534"/>
        <v>0</v>
      </c>
      <c r="DI218" s="56">
        <f t="shared" si="534"/>
        <v>0</v>
      </c>
      <c r="DJ218" s="56">
        <f t="shared" si="534"/>
        <v>0</v>
      </c>
      <c r="DK218" s="56">
        <f t="shared" si="534"/>
        <v>0</v>
      </c>
      <c r="DL218" s="56">
        <f t="shared" si="534"/>
        <v>0</v>
      </c>
      <c r="DM218" s="56">
        <f t="shared" si="534"/>
        <v>0</v>
      </c>
      <c r="DN218" s="56">
        <f t="shared" si="534"/>
        <v>0</v>
      </c>
      <c r="DO218" s="56">
        <f t="shared" si="534"/>
        <v>0</v>
      </c>
      <c r="DP218" s="56">
        <f t="shared" si="534"/>
        <v>0</v>
      </c>
      <c r="DQ218" s="56">
        <f t="shared" si="534"/>
        <v>0</v>
      </c>
      <c r="DR218" s="56">
        <f t="shared" si="534"/>
        <v>0</v>
      </c>
      <c r="DS218" s="56">
        <f t="shared" si="534"/>
        <v>0</v>
      </c>
      <c r="DT218" s="56">
        <f t="shared" si="534"/>
        <v>0</v>
      </c>
      <c r="DU218" s="56">
        <f t="shared" si="534"/>
        <v>0</v>
      </c>
      <c r="DV218" s="56">
        <f t="shared" si="534"/>
        <v>0</v>
      </c>
      <c r="DW218" s="56">
        <f t="shared" si="534"/>
        <v>0</v>
      </c>
      <c r="DX218" s="56">
        <f t="shared" si="534"/>
        <v>0</v>
      </c>
      <c r="DY218" s="56">
        <f t="shared" si="534"/>
        <v>0</v>
      </c>
      <c r="DZ218" s="56">
        <f t="shared" si="534"/>
        <v>0</v>
      </c>
      <c r="EA218" s="56">
        <f t="shared" si="534"/>
        <v>0</v>
      </c>
      <c r="EB218" s="56">
        <f t="shared" si="534"/>
        <v>0</v>
      </c>
      <c r="EC218" s="56">
        <f t="shared" si="534"/>
        <v>0</v>
      </c>
      <c r="ED218" s="56">
        <f t="shared" si="534"/>
        <v>0</v>
      </c>
      <c r="EE218" s="56">
        <f t="shared" si="534"/>
        <v>0</v>
      </c>
      <c r="EF218" s="56">
        <f t="shared" si="534"/>
        <v>0</v>
      </c>
      <c r="EG218" s="56">
        <f t="shared" si="534"/>
        <v>0</v>
      </c>
      <c r="EH218" s="56">
        <f t="shared" si="534"/>
        <v>0</v>
      </c>
      <c r="EI218" s="56">
        <f t="shared" ref="EI218:FN218" si="535">IF(EI168&gt;0,MAX(0,EI143-EI192),0)</f>
        <v>0</v>
      </c>
      <c r="EJ218" s="56">
        <f t="shared" si="535"/>
        <v>0</v>
      </c>
      <c r="EK218" s="56">
        <f t="shared" si="535"/>
        <v>0</v>
      </c>
      <c r="EL218" s="56">
        <f t="shared" si="535"/>
        <v>0</v>
      </c>
      <c r="EM218" s="56">
        <f t="shared" si="535"/>
        <v>0</v>
      </c>
      <c r="EN218" s="56">
        <f t="shared" si="535"/>
        <v>0</v>
      </c>
      <c r="EO218" s="56">
        <f t="shared" si="535"/>
        <v>0</v>
      </c>
      <c r="EP218" s="56">
        <f t="shared" si="535"/>
        <v>0</v>
      </c>
      <c r="EQ218" s="56">
        <f t="shared" si="535"/>
        <v>0</v>
      </c>
      <c r="ER218" s="56">
        <f t="shared" si="535"/>
        <v>0</v>
      </c>
      <c r="ES218" s="56">
        <f t="shared" si="535"/>
        <v>0</v>
      </c>
      <c r="ET218" s="56">
        <f t="shared" si="535"/>
        <v>0</v>
      </c>
      <c r="EU218" s="56">
        <f t="shared" si="535"/>
        <v>0</v>
      </c>
      <c r="EV218" s="56">
        <f t="shared" si="535"/>
        <v>0</v>
      </c>
      <c r="EW218" s="56">
        <f t="shared" si="535"/>
        <v>0</v>
      </c>
      <c r="EX218" s="56">
        <f t="shared" si="535"/>
        <v>0</v>
      </c>
      <c r="EY218" s="56">
        <f t="shared" si="535"/>
        <v>0</v>
      </c>
      <c r="EZ218" s="56">
        <f t="shared" si="535"/>
        <v>0</v>
      </c>
      <c r="FA218" s="56">
        <f t="shared" si="535"/>
        <v>0</v>
      </c>
      <c r="FB218" s="56">
        <f t="shared" si="535"/>
        <v>0</v>
      </c>
      <c r="FC218" s="56">
        <f t="shared" si="535"/>
        <v>0</v>
      </c>
      <c r="FD218" s="56">
        <f t="shared" si="535"/>
        <v>0</v>
      </c>
      <c r="FE218" s="56">
        <f t="shared" si="535"/>
        <v>0</v>
      </c>
      <c r="FF218" s="56">
        <f t="shared" si="535"/>
        <v>0</v>
      </c>
      <c r="FG218" s="56">
        <f t="shared" si="535"/>
        <v>0</v>
      </c>
      <c r="FH218" s="56">
        <f t="shared" si="535"/>
        <v>0</v>
      </c>
      <c r="FI218" s="56">
        <f t="shared" si="535"/>
        <v>0</v>
      </c>
      <c r="FJ218" s="56">
        <f t="shared" si="535"/>
        <v>0</v>
      </c>
      <c r="FK218" s="56">
        <f t="shared" si="535"/>
        <v>0</v>
      </c>
      <c r="FL218" s="56">
        <f t="shared" si="535"/>
        <v>0</v>
      </c>
      <c r="FM218" s="56">
        <f t="shared" si="535"/>
        <v>0</v>
      </c>
      <c r="FN218" s="56">
        <f t="shared" si="535"/>
        <v>0</v>
      </c>
      <c r="FO218" s="56">
        <f t="shared" ref="FO218:GP218" si="536">IF(FO168&gt;0,MAX(0,FO143-FO192),0)</f>
        <v>0</v>
      </c>
      <c r="FP218" s="56">
        <f t="shared" si="536"/>
        <v>0</v>
      </c>
      <c r="FQ218" s="56">
        <f t="shared" si="536"/>
        <v>0</v>
      </c>
      <c r="FR218" s="56">
        <f t="shared" si="536"/>
        <v>0</v>
      </c>
      <c r="FS218" s="56">
        <f t="shared" si="536"/>
        <v>0</v>
      </c>
      <c r="FT218" s="56">
        <f t="shared" si="536"/>
        <v>0</v>
      </c>
      <c r="FU218" s="56">
        <f t="shared" si="536"/>
        <v>0</v>
      </c>
      <c r="FV218" s="56">
        <f t="shared" si="536"/>
        <v>0</v>
      </c>
      <c r="FW218" s="56">
        <f t="shared" si="536"/>
        <v>0</v>
      </c>
      <c r="FX218" s="56">
        <f t="shared" si="536"/>
        <v>0</v>
      </c>
      <c r="FY218" s="56">
        <f t="shared" si="536"/>
        <v>0</v>
      </c>
      <c r="FZ218" s="56">
        <f t="shared" si="536"/>
        <v>0</v>
      </c>
      <c r="GA218" s="56">
        <f t="shared" si="536"/>
        <v>0</v>
      </c>
      <c r="GB218" s="56">
        <f t="shared" si="536"/>
        <v>0</v>
      </c>
      <c r="GC218" s="56">
        <f t="shared" si="536"/>
        <v>0</v>
      </c>
      <c r="GD218" s="56">
        <f t="shared" si="536"/>
        <v>0</v>
      </c>
      <c r="GE218" s="56">
        <f t="shared" si="536"/>
        <v>0</v>
      </c>
      <c r="GF218" s="56">
        <f t="shared" si="536"/>
        <v>0</v>
      </c>
      <c r="GG218" s="56">
        <f t="shared" si="536"/>
        <v>0</v>
      </c>
      <c r="GH218" s="56">
        <f t="shared" si="536"/>
        <v>0</v>
      </c>
      <c r="GI218" s="56">
        <f t="shared" si="536"/>
        <v>0</v>
      </c>
      <c r="GJ218" s="56">
        <f t="shared" si="536"/>
        <v>0</v>
      </c>
      <c r="GK218" s="56">
        <f t="shared" si="536"/>
        <v>0</v>
      </c>
      <c r="GL218" s="56">
        <f t="shared" si="536"/>
        <v>0</v>
      </c>
      <c r="GM218" s="56">
        <f t="shared" si="536"/>
        <v>0</v>
      </c>
      <c r="GN218" s="56">
        <f t="shared" si="536"/>
        <v>0</v>
      </c>
      <c r="GO218" s="56">
        <f t="shared" si="536"/>
        <v>0</v>
      </c>
      <c r="GP218" s="56">
        <f t="shared" si="536"/>
        <v>0</v>
      </c>
    </row>
    <row r="219" spans="1:198" x14ac:dyDescent="0.35">
      <c r="A219" s="55" t="str">
        <f t="shared" si="524"/>
        <v>UK &gt; available now</v>
      </c>
      <c r="B219" s="55" t="s">
        <v>297</v>
      </c>
      <c r="K219" s="56">
        <f t="shared" ref="K219:AP219" ca="1" si="537">IF(K169&gt;0,MAX(0,K144-K193),0)</f>
        <v>0.39999999999999858</v>
      </c>
      <c r="L219" s="56">
        <f t="shared" ca="1" si="537"/>
        <v>0.39999999999999858</v>
      </c>
      <c r="M219" s="56">
        <f t="shared" ca="1" si="537"/>
        <v>0.39999999999999858</v>
      </c>
      <c r="N219" s="56">
        <f t="shared" ca="1" si="537"/>
        <v>0.39999999999999858</v>
      </c>
      <c r="O219" s="56">
        <f t="shared" ca="1" si="537"/>
        <v>0.39999999999999858</v>
      </c>
      <c r="P219" s="56">
        <f t="shared" ca="1" si="537"/>
        <v>0.39999999999999858</v>
      </c>
      <c r="Q219" s="56">
        <f t="shared" ca="1" si="537"/>
        <v>0.39999999999999858</v>
      </c>
      <c r="R219" s="56">
        <f t="shared" ca="1" si="537"/>
        <v>0.39999999999999858</v>
      </c>
      <c r="S219" s="56">
        <f t="shared" ca="1" si="537"/>
        <v>0.39999999999999858</v>
      </c>
      <c r="T219" s="56">
        <f t="shared" ca="1" si="537"/>
        <v>0.39999999999999858</v>
      </c>
      <c r="U219" s="56">
        <f t="shared" ca="1" si="537"/>
        <v>0.39978659496047086</v>
      </c>
      <c r="V219" s="56">
        <f t="shared" ca="1" si="537"/>
        <v>0.3991468352590033</v>
      </c>
      <c r="W219" s="56">
        <f t="shared" ca="1" si="537"/>
        <v>0.39808208617504093</v>
      </c>
      <c r="X219" s="56">
        <f t="shared" ca="1" si="537"/>
        <v>0.3965946199367778</v>
      </c>
      <c r="Y219" s="56">
        <f t="shared" ca="1" si="537"/>
        <v>0.39468761087213622</v>
      </c>
      <c r="Z219" s="56">
        <f t="shared" ca="1" si="537"/>
        <v>0.39236512863456241</v>
      </c>
      <c r="AA219" s="56">
        <f t="shared" ca="1" si="537"/>
        <v>0.3896321295181906</v>
      </c>
      <c r="AB219" s="56">
        <f t="shared" ca="1" si="537"/>
        <v>0.38649444588087079</v>
      </c>
      <c r="AC219" s="56">
        <f t="shared" ca="1" si="537"/>
        <v>0.38295877369760234</v>
      </c>
      <c r="AD219" s="56">
        <f t="shared" ca="1" si="537"/>
        <v>0.37903265827101151</v>
      </c>
      <c r="AE219" s="56">
        <f t="shared" ca="1" si="537"/>
        <v>0.37472447812927356</v>
      </c>
      <c r="AF219" s="56">
        <f t="shared" ca="1" si="537"/>
        <v>0.37004342714591942</v>
      </c>
      <c r="AG219" s="56">
        <f t="shared" ca="1" si="537"/>
        <v>0.36499949491966177</v>
      </c>
      <c r="AH219" s="56">
        <f t="shared" ca="1" si="537"/>
        <v>0.35960344545604883</v>
      </c>
      <c r="AI219" s="56">
        <f t="shared" ca="1" si="537"/>
        <v>0.35386679419657341</v>
      </c>
      <c r="AJ219" s="56">
        <f t="shared" ca="1" si="537"/>
        <v>0.3478017834441296</v>
      </c>
      <c r="AK219" s="56">
        <f t="shared" ca="1" si="537"/>
        <v>0.34142135623730852</v>
      </c>
      <c r="AL219" s="56">
        <f t="shared" ca="1" si="537"/>
        <v>0.33473912872931066</v>
      </c>
      <c r="AM219" s="56">
        <f t="shared" ca="1" si="537"/>
        <v>0.32776936113038957</v>
      </c>
      <c r="AN219" s="56">
        <f t="shared" ca="1" si="537"/>
        <v>0.32052692727584997</v>
      </c>
      <c r="AO219" s="56">
        <f t="shared" ca="1" si="537"/>
        <v>0.31302728288451576</v>
      </c>
      <c r="AP219" s="56">
        <f t="shared" ca="1" si="537"/>
        <v>0.30528643257547117</v>
      </c>
      <c r="AQ219" s="56">
        <f t="shared" ref="AQ219:BV219" ca="1" si="538">IF(AQ169&gt;0,MAX(0,AQ144-AQ193),0)</f>
        <v>0.29732089571336928</v>
      </c>
      <c r="AR219" s="56">
        <f t="shared" ca="1" si="538"/>
        <v>0.28914767115530537</v>
      </c>
      <c r="AS219" s="56">
        <f t="shared" ca="1" si="538"/>
        <v>0.28078420097437728</v>
      </c>
      <c r="AT219" s="56">
        <f t="shared" ca="1" si="538"/>
        <v>0.27224833323743169</v>
      </c>
      <c r="AU219" s="56">
        <f t="shared" ca="1" si="538"/>
        <v>0.26355828391637814</v>
      </c>
      <c r="AV219" s="56">
        <f t="shared" ca="1" si="538"/>
        <v>0.25473259801441728</v>
      </c>
      <c r="AW219" s="56">
        <f t="shared" ca="1" si="538"/>
        <v>0.24579010999002548</v>
      </c>
      <c r="AX219" s="56">
        <f t="shared" ca="1" si="538"/>
        <v>0.23674990356331449</v>
      </c>
      <c r="AY219" s="56">
        <f t="shared" ca="1" si="538"/>
        <v>0.22763127099037561</v>
      </c>
      <c r="AZ219" s="56">
        <f t="shared" ca="1" si="538"/>
        <v>0.21845367189266085</v>
      </c>
      <c r="BA219" s="56">
        <f t="shared" ca="1" si="538"/>
        <v>0.20923669172914927</v>
      </c>
      <c r="BB219" s="56">
        <f t="shared" ca="1" si="538"/>
        <v>0.19999999999999929</v>
      </c>
      <c r="BC219" s="56">
        <f t="shared" ca="1" si="538"/>
        <v>0.19076330827085108</v>
      </c>
      <c r="BD219" s="56">
        <f t="shared" ca="1" si="538"/>
        <v>0.18154632810733951</v>
      </c>
      <c r="BE219" s="56">
        <f t="shared" ca="1" si="538"/>
        <v>0.17236872900962297</v>
      </c>
      <c r="BF219" s="56">
        <f t="shared" ca="1" si="538"/>
        <v>0.16325009643668587</v>
      </c>
      <c r="BG219" s="56">
        <f t="shared" ca="1" si="538"/>
        <v>0.15420989000997309</v>
      </c>
      <c r="BH219" s="56">
        <f t="shared" ca="1" si="538"/>
        <v>0.14526740198558308</v>
      </c>
      <c r="BI219" s="56">
        <f t="shared" ca="1" si="538"/>
        <v>0.13644171608362043</v>
      </c>
      <c r="BJ219" s="56">
        <f t="shared" ca="1" si="538"/>
        <v>0.12775166676257044</v>
      </c>
      <c r="BK219" s="56">
        <f t="shared" ca="1" si="538"/>
        <v>0.11921579902561952</v>
      </c>
      <c r="BL219" s="56">
        <f t="shared" ca="1" si="538"/>
        <v>0.11085232884469143</v>
      </c>
      <c r="BM219" s="56">
        <f t="shared" ca="1" si="538"/>
        <v>0.10267910428662752</v>
      </c>
      <c r="BN219" s="56">
        <f t="shared" ca="1" si="538"/>
        <v>9.4713567424529188E-2</v>
      </c>
      <c r="BO219" s="56">
        <f t="shared" ca="1" si="538"/>
        <v>8.6972717115481046E-2</v>
      </c>
      <c r="BP219" s="56">
        <f t="shared" ca="1" si="538"/>
        <v>7.9473072724148608E-2</v>
      </c>
      <c r="BQ219" s="56">
        <f t="shared" ca="1" si="538"/>
        <v>7.2230638869607233E-2</v>
      </c>
      <c r="BR219" s="56">
        <f t="shared" ca="1" si="538"/>
        <v>6.5260871270687915E-2</v>
      </c>
      <c r="BS219" s="56">
        <f t="shared" ca="1" si="538"/>
        <v>5.8578643762690064E-2</v>
      </c>
      <c r="BT219" s="56">
        <f t="shared" ca="1" si="538"/>
        <v>5.2198216555868981E-2</v>
      </c>
      <c r="BU219" s="56">
        <f t="shared" ca="1" si="538"/>
        <v>4.6133205803423394E-2</v>
      </c>
      <c r="BV219" s="56">
        <f t="shared" ca="1" si="538"/>
        <v>4.03965545439533E-2</v>
      </c>
      <c r="BW219" s="56">
        <f t="shared" ref="BW219:DB219" ca="1" si="539">IF(BW169&gt;0,MAX(0,BW144-BW193),0)</f>
        <v>3.5000505080340361E-2</v>
      </c>
      <c r="BX219" s="56">
        <f t="shared" ca="1" si="539"/>
        <v>2.9956572854075603E-2</v>
      </c>
      <c r="BY219" s="56">
        <f t="shared" ca="1" si="539"/>
        <v>2.5275521870725015E-2</v>
      </c>
      <c r="BZ219" s="56">
        <f t="shared" ca="1" si="539"/>
        <v>2.0967341728987066E-2</v>
      </c>
      <c r="CA219" s="56">
        <f t="shared" ca="1" si="539"/>
        <v>1.704122630239624E-2</v>
      </c>
      <c r="CB219" s="56">
        <f t="shared" ca="1" si="539"/>
        <v>1.3505554119128682E-2</v>
      </c>
      <c r="CC219" s="56">
        <f t="shared" ca="1" si="539"/>
        <v>1.0367870481808872E-2</v>
      </c>
      <c r="CD219" s="56">
        <f t="shared" ca="1" si="539"/>
        <v>7.634871365437057E-3</v>
      </c>
      <c r="CE219" s="56">
        <f t="shared" ca="1" si="539"/>
        <v>5.3123891278632485E-3</v>
      </c>
      <c r="CF219" s="56">
        <f t="shared" ca="1" si="539"/>
        <v>3.4053800632216635E-3</v>
      </c>
      <c r="CG219" s="56">
        <f t="shared" ca="1" si="539"/>
        <v>1.917913824962092E-3</v>
      </c>
      <c r="CH219" s="56">
        <f t="shared" ca="1" si="539"/>
        <v>8.5316474099617068E-4</v>
      </c>
      <c r="CI219" s="56">
        <f t="shared" ca="1" si="539"/>
        <v>2.1340503952504974E-4</v>
      </c>
      <c r="CJ219" s="56">
        <f t="shared" ca="1" si="539"/>
        <v>8.8817841970012523E-16</v>
      </c>
      <c r="CK219" s="56">
        <f t="shared" si="539"/>
        <v>0</v>
      </c>
      <c r="CL219" s="56">
        <f t="shared" si="539"/>
        <v>0</v>
      </c>
      <c r="CM219" s="56">
        <f t="shared" si="539"/>
        <v>0</v>
      </c>
      <c r="CN219" s="56">
        <f t="shared" si="539"/>
        <v>0</v>
      </c>
      <c r="CO219" s="56">
        <f t="shared" si="539"/>
        <v>0</v>
      </c>
      <c r="CP219" s="56">
        <f t="shared" si="539"/>
        <v>0</v>
      </c>
      <c r="CQ219" s="56">
        <f t="shared" si="539"/>
        <v>0</v>
      </c>
      <c r="CR219" s="56">
        <f t="shared" si="539"/>
        <v>0</v>
      </c>
      <c r="CS219" s="56">
        <f t="shared" si="539"/>
        <v>0</v>
      </c>
      <c r="CT219" s="56">
        <f t="shared" si="539"/>
        <v>0</v>
      </c>
      <c r="CU219" s="56">
        <f t="shared" si="539"/>
        <v>0</v>
      </c>
      <c r="CV219" s="56">
        <f t="shared" si="539"/>
        <v>0</v>
      </c>
      <c r="CW219" s="56">
        <f t="shared" si="539"/>
        <v>0</v>
      </c>
      <c r="CX219" s="56">
        <f t="shared" si="539"/>
        <v>0</v>
      </c>
      <c r="CY219" s="56">
        <f t="shared" si="539"/>
        <v>0</v>
      </c>
      <c r="CZ219" s="56">
        <f t="shared" si="539"/>
        <v>0</v>
      </c>
      <c r="DA219" s="56">
        <f t="shared" si="539"/>
        <v>0</v>
      </c>
      <c r="DB219" s="56">
        <f t="shared" si="539"/>
        <v>0</v>
      </c>
      <c r="DC219" s="56">
        <f t="shared" ref="DC219:EH219" si="540">IF(DC169&gt;0,MAX(0,DC144-DC193),0)</f>
        <v>0</v>
      </c>
      <c r="DD219" s="56">
        <f t="shared" si="540"/>
        <v>0</v>
      </c>
      <c r="DE219" s="56">
        <f t="shared" si="540"/>
        <v>0</v>
      </c>
      <c r="DF219" s="56">
        <f t="shared" si="540"/>
        <v>0</v>
      </c>
      <c r="DG219" s="56">
        <f t="shared" si="540"/>
        <v>0</v>
      </c>
      <c r="DH219" s="56">
        <f t="shared" si="540"/>
        <v>0</v>
      </c>
      <c r="DI219" s="56">
        <f t="shared" si="540"/>
        <v>0</v>
      </c>
      <c r="DJ219" s="56">
        <f t="shared" si="540"/>
        <v>0</v>
      </c>
      <c r="DK219" s="56">
        <f t="shared" si="540"/>
        <v>0</v>
      </c>
      <c r="DL219" s="56">
        <f t="shared" si="540"/>
        <v>0</v>
      </c>
      <c r="DM219" s="56">
        <f t="shared" si="540"/>
        <v>0</v>
      </c>
      <c r="DN219" s="56">
        <f t="shared" si="540"/>
        <v>0</v>
      </c>
      <c r="DO219" s="56">
        <f t="shared" si="540"/>
        <v>0</v>
      </c>
      <c r="DP219" s="56">
        <f t="shared" si="540"/>
        <v>0</v>
      </c>
      <c r="DQ219" s="56">
        <f t="shared" si="540"/>
        <v>0</v>
      </c>
      <c r="DR219" s="56">
        <f t="shared" si="540"/>
        <v>0</v>
      </c>
      <c r="DS219" s="56">
        <f t="shared" si="540"/>
        <v>0</v>
      </c>
      <c r="DT219" s="56">
        <f t="shared" si="540"/>
        <v>0</v>
      </c>
      <c r="DU219" s="56">
        <f t="shared" si="540"/>
        <v>0</v>
      </c>
      <c r="DV219" s="56">
        <f t="shared" si="540"/>
        <v>0</v>
      </c>
      <c r="DW219" s="56">
        <f t="shared" si="540"/>
        <v>0</v>
      </c>
      <c r="DX219" s="56">
        <f t="shared" si="540"/>
        <v>0</v>
      </c>
      <c r="DY219" s="56">
        <f t="shared" si="540"/>
        <v>0</v>
      </c>
      <c r="DZ219" s="56">
        <f t="shared" si="540"/>
        <v>0</v>
      </c>
      <c r="EA219" s="56">
        <f t="shared" si="540"/>
        <v>0</v>
      </c>
      <c r="EB219" s="56">
        <f t="shared" si="540"/>
        <v>0</v>
      </c>
      <c r="EC219" s="56">
        <f t="shared" si="540"/>
        <v>0</v>
      </c>
      <c r="ED219" s="56">
        <f t="shared" si="540"/>
        <v>0</v>
      </c>
      <c r="EE219" s="56">
        <f t="shared" si="540"/>
        <v>0</v>
      </c>
      <c r="EF219" s="56">
        <f t="shared" si="540"/>
        <v>0</v>
      </c>
      <c r="EG219" s="56">
        <f t="shared" si="540"/>
        <v>0</v>
      </c>
      <c r="EH219" s="56">
        <f t="shared" si="540"/>
        <v>0</v>
      </c>
      <c r="EI219" s="56">
        <f t="shared" ref="EI219:FN219" si="541">IF(EI169&gt;0,MAX(0,EI144-EI193),0)</f>
        <v>0</v>
      </c>
      <c r="EJ219" s="56">
        <f t="shared" si="541"/>
        <v>0</v>
      </c>
      <c r="EK219" s="56">
        <f t="shared" si="541"/>
        <v>0</v>
      </c>
      <c r="EL219" s="56">
        <f t="shared" si="541"/>
        <v>0</v>
      </c>
      <c r="EM219" s="56">
        <f t="shared" si="541"/>
        <v>0</v>
      </c>
      <c r="EN219" s="56">
        <f t="shared" si="541"/>
        <v>0</v>
      </c>
      <c r="EO219" s="56">
        <f t="shared" si="541"/>
        <v>0</v>
      </c>
      <c r="EP219" s="56">
        <f t="shared" si="541"/>
        <v>0</v>
      </c>
      <c r="EQ219" s="56">
        <f t="shared" si="541"/>
        <v>0</v>
      </c>
      <c r="ER219" s="56">
        <f t="shared" si="541"/>
        <v>0</v>
      </c>
      <c r="ES219" s="56">
        <f t="shared" si="541"/>
        <v>0</v>
      </c>
      <c r="ET219" s="56">
        <f t="shared" si="541"/>
        <v>0</v>
      </c>
      <c r="EU219" s="56">
        <f t="shared" si="541"/>
        <v>0</v>
      </c>
      <c r="EV219" s="56">
        <f t="shared" si="541"/>
        <v>0</v>
      </c>
      <c r="EW219" s="56">
        <f t="shared" si="541"/>
        <v>0</v>
      </c>
      <c r="EX219" s="56">
        <f t="shared" si="541"/>
        <v>0</v>
      </c>
      <c r="EY219" s="56">
        <f t="shared" si="541"/>
        <v>0</v>
      </c>
      <c r="EZ219" s="56">
        <f t="shared" si="541"/>
        <v>0</v>
      </c>
      <c r="FA219" s="56">
        <f t="shared" si="541"/>
        <v>0</v>
      </c>
      <c r="FB219" s="56">
        <f t="shared" si="541"/>
        <v>0</v>
      </c>
      <c r="FC219" s="56">
        <f t="shared" si="541"/>
        <v>0</v>
      </c>
      <c r="FD219" s="56">
        <f t="shared" si="541"/>
        <v>0</v>
      </c>
      <c r="FE219" s="56">
        <f t="shared" si="541"/>
        <v>0</v>
      </c>
      <c r="FF219" s="56">
        <f t="shared" si="541"/>
        <v>0</v>
      </c>
      <c r="FG219" s="56">
        <f t="shared" si="541"/>
        <v>0</v>
      </c>
      <c r="FH219" s="56">
        <f t="shared" si="541"/>
        <v>0</v>
      </c>
      <c r="FI219" s="56">
        <f t="shared" si="541"/>
        <v>0</v>
      </c>
      <c r="FJ219" s="56">
        <f t="shared" si="541"/>
        <v>0</v>
      </c>
      <c r="FK219" s="56">
        <f t="shared" si="541"/>
        <v>0</v>
      </c>
      <c r="FL219" s="56">
        <f t="shared" si="541"/>
        <v>0</v>
      </c>
      <c r="FM219" s="56">
        <f t="shared" si="541"/>
        <v>0</v>
      </c>
      <c r="FN219" s="56">
        <f t="shared" si="541"/>
        <v>0</v>
      </c>
      <c r="FO219" s="56">
        <f t="shared" ref="FO219:GP219" si="542">IF(FO169&gt;0,MAX(0,FO144-FO193),0)</f>
        <v>0</v>
      </c>
      <c r="FP219" s="56">
        <f t="shared" si="542"/>
        <v>0</v>
      </c>
      <c r="FQ219" s="56">
        <f t="shared" si="542"/>
        <v>0</v>
      </c>
      <c r="FR219" s="56">
        <f t="shared" si="542"/>
        <v>0</v>
      </c>
      <c r="FS219" s="56">
        <f t="shared" si="542"/>
        <v>0</v>
      </c>
      <c r="FT219" s="56">
        <f t="shared" si="542"/>
        <v>0</v>
      </c>
      <c r="FU219" s="56">
        <f t="shared" si="542"/>
        <v>0</v>
      </c>
      <c r="FV219" s="56">
        <f t="shared" si="542"/>
        <v>0</v>
      </c>
      <c r="FW219" s="56">
        <f t="shared" si="542"/>
        <v>0</v>
      </c>
      <c r="FX219" s="56">
        <f t="shared" si="542"/>
        <v>0</v>
      </c>
      <c r="FY219" s="56">
        <f t="shared" si="542"/>
        <v>0</v>
      </c>
      <c r="FZ219" s="56">
        <f t="shared" si="542"/>
        <v>0</v>
      </c>
      <c r="GA219" s="56">
        <f t="shared" si="542"/>
        <v>0</v>
      </c>
      <c r="GB219" s="56">
        <f t="shared" si="542"/>
        <v>0</v>
      </c>
      <c r="GC219" s="56">
        <f t="shared" si="542"/>
        <v>0</v>
      </c>
      <c r="GD219" s="56">
        <f t="shared" si="542"/>
        <v>0</v>
      </c>
      <c r="GE219" s="56">
        <f t="shared" si="542"/>
        <v>0</v>
      </c>
      <c r="GF219" s="56">
        <f t="shared" si="542"/>
        <v>0</v>
      </c>
      <c r="GG219" s="56">
        <f t="shared" si="542"/>
        <v>0</v>
      </c>
      <c r="GH219" s="56">
        <f t="shared" si="542"/>
        <v>0</v>
      </c>
      <c r="GI219" s="56">
        <f t="shared" si="542"/>
        <v>0</v>
      </c>
      <c r="GJ219" s="56">
        <f t="shared" si="542"/>
        <v>0</v>
      </c>
      <c r="GK219" s="56">
        <f t="shared" si="542"/>
        <v>0</v>
      </c>
      <c r="GL219" s="56">
        <f t="shared" si="542"/>
        <v>0</v>
      </c>
      <c r="GM219" s="56">
        <f t="shared" si="542"/>
        <v>0</v>
      </c>
      <c r="GN219" s="56">
        <f t="shared" si="542"/>
        <v>0</v>
      </c>
      <c r="GO219" s="56">
        <f t="shared" si="542"/>
        <v>0</v>
      </c>
      <c r="GP219" s="56">
        <f t="shared" si="542"/>
        <v>0</v>
      </c>
    </row>
    <row r="220" spans="1:198" x14ac:dyDescent="0.35">
      <c r="A220" s="55" t="str">
        <f t="shared" si="524"/>
        <v>LATAM &gt; available now</v>
      </c>
      <c r="B220" s="55" t="s">
        <v>297</v>
      </c>
      <c r="K220" s="56">
        <f t="shared" ref="K220:AP220" ca="1" si="543">IF(K170&gt;0,MAX(0,K145-K194),0)</f>
        <v>2.0210526315789465</v>
      </c>
      <c r="L220" s="56">
        <f t="shared" ca="1" si="543"/>
        <v>2.0210526315789465</v>
      </c>
      <c r="M220" s="56">
        <f t="shared" ca="1" si="543"/>
        <v>2.0210526315789465</v>
      </c>
      <c r="N220" s="56">
        <f t="shared" ca="1" si="543"/>
        <v>2.0210526315789465</v>
      </c>
      <c r="O220" s="56">
        <f t="shared" ca="1" si="543"/>
        <v>2.0210526315789465</v>
      </c>
      <c r="P220" s="56">
        <f t="shared" ca="1" si="543"/>
        <v>2.0210526315789465</v>
      </c>
      <c r="Q220" s="56">
        <f t="shared" ca="1" si="543"/>
        <v>2.0210526315789465</v>
      </c>
      <c r="R220" s="56">
        <f t="shared" ca="1" si="543"/>
        <v>2.0210526315789465</v>
      </c>
      <c r="S220" s="56">
        <f t="shared" ca="1" si="543"/>
        <v>2.0210526315789465</v>
      </c>
      <c r="T220" s="56">
        <f t="shared" ca="1" si="543"/>
        <v>2.0210526315789465</v>
      </c>
      <c r="U220" s="56">
        <f t="shared" ca="1" si="543"/>
        <v>2.019974374537135</v>
      </c>
      <c r="V220" s="56">
        <f t="shared" ca="1" si="543"/>
        <v>2.01674190446656</v>
      </c>
      <c r="W220" s="56">
        <f t="shared" ca="1" si="543"/>
        <v>2.011362119621257</v>
      </c>
      <c r="X220" s="56">
        <f t="shared" ca="1" si="543"/>
        <v>2.0038465007332071</v>
      </c>
      <c r="Y220" s="56">
        <f t="shared" ca="1" si="543"/>
        <v>1.9942110865118572</v>
      </c>
      <c r="Z220" s="56">
        <f t="shared" ca="1" si="543"/>
        <v>1.9824764394167431</v>
      </c>
      <c r="AA220" s="56">
        <f t="shared" ca="1" si="543"/>
        <v>1.9686676017761329</v>
      </c>
      <c r="AB220" s="56">
        <f t="shared" ca="1" si="543"/>
        <v>1.9528140423454516</v>
      </c>
      <c r="AC220" s="56">
        <f t="shared" ca="1" si="543"/>
        <v>1.9349495934194749</v>
      </c>
      <c r="AD220" s="56">
        <f t="shared" ca="1" si="543"/>
        <v>1.9151123786324824</v>
      </c>
      <c r="AE220" s="56">
        <f t="shared" ca="1" si="543"/>
        <v>1.8933447316005392</v>
      </c>
      <c r="AF220" s="56">
        <f t="shared" ca="1" si="543"/>
        <v>1.869693105579401</v>
      </c>
      <c r="AG220" s="56">
        <f t="shared" ca="1" si="543"/>
        <v>1.8442079743309137</v>
      </c>
      <c r="AH220" s="56">
        <f t="shared" ca="1" si="543"/>
        <v>1.8169437244095015</v>
      </c>
      <c r="AI220" s="56">
        <f t="shared" ca="1" si="543"/>
        <v>1.78795853909849</v>
      </c>
      <c r="AJ220" s="56">
        <f t="shared" ca="1" si="543"/>
        <v>1.7573142742440346</v>
      </c>
      <c r="AK220" s="56">
        <f t="shared" ca="1" si="543"/>
        <v>1.7250763262516706</v>
      </c>
      <c r="AL220" s="56">
        <f t="shared" ca="1" si="543"/>
        <v>1.6913134925270441</v>
      </c>
      <c r="AM220" s="56">
        <f t="shared" ca="1" si="543"/>
        <v>1.6560978246588256</v>
      </c>
      <c r="AN220" s="56">
        <f t="shared" ca="1" si="543"/>
        <v>1.6195044746569316</v>
      </c>
      <c r="AO220" s="56">
        <f t="shared" ca="1" si="543"/>
        <v>1.5816115345744102</v>
      </c>
      <c r="AP220" s="56">
        <f t="shared" ca="1" si="543"/>
        <v>1.5424998698550105</v>
      </c>
      <c r="AQ220" s="56">
        <f t="shared" ref="AQ220:BV220" ca="1" si="544">IF(AQ170&gt;0,MAX(0,AQ145-AQ194),0)</f>
        <v>1.5022529467622974</v>
      </c>
      <c r="AR220" s="56">
        <f t="shared" ca="1" si="544"/>
        <v>1.4609566542583963</v>
      </c>
      <c r="AS220" s="56">
        <f t="shared" ca="1" si="544"/>
        <v>1.4186991207126525</v>
      </c>
      <c r="AT220" s="56">
        <f t="shared" ca="1" si="544"/>
        <v>1.3755705258312254</v>
      </c>
      <c r="AU220" s="56">
        <f t="shared" ca="1" si="544"/>
        <v>1.3316629082090792</v>
      </c>
      <c r="AV220" s="56">
        <f t="shared" ca="1" si="544"/>
        <v>1.2870699689149454</v>
      </c>
      <c r="AW220" s="56">
        <f t="shared" ca="1" si="544"/>
        <v>1.2418868715285569</v>
      </c>
      <c r="AX220" s="56">
        <f t="shared" ca="1" si="544"/>
        <v>1.1962100390567443</v>
      </c>
      <c r="AY220" s="56">
        <f t="shared" ca="1" si="544"/>
        <v>1.1501369481619008</v>
      </c>
      <c r="AZ220" s="56">
        <f t="shared" ca="1" si="544"/>
        <v>1.1037659211418607</v>
      </c>
      <c r="BA220" s="56">
        <f t="shared" ca="1" si="544"/>
        <v>1.0571959161051687</v>
      </c>
      <c r="BB220" s="56">
        <f t="shared" ca="1" si="544"/>
        <v>1.0105263157894768</v>
      </c>
      <c r="BC220" s="56">
        <f t="shared" ca="1" si="544"/>
        <v>0.96385671547378138</v>
      </c>
      <c r="BD220" s="56">
        <f t="shared" ca="1" si="544"/>
        <v>0.91728671043708587</v>
      </c>
      <c r="BE220" s="56">
        <f t="shared" ca="1" si="544"/>
        <v>0.87091568341704217</v>
      </c>
      <c r="BF220" s="56">
        <f t="shared" ca="1" si="544"/>
        <v>0.82484259252220227</v>
      </c>
      <c r="BG220" s="56">
        <f t="shared" ca="1" si="544"/>
        <v>0.7791657600503914</v>
      </c>
      <c r="BH220" s="56">
        <f t="shared" ca="1" si="544"/>
        <v>0.73398266266400114</v>
      </c>
      <c r="BI220" s="56">
        <f t="shared" ca="1" si="544"/>
        <v>0.68938972336986737</v>
      </c>
      <c r="BJ220" s="56">
        <f t="shared" ca="1" si="544"/>
        <v>0.64548210574771758</v>
      </c>
      <c r="BK220" s="56">
        <f t="shared" ca="1" si="544"/>
        <v>0.60235351086629585</v>
      </c>
      <c r="BL220" s="56">
        <f t="shared" ca="1" si="544"/>
        <v>0.56009597732055028</v>
      </c>
      <c r="BM220" s="56">
        <f t="shared" ca="1" si="544"/>
        <v>0.51879968481665095</v>
      </c>
      <c r="BN220" s="56">
        <f t="shared" ca="1" si="544"/>
        <v>0.47855276172393424</v>
      </c>
      <c r="BO220" s="56">
        <f t="shared" ca="1" si="544"/>
        <v>0.43944109700453815</v>
      </c>
      <c r="BP220" s="56">
        <f t="shared" ca="1" si="544"/>
        <v>0.40154815692201495</v>
      </c>
      <c r="BQ220" s="56">
        <f t="shared" ca="1" si="544"/>
        <v>0.3649548069201245</v>
      </c>
      <c r="BR220" s="56">
        <f t="shared" ca="1" si="544"/>
        <v>0.32973913905189889</v>
      </c>
      <c r="BS220" s="56">
        <f t="shared" ca="1" si="544"/>
        <v>0.29597630532727948</v>
      </c>
      <c r="BT220" s="56">
        <f t="shared" ca="1" si="544"/>
        <v>0.26373835733491191</v>
      </c>
      <c r="BU220" s="56">
        <f t="shared" ca="1" si="544"/>
        <v>0.23309409248046009</v>
      </c>
      <c r="BV220" s="56">
        <f t="shared" ca="1" si="544"/>
        <v>0.20410890716944152</v>
      </c>
      <c r="BW220" s="56">
        <f t="shared" ref="BW220:DB220" ca="1" si="545">IF(BW170&gt;0,MAX(0,BW145-BW194),0)</f>
        <v>0.17684465724802934</v>
      </c>
      <c r="BX220" s="56">
        <f t="shared" ca="1" si="545"/>
        <v>0.15135952599954905</v>
      </c>
      <c r="BY220" s="56">
        <f t="shared" ca="1" si="545"/>
        <v>0.12770789997840737</v>
      </c>
      <c r="BZ220" s="56">
        <f t="shared" ca="1" si="545"/>
        <v>0.10594025294646059</v>
      </c>
      <c r="CA220" s="56">
        <f t="shared" ca="1" si="545"/>
        <v>8.6103038159471623E-2</v>
      </c>
      <c r="CB220" s="56">
        <f t="shared" ca="1" si="545"/>
        <v>6.8238589233494906E-2</v>
      </c>
      <c r="CC220" s="56">
        <f t="shared" ca="1" si="545"/>
        <v>5.2385029802813676E-2</v>
      </c>
      <c r="CD220" s="56">
        <f t="shared" ca="1" si="545"/>
        <v>3.8576192162203427E-2</v>
      </c>
      <c r="CE220" s="56">
        <f t="shared" ca="1" si="545"/>
        <v>2.6841545067089356E-2</v>
      </c>
      <c r="CF220" s="56">
        <f t="shared" ca="1" si="545"/>
        <v>1.7206130845739409E-2</v>
      </c>
      <c r="CG220" s="56">
        <f t="shared" ca="1" si="545"/>
        <v>9.6905119576859988E-3</v>
      </c>
      <c r="CH220" s="56">
        <f t="shared" ca="1" si="545"/>
        <v>4.3107271123865587E-3</v>
      </c>
      <c r="CI220" s="56">
        <f t="shared" ca="1" si="545"/>
        <v>1.0782570418150783E-3</v>
      </c>
      <c r="CJ220" s="56">
        <f t="shared" ca="1" si="545"/>
        <v>0</v>
      </c>
      <c r="CK220" s="56">
        <f t="shared" si="545"/>
        <v>0</v>
      </c>
      <c r="CL220" s="56">
        <f t="shared" si="545"/>
        <v>0</v>
      </c>
      <c r="CM220" s="56">
        <f t="shared" si="545"/>
        <v>0</v>
      </c>
      <c r="CN220" s="56">
        <f t="shared" si="545"/>
        <v>0</v>
      </c>
      <c r="CO220" s="56">
        <f t="shared" si="545"/>
        <v>0</v>
      </c>
      <c r="CP220" s="56">
        <f t="shared" si="545"/>
        <v>0</v>
      </c>
      <c r="CQ220" s="56">
        <f t="shared" si="545"/>
        <v>0</v>
      </c>
      <c r="CR220" s="56">
        <f t="shared" si="545"/>
        <v>0</v>
      </c>
      <c r="CS220" s="56">
        <f t="shared" si="545"/>
        <v>0</v>
      </c>
      <c r="CT220" s="56">
        <f t="shared" si="545"/>
        <v>0</v>
      </c>
      <c r="CU220" s="56">
        <f t="shared" si="545"/>
        <v>0</v>
      </c>
      <c r="CV220" s="56">
        <f t="shared" si="545"/>
        <v>0</v>
      </c>
      <c r="CW220" s="56">
        <f t="shared" si="545"/>
        <v>0</v>
      </c>
      <c r="CX220" s="56">
        <f t="shared" si="545"/>
        <v>0</v>
      </c>
      <c r="CY220" s="56">
        <f t="shared" si="545"/>
        <v>0</v>
      </c>
      <c r="CZ220" s="56">
        <f t="shared" si="545"/>
        <v>0</v>
      </c>
      <c r="DA220" s="56">
        <f t="shared" si="545"/>
        <v>0</v>
      </c>
      <c r="DB220" s="56">
        <f t="shared" si="545"/>
        <v>0</v>
      </c>
      <c r="DC220" s="56">
        <f t="shared" ref="DC220:EH220" si="546">IF(DC170&gt;0,MAX(0,DC145-DC194),0)</f>
        <v>0</v>
      </c>
      <c r="DD220" s="56">
        <f t="shared" si="546"/>
        <v>0</v>
      </c>
      <c r="DE220" s="56">
        <f t="shared" si="546"/>
        <v>0</v>
      </c>
      <c r="DF220" s="56">
        <f t="shared" si="546"/>
        <v>0</v>
      </c>
      <c r="DG220" s="56">
        <f t="shared" si="546"/>
        <v>0</v>
      </c>
      <c r="DH220" s="56">
        <f t="shared" si="546"/>
        <v>0</v>
      </c>
      <c r="DI220" s="56">
        <f t="shared" si="546"/>
        <v>0</v>
      </c>
      <c r="DJ220" s="56">
        <f t="shared" si="546"/>
        <v>0</v>
      </c>
      <c r="DK220" s="56">
        <f t="shared" si="546"/>
        <v>0</v>
      </c>
      <c r="DL220" s="56">
        <f t="shared" si="546"/>
        <v>0</v>
      </c>
      <c r="DM220" s="56">
        <f t="shared" si="546"/>
        <v>0</v>
      </c>
      <c r="DN220" s="56">
        <f t="shared" si="546"/>
        <v>0</v>
      </c>
      <c r="DO220" s="56">
        <f t="shared" si="546"/>
        <v>0</v>
      </c>
      <c r="DP220" s="56">
        <f t="shared" si="546"/>
        <v>0</v>
      </c>
      <c r="DQ220" s="56">
        <f t="shared" si="546"/>
        <v>0</v>
      </c>
      <c r="DR220" s="56">
        <f t="shared" si="546"/>
        <v>0</v>
      </c>
      <c r="DS220" s="56">
        <f t="shared" si="546"/>
        <v>0</v>
      </c>
      <c r="DT220" s="56">
        <f t="shared" si="546"/>
        <v>0</v>
      </c>
      <c r="DU220" s="56">
        <f t="shared" si="546"/>
        <v>0</v>
      </c>
      <c r="DV220" s="56">
        <f t="shared" si="546"/>
        <v>0</v>
      </c>
      <c r="DW220" s="56">
        <f t="shared" si="546"/>
        <v>0</v>
      </c>
      <c r="DX220" s="56">
        <f t="shared" si="546"/>
        <v>0</v>
      </c>
      <c r="DY220" s="56">
        <f t="shared" si="546"/>
        <v>0</v>
      </c>
      <c r="DZ220" s="56">
        <f t="shared" si="546"/>
        <v>0</v>
      </c>
      <c r="EA220" s="56">
        <f t="shared" si="546"/>
        <v>0</v>
      </c>
      <c r="EB220" s="56">
        <f t="shared" si="546"/>
        <v>0</v>
      </c>
      <c r="EC220" s="56">
        <f t="shared" si="546"/>
        <v>0</v>
      </c>
      <c r="ED220" s="56">
        <f t="shared" si="546"/>
        <v>0</v>
      </c>
      <c r="EE220" s="56">
        <f t="shared" si="546"/>
        <v>0</v>
      </c>
      <c r="EF220" s="56">
        <f t="shared" si="546"/>
        <v>0</v>
      </c>
      <c r="EG220" s="56">
        <f t="shared" si="546"/>
        <v>0</v>
      </c>
      <c r="EH220" s="56">
        <f t="shared" si="546"/>
        <v>0</v>
      </c>
      <c r="EI220" s="56">
        <f t="shared" ref="EI220:FN220" si="547">IF(EI170&gt;0,MAX(0,EI145-EI194),0)</f>
        <v>0</v>
      </c>
      <c r="EJ220" s="56">
        <f t="shared" si="547"/>
        <v>0</v>
      </c>
      <c r="EK220" s="56">
        <f t="shared" si="547"/>
        <v>0</v>
      </c>
      <c r="EL220" s="56">
        <f t="shared" si="547"/>
        <v>0</v>
      </c>
      <c r="EM220" s="56">
        <f t="shared" si="547"/>
        <v>0</v>
      </c>
      <c r="EN220" s="56">
        <f t="shared" si="547"/>
        <v>0</v>
      </c>
      <c r="EO220" s="56">
        <f t="shared" si="547"/>
        <v>0</v>
      </c>
      <c r="EP220" s="56">
        <f t="shared" si="547"/>
        <v>0</v>
      </c>
      <c r="EQ220" s="56">
        <f t="shared" si="547"/>
        <v>0</v>
      </c>
      <c r="ER220" s="56">
        <f t="shared" si="547"/>
        <v>0</v>
      </c>
      <c r="ES220" s="56">
        <f t="shared" si="547"/>
        <v>0</v>
      </c>
      <c r="ET220" s="56">
        <f t="shared" si="547"/>
        <v>0</v>
      </c>
      <c r="EU220" s="56">
        <f t="shared" si="547"/>
        <v>0</v>
      </c>
      <c r="EV220" s="56">
        <f t="shared" si="547"/>
        <v>0</v>
      </c>
      <c r="EW220" s="56">
        <f t="shared" si="547"/>
        <v>0</v>
      </c>
      <c r="EX220" s="56">
        <f t="shared" si="547"/>
        <v>0</v>
      </c>
      <c r="EY220" s="56">
        <f t="shared" si="547"/>
        <v>0</v>
      </c>
      <c r="EZ220" s="56">
        <f t="shared" si="547"/>
        <v>0</v>
      </c>
      <c r="FA220" s="56">
        <f t="shared" si="547"/>
        <v>0</v>
      </c>
      <c r="FB220" s="56">
        <f t="shared" si="547"/>
        <v>0</v>
      </c>
      <c r="FC220" s="56">
        <f t="shared" si="547"/>
        <v>0</v>
      </c>
      <c r="FD220" s="56">
        <f t="shared" si="547"/>
        <v>0</v>
      </c>
      <c r="FE220" s="56">
        <f t="shared" si="547"/>
        <v>0</v>
      </c>
      <c r="FF220" s="56">
        <f t="shared" si="547"/>
        <v>0</v>
      </c>
      <c r="FG220" s="56">
        <f t="shared" si="547"/>
        <v>0</v>
      </c>
      <c r="FH220" s="56">
        <f t="shared" si="547"/>
        <v>0</v>
      </c>
      <c r="FI220" s="56">
        <f t="shared" si="547"/>
        <v>0</v>
      </c>
      <c r="FJ220" s="56">
        <f t="shared" si="547"/>
        <v>0</v>
      </c>
      <c r="FK220" s="56">
        <f t="shared" si="547"/>
        <v>0</v>
      </c>
      <c r="FL220" s="56">
        <f t="shared" si="547"/>
        <v>0</v>
      </c>
      <c r="FM220" s="56">
        <f t="shared" si="547"/>
        <v>0</v>
      </c>
      <c r="FN220" s="56">
        <f t="shared" si="547"/>
        <v>0</v>
      </c>
      <c r="FO220" s="56">
        <f t="shared" ref="FO220:GP220" si="548">IF(FO170&gt;0,MAX(0,FO145-FO194),0)</f>
        <v>0</v>
      </c>
      <c r="FP220" s="56">
        <f t="shared" si="548"/>
        <v>0</v>
      </c>
      <c r="FQ220" s="56">
        <f t="shared" si="548"/>
        <v>0</v>
      </c>
      <c r="FR220" s="56">
        <f t="shared" si="548"/>
        <v>0</v>
      </c>
      <c r="FS220" s="56">
        <f t="shared" si="548"/>
        <v>0</v>
      </c>
      <c r="FT220" s="56">
        <f t="shared" si="548"/>
        <v>0</v>
      </c>
      <c r="FU220" s="56">
        <f t="shared" si="548"/>
        <v>0</v>
      </c>
      <c r="FV220" s="56">
        <f t="shared" si="548"/>
        <v>0</v>
      </c>
      <c r="FW220" s="56">
        <f t="shared" si="548"/>
        <v>0</v>
      </c>
      <c r="FX220" s="56">
        <f t="shared" si="548"/>
        <v>0</v>
      </c>
      <c r="FY220" s="56">
        <f t="shared" si="548"/>
        <v>0</v>
      </c>
      <c r="FZ220" s="56">
        <f t="shared" si="548"/>
        <v>0</v>
      </c>
      <c r="GA220" s="56">
        <f t="shared" si="548"/>
        <v>0</v>
      </c>
      <c r="GB220" s="56">
        <f t="shared" si="548"/>
        <v>0</v>
      </c>
      <c r="GC220" s="56">
        <f t="shared" si="548"/>
        <v>0</v>
      </c>
      <c r="GD220" s="56">
        <f t="shared" si="548"/>
        <v>0</v>
      </c>
      <c r="GE220" s="56">
        <f t="shared" si="548"/>
        <v>0</v>
      </c>
      <c r="GF220" s="56">
        <f t="shared" si="548"/>
        <v>0</v>
      </c>
      <c r="GG220" s="56">
        <f t="shared" si="548"/>
        <v>0</v>
      </c>
      <c r="GH220" s="56">
        <f t="shared" si="548"/>
        <v>0</v>
      </c>
      <c r="GI220" s="56">
        <f t="shared" si="548"/>
        <v>0</v>
      </c>
      <c r="GJ220" s="56">
        <f t="shared" si="548"/>
        <v>0</v>
      </c>
      <c r="GK220" s="56">
        <f t="shared" si="548"/>
        <v>0</v>
      </c>
      <c r="GL220" s="56">
        <f t="shared" si="548"/>
        <v>0</v>
      </c>
      <c r="GM220" s="56">
        <f t="shared" si="548"/>
        <v>0</v>
      </c>
      <c r="GN220" s="56">
        <f t="shared" si="548"/>
        <v>0</v>
      </c>
      <c r="GO220" s="56">
        <f t="shared" si="548"/>
        <v>0</v>
      </c>
      <c r="GP220" s="56">
        <f t="shared" si="548"/>
        <v>0</v>
      </c>
    </row>
    <row r="221" spans="1:198" x14ac:dyDescent="0.35">
      <c r="A221" s="55" t="str">
        <f t="shared" si="524"/>
        <v>Canada &gt; available now</v>
      </c>
      <c r="B221" s="55" t="s">
        <v>297</v>
      </c>
      <c r="K221" s="56">
        <f t="shared" ref="K221:AP221" ca="1" si="549">IF(K171&gt;0,MAX(0,K146-K195),0)</f>
        <v>0</v>
      </c>
      <c r="L221" s="56">
        <f t="shared" ca="1" si="549"/>
        <v>0</v>
      </c>
      <c r="M221" s="56">
        <f t="shared" ca="1" si="549"/>
        <v>0</v>
      </c>
      <c r="N221" s="56">
        <f t="shared" ca="1" si="549"/>
        <v>0</v>
      </c>
      <c r="O221" s="56">
        <f t="shared" ca="1" si="549"/>
        <v>0</v>
      </c>
      <c r="P221" s="56">
        <f t="shared" ca="1" si="549"/>
        <v>0</v>
      </c>
      <c r="Q221" s="56">
        <f t="shared" ca="1" si="549"/>
        <v>0</v>
      </c>
      <c r="R221" s="56">
        <f t="shared" ca="1" si="549"/>
        <v>0</v>
      </c>
      <c r="S221" s="56">
        <f t="shared" ca="1" si="549"/>
        <v>0</v>
      </c>
      <c r="T221" s="56">
        <f t="shared" ca="1" si="549"/>
        <v>0</v>
      </c>
      <c r="U221" s="56">
        <f t="shared" ca="1" si="549"/>
        <v>0</v>
      </c>
      <c r="V221" s="56">
        <f t="shared" ca="1" si="549"/>
        <v>0</v>
      </c>
      <c r="W221" s="56">
        <f t="shared" ca="1" si="549"/>
        <v>0</v>
      </c>
      <c r="X221" s="56">
        <f t="shared" ca="1" si="549"/>
        <v>0</v>
      </c>
      <c r="Y221" s="56">
        <f t="shared" ca="1" si="549"/>
        <v>0</v>
      </c>
      <c r="Z221" s="56">
        <f t="shared" ca="1" si="549"/>
        <v>0</v>
      </c>
      <c r="AA221" s="56">
        <f t="shared" ca="1" si="549"/>
        <v>0</v>
      </c>
      <c r="AB221" s="56">
        <f t="shared" ca="1" si="549"/>
        <v>0</v>
      </c>
      <c r="AC221" s="56">
        <f t="shared" ca="1" si="549"/>
        <v>0</v>
      </c>
      <c r="AD221" s="56">
        <f t="shared" ca="1" si="549"/>
        <v>0</v>
      </c>
      <c r="AE221" s="56">
        <f t="shared" ca="1" si="549"/>
        <v>0</v>
      </c>
      <c r="AF221" s="56">
        <f t="shared" ca="1" si="549"/>
        <v>0</v>
      </c>
      <c r="AG221" s="56">
        <f t="shared" ca="1" si="549"/>
        <v>0</v>
      </c>
      <c r="AH221" s="56">
        <f t="shared" ca="1" si="549"/>
        <v>0</v>
      </c>
      <c r="AI221" s="56">
        <f t="shared" ca="1" si="549"/>
        <v>0</v>
      </c>
      <c r="AJ221" s="56">
        <f t="shared" ca="1" si="549"/>
        <v>0</v>
      </c>
      <c r="AK221" s="56">
        <f t="shared" ca="1" si="549"/>
        <v>0</v>
      </c>
      <c r="AL221" s="56">
        <f t="shared" ca="1" si="549"/>
        <v>0</v>
      </c>
      <c r="AM221" s="56">
        <f t="shared" ca="1" si="549"/>
        <v>0</v>
      </c>
      <c r="AN221" s="56">
        <f t="shared" ca="1" si="549"/>
        <v>0</v>
      </c>
      <c r="AO221" s="56">
        <f t="shared" ca="1" si="549"/>
        <v>0</v>
      </c>
      <c r="AP221" s="56">
        <f t="shared" ca="1" si="549"/>
        <v>0</v>
      </c>
      <c r="AQ221" s="56">
        <f t="shared" ref="AQ221:BV221" ca="1" si="550">IF(AQ171&gt;0,MAX(0,AQ146-AQ195),0)</f>
        <v>0</v>
      </c>
      <c r="AR221" s="56">
        <f t="shared" ca="1" si="550"/>
        <v>0</v>
      </c>
      <c r="AS221" s="56">
        <f t="shared" ca="1" si="550"/>
        <v>0</v>
      </c>
      <c r="AT221" s="56">
        <f t="shared" ca="1" si="550"/>
        <v>0</v>
      </c>
      <c r="AU221" s="56">
        <f t="shared" ca="1" si="550"/>
        <v>0</v>
      </c>
      <c r="AV221" s="56">
        <f t="shared" ca="1" si="550"/>
        <v>0</v>
      </c>
      <c r="AW221" s="56">
        <f t="shared" ca="1" si="550"/>
        <v>0</v>
      </c>
      <c r="AX221" s="56">
        <f t="shared" ca="1" si="550"/>
        <v>0</v>
      </c>
      <c r="AY221" s="56">
        <f t="shared" ca="1" si="550"/>
        <v>0</v>
      </c>
      <c r="AZ221" s="56">
        <f t="shared" ca="1" si="550"/>
        <v>0</v>
      </c>
      <c r="BA221" s="56">
        <f t="shared" ca="1" si="550"/>
        <v>0</v>
      </c>
      <c r="BB221" s="56">
        <f t="shared" ca="1" si="550"/>
        <v>0</v>
      </c>
      <c r="BC221" s="56">
        <f t="shared" ca="1" si="550"/>
        <v>0</v>
      </c>
      <c r="BD221" s="56">
        <f t="shared" ca="1" si="550"/>
        <v>0</v>
      </c>
      <c r="BE221" s="56">
        <f t="shared" ca="1" si="550"/>
        <v>0</v>
      </c>
      <c r="BF221" s="56">
        <f t="shared" ca="1" si="550"/>
        <v>0</v>
      </c>
      <c r="BG221" s="56">
        <f t="shared" ca="1" si="550"/>
        <v>0</v>
      </c>
      <c r="BH221" s="56">
        <f t="shared" ca="1" si="550"/>
        <v>0</v>
      </c>
      <c r="BI221" s="56">
        <f t="shared" ca="1" si="550"/>
        <v>0</v>
      </c>
      <c r="BJ221" s="56">
        <f t="shared" ca="1" si="550"/>
        <v>0</v>
      </c>
      <c r="BK221" s="56">
        <f t="shared" ca="1" si="550"/>
        <v>0</v>
      </c>
      <c r="BL221" s="56">
        <f t="shared" ca="1" si="550"/>
        <v>0</v>
      </c>
      <c r="BM221" s="56">
        <f t="shared" ca="1" si="550"/>
        <v>0</v>
      </c>
      <c r="BN221" s="56">
        <f t="shared" ca="1" si="550"/>
        <v>0</v>
      </c>
      <c r="BO221" s="56">
        <f t="shared" ca="1" si="550"/>
        <v>0</v>
      </c>
      <c r="BP221" s="56">
        <f t="shared" ca="1" si="550"/>
        <v>0</v>
      </c>
      <c r="BQ221" s="56">
        <f t="shared" ca="1" si="550"/>
        <v>0</v>
      </c>
      <c r="BR221" s="56">
        <f t="shared" ca="1" si="550"/>
        <v>0</v>
      </c>
      <c r="BS221" s="56">
        <f t="shared" ca="1" si="550"/>
        <v>0</v>
      </c>
      <c r="BT221" s="56">
        <f t="shared" ca="1" si="550"/>
        <v>0</v>
      </c>
      <c r="BU221" s="56">
        <f t="shared" ca="1" si="550"/>
        <v>0</v>
      </c>
      <c r="BV221" s="56">
        <f t="shared" ca="1" si="550"/>
        <v>0</v>
      </c>
      <c r="BW221" s="56">
        <f t="shared" ref="BW221:DB221" ca="1" si="551">IF(BW171&gt;0,MAX(0,BW146-BW195),0)</f>
        <v>0</v>
      </c>
      <c r="BX221" s="56">
        <f t="shared" ca="1" si="551"/>
        <v>0</v>
      </c>
      <c r="BY221" s="56">
        <f t="shared" ca="1" si="551"/>
        <v>0</v>
      </c>
      <c r="BZ221" s="56">
        <f t="shared" ca="1" si="551"/>
        <v>0</v>
      </c>
      <c r="CA221" s="56">
        <f t="shared" ca="1" si="551"/>
        <v>0</v>
      </c>
      <c r="CB221" s="56">
        <f t="shared" ca="1" si="551"/>
        <v>0</v>
      </c>
      <c r="CC221" s="56">
        <f t="shared" ca="1" si="551"/>
        <v>0</v>
      </c>
      <c r="CD221" s="56">
        <f t="shared" ca="1" si="551"/>
        <v>0</v>
      </c>
      <c r="CE221" s="56">
        <f t="shared" ca="1" si="551"/>
        <v>0</v>
      </c>
      <c r="CF221" s="56">
        <f t="shared" ca="1" si="551"/>
        <v>0</v>
      </c>
      <c r="CG221" s="56">
        <f t="shared" ca="1" si="551"/>
        <v>0</v>
      </c>
      <c r="CH221" s="56">
        <f t="shared" ca="1" si="551"/>
        <v>0</v>
      </c>
      <c r="CI221" s="56">
        <f t="shared" ca="1" si="551"/>
        <v>0</v>
      </c>
      <c r="CJ221" s="56">
        <f t="shared" ca="1" si="551"/>
        <v>0</v>
      </c>
      <c r="CK221" s="56">
        <f t="shared" si="551"/>
        <v>0</v>
      </c>
      <c r="CL221" s="56">
        <f t="shared" si="551"/>
        <v>0</v>
      </c>
      <c r="CM221" s="56">
        <f t="shared" si="551"/>
        <v>0</v>
      </c>
      <c r="CN221" s="56">
        <f t="shared" si="551"/>
        <v>0</v>
      </c>
      <c r="CO221" s="56">
        <f t="shared" si="551"/>
        <v>0</v>
      </c>
      <c r="CP221" s="56">
        <f t="shared" si="551"/>
        <v>0</v>
      </c>
      <c r="CQ221" s="56">
        <f t="shared" si="551"/>
        <v>0</v>
      </c>
      <c r="CR221" s="56">
        <f t="shared" si="551"/>
        <v>0</v>
      </c>
      <c r="CS221" s="56">
        <f t="shared" si="551"/>
        <v>0</v>
      </c>
      <c r="CT221" s="56">
        <f t="shared" si="551"/>
        <v>0</v>
      </c>
      <c r="CU221" s="56">
        <f t="shared" si="551"/>
        <v>0</v>
      </c>
      <c r="CV221" s="56">
        <f t="shared" si="551"/>
        <v>0</v>
      </c>
      <c r="CW221" s="56">
        <f t="shared" si="551"/>
        <v>0</v>
      </c>
      <c r="CX221" s="56">
        <f t="shared" si="551"/>
        <v>0</v>
      </c>
      <c r="CY221" s="56">
        <f t="shared" si="551"/>
        <v>0</v>
      </c>
      <c r="CZ221" s="56">
        <f t="shared" si="551"/>
        <v>0</v>
      </c>
      <c r="DA221" s="56">
        <f t="shared" si="551"/>
        <v>0</v>
      </c>
      <c r="DB221" s="56">
        <f t="shared" si="551"/>
        <v>0</v>
      </c>
      <c r="DC221" s="56">
        <f t="shared" ref="DC221:EH221" si="552">IF(DC171&gt;0,MAX(0,DC146-DC195),0)</f>
        <v>0</v>
      </c>
      <c r="DD221" s="56">
        <f t="shared" si="552"/>
        <v>0</v>
      </c>
      <c r="DE221" s="56">
        <f t="shared" si="552"/>
        <v>0</v>
      </c>
      <c r="DF221" s="56">
        <f t="shared" si="552"/>
        <v>0</v>
      </c>
      <c r="DG221" s="56">
        <f t="shared" si="552"/>
        <v>0</v>
      </c>
      <c r="DH221" s="56">
        <f t="shared" si="552"/>
        <v>0</v>
      </c>
      <c r="DI221" s="56">
        <f t="shared" si="552"/>
        <v>0</v>
      </c>
      <c r="DJ221" s="56">
        <f t="shared" si="552"/>
        <v>0</v>
      </c>
      <c r="DK221" s="56">
        <f t="shared" si="552"/>
        <v>0</v>
      </c>
      <c r="DL221" s="56">
        <f t="shared" si="552"/>
        <v>0</v>
      </c>
      <c r="DM221" s="56">
        <f t="shared" si="552"/>
        <v>0</v>
      </c>
      <c r="DN221" s="56">
        <f t="shared" si="552"/>
        <v>0</v>
      </c>
      <c r="DO221" s="56">
        <f t="shared" si="552"/>
        <v>0</v>
      </c>
      <c r="DP221" s="56">
        <f t="shared" si="552"/>
        <v>0</v>
      </c>
      <c r="DQ221" s="56">
        <f t="shared" si="552"/>
        <v>0</v>
      </c>
      <c r="DR221" s="56">
        <f t="shared" si="552"/>
        <v>0</v>
      </c>
      <c r="DS221" s="56">
        <f t="shared" si="552"/>
        <v>0</v>
      </c>
      <c r="DT221" s="56">
        <f t="shared" si="552"/>
        <v>0</v>
      </c>
      <c r="DU221" s="56">
        <f t="shared" si="552"/>
        <v>0</v>
      </c>
      <c r="DV221" s="56">
        <f t="shared" si="552"/>
        <v>0</v>
      </c>
      <c r="DW221" s="56">
        <f t="shared" si="552"/>
        <v>0</v>
      </c>
      <c r="DX221" s="56">
        <f t="shared" si="552"/>
        <v>0</v>
      </c>
      <c r="DY221" s="56">
        <f t="shared" si="552"/>
        <v>0</v>
      </c>
      <c r="DZ221" s="56">
        <f t="shared" si="552"/>
        <v>0</v>
      </c>
      <c r="EA221" s="56">
        <f t="shared" si="552"/>
        <v>0</v>
      </c>
      <c r="EB221" s="56">
        <f t="shared" si="552"/>
        <v>0</v>
      </c>
      <c r="EC221" s="56">
        <f t="shared" si="552"/>
        <v>0</v>
      </c>
      <c r="ED221" s="56">
        <f t="shared" si="552"/>
        <v>0</v>
      </c>
      <c r="EE221" s="56">
        <f t="shared" si="552"/>
        <v>0</v>
      </c>
      <c r="EF221" s="56">
        <f t="shared" si="552"/>
        <v>0</v>
      </c>
      <c r="EG221" s="56">
        <f t="shared" si="552"/>
        <v>0</v>
      </c>
      <c r="EH221" s="56">
        <f t="shared" si="552"/>
        <v>0</v>
      </c>
      <c r="EI221" s="56">
        <f t="shared" ref="EI221:FN221" si="553">IF(EI171&gt;0,MAX(0,EI146-EI195),0)</f>
        <v>0</v>
      </c>
      <c r="EJ221" s="56">
        <f t="shared" si="553"/>
        <v>0</v>
      </c>
      <c r="EK221" s="56">
        <f t="shared" si="553"/>
        <v>0</v>
      </c>
      <c r="EL221" s="56">
        <f t="shared" si="553"/>
        <v>0</v>
      </c>
      <c r="EM221" s="56">
        <f t="shared" si="553"/>
        <v>0</v>
      </c>
      <c r="EN221" s="56">
        <f t="shared" si="553"/>
        <v>0</v>
      </c>
      <c r="EO221" s="56">
        <f t="shared" si="553"/>
        <v>0</v>
      </c>
      <c r="EP221" s="56">
        <f t="shared" si="553"/>
        <v>0</v>
      </c>
      <c r="EQ221" s="56">
        <f t="shared" si="553"/>
        <v>0</v>
      </c>
      <c r="ER221" s="56">
        <f t="shared" si="553"/>
        <v>0</v>
      </c>
      <c r="ES221" s="56">
        <f t="shared" si="553"/>
        <v>0</v>
      </c>
      <c r="ET221" s="56">
        <f t="shared" si="553"/>
        <v>0</v>
      </c>
      <c r="EU221" s="56">
        <f t="shared" si="553"/>
        <v>0</v>
      </c>
      <c r="EV221" s="56">
        <f t="shared" si="553"/>
        <v>0</v>
      </c>
      <c r="EW221" s="56">
        <f t="shared" si="553"/>
        <v>0</v>
      </c>
      <c r="EX221" s="56">
        <f t="shared" si="553"/>
        <v>0</v>
      </c>
      <c r="EY221" s="56">
        <f t="shared" si="553"/>
        <v>0</v>
      </c>
      <c r="EZ221" s="56">
        <f t="shared" si="553"/>
        <v>0</v>
      </c>
      <c r="FA221" s="56">
        <f t="shared" si="553"/>
        <v>0</v>
      </c>
      <c r="FB221" s="56">
        <f t="shared" si="553"/>
        <v>0</v>
      </c>
      <c r="FC221" s="56">
        <f t="shared" si="553"/>
        <v>0</v>
      </c>
      <c r="FD221" s="56">
        <f t="shared" si="553"/>
        <v>0</v>
      </c>
      <c r="FE221" s="56">
        <f t="shared" si="553"/>
        <v>0</v>
      </c>
      <c r="FF221" s="56">
        <f t="shared" si="553"/>
        <v>0</v>
      </c>
      <c r="FG221" s="56">
        <f t="shared" si="553"/>
        <v>0</v>
      </c>
      <c r="FH221" s="56">
        <f t="shared" si="553"/>
        <v>0</v>
      </c>
      <c r="FI221" s="56">
        <f t="shared" si="553"/>
        <v>0</v>
      </c>
      <c r="FJ221" s="56">
        <f t="shared" si="553"/>
        <v>0</v>
      </c>
      <c r="FK221" s="56">
        <f t="shared" si="553"/>
        <v>0</v>
      </c>
      <c r="FL221" s="56">
        <f t="shared" si="553"/>
        <v>0</v>
      </c>
      <c r="FM221" s="56">
        <f t="shared" si="553"/>
        <v>0</v>
      </c>
      <c r="FN221" s="56">
        <f t="shared" si="553"/>
        <v>0</v>
      </c>
      <c r="FO221" s="56">
        <f t="shared" ref="FO221:GP221" si="554">IF(FO171&gt;0,MAX(0,FO146-FO195),0)</f>
        <v>0</v>
      </c>
      <c r="FP221" s="56">
        <f t="shared" si="554"/>
        <v>0</v>
      </c>
      <c r="FQ221" s="56">
        <f t="shared" si="554"/>
        <v>0</v>
      </c>
      <c r="FR221" s="56">
        <f t="shared" si="554"/>
        <v>0</v>
      </c>
      <c r="FS221" s="56">
        <f t="shared" si="554"/>
        <v>0</v>
      </c>
      <c r="FT221" s="56">
        <f t="shared" si="554"/>
        <v>0</v>
      </c>
      <c r="FU221" s="56">
        <f t="shared" si="554"/>
        <v>0</v>
      </c>
      <c r="FV221" s="56">
        <f t="shared" si="554"/>
        <v>0</v>
      </c>
      <c r="FW221" s="56">
        <f t="shared" si="554"/>
        <v>0</v>
      </c>
      <c r="FX221" s="56">
        <f t="shared" si="554"/>
        <v>0</v>
      </c>
      <c r="FY221" s="56">
        <f t="shared" si="554"/>
        <v>0</v>
      </c>
      <c r="FZ221" s="56">
        <f t="shared" si="554"/>
        <v>0</v>
      </c>
      <c r="GA221" s="56">
        <f t="shared" si="554"/>
        <v>0</v>
      </c>
      <c r="GB221" s="56">
        <f t="shared" si="554"/>
        <v>0</v>
      </c>
      <c r="GC221" s="56">
        <f t="shared" si="554"/>
        <v>0</v>
      </c>
      <c r="GD221" s="56">
        <f t="shared" si="554"/>
        <v>0</v>
      </c>
      <c r="GE221" s="56">
        <f t="shared" si="554"/>
        <v>0</v>
      </c>
      <c r="GF221" s="56">
        <f t="shared" si="554"/>
        <v>0</v>
      </c>
      <c r="GG221" s="56">
        <f t="shared" si="554"/>
        <v>0</v>
      </c>
      <c r="GH221" s="56">
        <f t="shared" si="554"/>
        <v>0</v>
      </c>
      <c r="GI221" s="56">
        <f t="shared" si="554"/>
        <v>0</v>
      </c>
      <c r="GJ221" s="56">
        <f t="shared" si="554"/>
        <v>0</v>
      </c>
      <c r="GK221" s="56">
        <f t="shared" si="554"/>
        <v>0</v>
      </c>
      <c r="GL221" s="56">
        <f t="shared" si="554"/>
        <v>0</v>
      </c>
      <c r="GM221" s="56">
        <f t="shared" si="554"/>
        <v>0</v>
      </c>
      <c r="GN221" s="56">
        <f t="shared" si="554"/>
        <v>0</v>
      </c>
      <c r="GO221" s="56">
        <f t="shared" si="554"/>
        <v>0</v>
      </c>
      <c r="GP221" s="56">
        <f t="shared" si="554"/>
        <v>0</v>
      </c>
    </row>
    <row r="222" spans="1:198" x14ac:dyDescent="0.35">
      <c r="A222" s="55" t="str">
        <f t="shared" si="524"/>
        <v>Other &gt; available now</v>
      </c>
      <c r="B222" s="55" t="s">
        <v>297</v>
      </c>
      <c r="K222" s="56">
        <f t="shared" ref="K222:AP222" ca="1" si="555">IF(K172&gt;0,MAX(0,K147-K196),0)</f>
        <v>0</v>
      </c>
      <c r="L222" s="56">
        <f t="shared" ca="1" si="555"/>
        <v>0</v>
      </c>
      <c r="M222" s="56">
        <f t="shared" ca="1" si="555"/>
        <v>0</v>
      </c>
      <c r="N222" s="56">
        <f t="shared" ca="1" si="555"/>
        <v>0</v>
      </c>
      <c r="O222" s="56">
        <f t="shared" ca="1" si="555"/>
        <v>0</v>
      </c>
      <c r="P222" s="56">
        <f t="shared" ca="1" si="555"/>
        <v>0</v>
      </c>
      <c r="Q222" s="56">
        <f t="shared" ca="1" si="555"/>
        <v>0</v>
      </c>
      <c r="R222" s="56">
        <f t="shared" ca="1" si="555"/>
        <v>0</v>
      </c>
      <c r="S222" s="56">
        <f t="shared" ca="1" si="555"/>
        <v>0</v>
      </c>
      <c r="T222" s="56">
        <f t="shared" ca="1" si="555"/>
        <v>0</v>
      </c>
      <c r="U222" s="56">
        <f t="shared" ca="1" si="555"/>
        <v>0</v>
      </c>
      <c r="V222" s="56">
        <f t="shared" ca="1" si="555"/>
        <v>0</v>
      </c>
      <c r="W222" s="56">
        <f t="shared" ca="1" si="555"/>
        <v>0</v>
      </c>
      <c r="X222" s="56">
        <f t="shared" ca="1" si="555"/>
        <v>0</v>
      </c>
      <c r="Y222" s="56">
        <f t="shared" ca="1" si="555"/>
        <v>0</v>
      </c>
      <c r="Z222" s="56">
        <f t="shared" ca="1" si="555"/>
        <v>0</v>
      </c>
      <c r="AA222" s="56">
        <f t="shared" ca="1" si="555"/>
        <v>0</v>
      </c>
      <c r="AB222" s="56">
        <f t="shared" ca="1" si="555"/>
        <v>0</v>
      </c>
      <c r="AC222" s="56">
        <f t="shared" ca="1" si="555"/>
        <v>0</v>
      </c>
      <c r="AD222" s="56">
        <f t="shared" ca="1" si="555"/>
        <v>0</v>
      </c>
      <c r="AE222" s="56">
        <f t="shared" ca="1" si="555"/>
        <v>0</v>
      </c>
      <c r="AF222" s="56">
        <f t="shared" ca="1" si="555"/>
        <v>0</v>
      </c>
      <c r="AG222" s="56">
        <f t="shared" ca="1" si="555"/>
        <v>0</v>
      </c>
      <c r="AH222" s="56">
        <f t="shared" ca="1" si="555"/>
        <v>0</v>
      </c>
      <c r="AI222" s="56">
        <f t="shared" ca="1" si="555"/>
        <v>0</v>
      </c>
      <c r="AJ222" s="56">
        <f t="shared" ca="1" si="555"/>
        <v>0</v>
      </c>
      <c r="AK222" s="56">
        <f t="shared" ca="1" si="555"/>
        <v>0</v>
      </c>
      <c r="AL222" s="56">
        <f t="shared" ca="1" si="555"/>
        <v>0</v>
      </c>
      <c r="AM222" s="56">
        <f t="shared" ca="1" si="555"/>
        <v>0</v>
      </c>
      <c r="AN222" s="56">
        <f t="shared" ca="1" si="555"/>
        <v>0</v>
      </c>
      <c r="AO222" s="56">
        <f t="shared" ca="1" si="555"/>
        <v>0</v>
      </c>
      <c r="AP222" s="56">
        <f t="shared" ca="1" si="555"/>
        <v>0</v>
      </c>
      <c r="AQ222" s="56">
        <f t="shared" ref="AQ222:BV222" ca="1" si="556">IF(AQ172&gt;0,MAX(0,AQ147-AQ196),0)</f>
        <v>0</v>
      </c>
      <c r="AR222" s="56">
        <f t="shared" ca="1" si="556"/>
        <v>0</v>
      </c>
      <c r="AS222" s="56">
        <f t="shared" ca="1" si="556"/>
        <v>0</v>
      </c>
      <c r="AT222" s="56">
        <f t="shared" ca="1" si="556"/>
        <v>0</v>
      </c>
      <c r="AU222" s="56">
        <f t="shared" ca="1" si="556"/>
        <v>0</v>
      </c>
      <c r="AV222" s="56">
        <f t="shared" ca="1" si="556"/>
        <v>0</v>
      </c>
      <c r="AW222" s="56">
        <f t="shared" ca="1" si="556"/>
        <v>0</v>
      </c>
      <c r="AX222" s="56">
        <f t="shared" ca="1" si="556"/>
        <v>0</v>
      </c>
      <c r="AY222" s="56">
        <f t="shared" ca="1" si="556"/>
        <v>0</v>
      </c>
      <c r="AZ222" s="56">
        <f t="shared" ca="1" si="556"/>
        <v>0</v>
      </c>
      <c r="BA222" s="56">
        <f t="shared" ca="1" si="556"/>
        <v>0</v>
      </c>
      <c r="BB222" s="56">
        <f t="shared" ca="1" si="556"/>
        <v>0</v>
      </c>
      <c r="BC222" s="56">
        <f t="shared" ca="1" si="556"/>
        <v>0</v>
      </c>
      <c r="BD222" s="56">
        <f t="shared" ca="1" si="556"/>
        <v>0</v>
      </c>
      <c r="BE222" s="56">
        <f t="shared" ca="1" si="556"/>
        <v>0</v>
      </c>
      <c r="BF222" s="56">
        <f t="shared" ca="1" si="556"/>
        <v>0</v>
      </c>
      <c r="BG222" s="56">
        <f t="shared" ca="1" si="556"/>
        <v>0</v>
      </c>
      <c r="BH222" s="56">
        <f t="shared" ca="1" si="556"/>
        <v>0</v>
      </c>
      <c r="BI222" s="56">
        <f t="shared" ca="1" si="556"/>
        <v>0</v>
      </c>
      <c r="BJ222" s="56">
        <f t="shared" ca="1" si="556"/>
        <v>0</v>
      </c>
      <c r="BK222" s="56">
        <f t="shared" ca="1" si="556"/>
        <v>0</v>
      </c>
      <c r="BL222" s="56">
        <f t="shared" ca="1" si="556"/>
        <v>0</v>
      </c>
      <c r="BM222" s="56">
        <f t="shared" ca="1" si="556"/>
        <v>0</v>
      </c>
      <c r="BN222" s="56">
        <f t="shared" ca="1" si="556"/>
        <v>0</v>
      </c>
      <c r="BO222" s="56">
        <f t="shared" ca="1" si="556"/>
        <v>0</v>
      </c>
      <c r="BP222" s="56">
        <f t="shared" ca="1" si="556"/>
        <v>0</v>
      </c>
      <c r="BQ222" s="56">
        <f t="shared" ca="1" si="556"/>
        <v>0</v>
      </c>
      <c r="BR222" s="56">
        <f t="shared" ca="1" si="556"/>
        <v>0</v>
      </c>
      <c r="BS222" s="56">
        <f t="shared" ca="1" si="556"/>
        <v>0</v>
      </c>
      <c r="BT222" s="56">
        <f t="shared" ca="1" si="556"/>
        <v>0</v>
      </c>
      <c r="BU222" s="56">
        <f t="shared" ca="1" si="556"/>
        <v>0</v>
      </c>
      <c r="BV222" s="56">
        <f t="shared" ca="1" si="556"/>
        <v>0</v>
      </c>
      <c r="BW222" s="56">
        <f t="shared" ref="BW222:DB222" ca="1" si="557">IF(BW172&gt;0,MAX(0,BW147-BW196),0)</f>
        <v>0</v>
      </c>
      <c r="BX222" s="56">
        <f t="shared" ca="1" si="557"/>
        <v>0</v>
      </c>
      <c r="BY222" s="56">
        <f t="shared" ca="1" si="557"/>
        <v>0</v>
      </c>
      <c r="BZ222" s="56">
        <f t="shared" ca="1" si="557"/>
        <v>0</v>
      </c>
      <c r="CA222" s="56">
        <f t="shared" ca="1" si="557"/>
        <v>0</v>
      </c>
      <c r="CB222" s="56">
        <f t="shared" ca="1" si="557"/>
        <v>0</v>
      </c>
      <c r="CC222" s="56">
        <f t="shared" ca="1" si="557"/>
        <v>0</v>
      </c>
      <c r="CD222" s="56">
        <f t="shared" ca="1" si="557"/>
        <v>0</v>
      </c>
      <c r="CE222" s="56">
        <f t="shared" ca="1" si="557"/>
        <v>0</v>
      </c>
      <c r="CF222" s="56">
        <f t="shared" ca="1" si="557"/>
        <v>0</v>
      </c>
      <c r="CG222" s="56">
        <f t="shared" ca="1" si="557"/>
        <v>0</v>
      </c>
      <c r="CH222" s="56">
        <f t="shared" ca="1" si="557"/>
        <v>0</v>
      </c>
      <c r="CI222" s="56">
        <f t="shared" ca="1" si="557"/>
        <v>0</v>
      </c>
      <c r="CJ222" s="56">
        <f t="shared" ca="1" si="557"/>
        <v>0</v>
      </c>
      <c r="CK222" s="56">
        <f t="shared" si="557"/>
        <v>0</v>
      </c>
      <c r="CL222" s="56">
        <f t="shared" si="557"/>
        <v>0</v>
      </c>
      <c r="CM222" s="56">
        <f t="shared" si="557"/>
        <v>0</v>
      </c>
      <c r="CN222" s="56">
        <f t="shared" si="557"/>
        <v>0</v>
      </c>
      <c r="CO222" s="56">
        <f t="shared" si="557"/>
        <v>0</v>
      </c>
      <c r="CP222" s="56">
        <f t="shared" si="557"/>
        <v>0</v>
      </c>
      <c r="CQ222" s="56">
        <f t="shared" si="557"/>
        <v>0</v>
      </c>
      <c r="CR222" s="56">
        <f t="shared" si="557"/>
        <v>0</v>
      </c>
      <c r="CS222" s="56">
        <f t="shared" si="557"/>
        <v>0</v>
      </c>
      <c r="CT222" s="56">
        <f t="shared" si="557"/>
        <v>0</v>
      </c>
      <c r="CU222" s="56">
        <f t="shared" si="557"/>
        <v>0</v>
      </c>
      <c r="CV222" s="56">
        <f t="shared" si="557"/>
        <v>0</v>
      </c>
      <c r="CW222" s="56">
        <f t="shared" si="557"/>
        <v>0</v>
      </c>
      <c r="CX222" s="56">
        <f t="shared" si="557"/>
        <v>0</v>
      </c>
      <c r="CY222" s="56">
        <f t="shared" si="557"/>
        <v>0</v>
      </c>
      <c r="CZ222" s="56">
        <f t="shared" si="557"/>
        <v>0</v>
      </c>
      <c r="DA222" s="56">
        <f t="shared" si="557"/>
        <v>0</v>
      </c>
      <c r="DB222" s="56">
        <f t="shared" si="557"/>
        <v>0</v>
      </c>
      <c r="DC222" s="56">
        <f t="shared" ref="DC222:EH222" si="558">IF(DC172&gt;0,MAX(0,DC147-DC196),0)</f>
        <v>0</v>
      </c>
      <c r="DD222" s="56">
        <f t="shared" si="558"/>
        <v>0</v>
      </c>
      <c r="DE222" s="56">
        <f t="shared" si="558"/>
        <v>0</v>
      </c>
      <c r="DF222" s="56">
        <f t="shared" si="558"/>
        <v>0</v>
      </c>
      <c r="DG222" s="56">
        <f t="shared" si="558"/>
        <v>0</v>
      </c>
      <c r="DH222" s="56">
        <f t="shared" si="558"/>
        <v>0</v>
      </c>
      <c r="DI222" s="56">
        <f t="shared" si="558"/>
        <v>0</v>
      </c>
      <c r="DJ222" s="56">
        <f t="shared" si="558"/>
        <v>0</v>
      </c>
      <c r="DK222" s="56">
        <f t="shared" si="558"/>
        <v>0</v>
      </c>
      <c r="DL222" s="56">
        <f t="shared" si="558"/>
        <v>0</v>
      </c>
      <c r="DM222" s="56">
        <f t="shared" si="558"/>
        <v>0</v>
      </c>
      <c r="DN222" s="56">
        <f t="shared" si="558"/>
        <v>0</v>
      </c>
      <c r="DO222" s="56">
        <f t="shared" si="558"/>
        <v>0</v>
      </c>
      <c r="DP222" s="56">
        <f t="shared" si="558"/>
        <v>0</v>
      </c>
      <c r="DQ222" s="56">
        <f t="shared" si="558"/>
        <v>0</v>
      </c>
      <c r="DR222" s="56">
        <f t="shared" si="558"/>
        <v>0</v>
      </c>
      <c r="DS222" s="56">
        <f t="shared" si="558"/>
        <v>0</v>
      </c>
      <c r="DT222" s="56">
        <f t="shared" si="558"/>
        <v>0</v>
      </c>
      <c r="DU222" s="56">
        <f t="shared" si="558"/>
        <v>0</v>
      </c>
      <c r="DV222" s="56">
        <f t="shared" si="558"/>
        <v>0</v>
      </c>
      <c r="DW222" s="56">
        <f t="shared" si="558"/>
        <v>0</v>
      </c>
      <c r="DX222" s="56">
        <f t="shared" si="558"/>
        <v>0</v>
      </c>
      <c r="DY222" s="56">
        <f t="shared" si="558"/>
        <v>0</v>
      </c>
      <c r="DZ222" s="56">
        <f t="shared" si="558"/>
        <v>0</v>
      </c>
      <c r="EA222" s="56">
        <f t="shared" si="558"/>
        <v>0</v>
      </c>
      <c r="EB222" s="56">
        <f t="shared" si="558"/>
        <v>0</v>
      </c>
      <c r="EC222" s="56">
        <f t="shared" si="558"/>
        <v>0</v>
      </c>
      <c r="ED222" s="56">
        <f t="shared" si="558"/>
        <v>0</v>
      </c>
      <c r="EE222" s="56">
        <f t="shared" si="558"/>
        <v>0</v>
      </c>
      <c r="EF222" s="56">
        <f t="shared" si="558"/>
        <v>0</v>
      </c>
      <c r="EG222" s="56">
        <f t="shared" si="558"/>
        <v>0</v>
      </c>
      <c r="EH222" s="56">
        <f t="shared" si="558"/>
        <v>0</v>
      </c>
      <c r="EI222" s="56">
        <f t="shared" ref="EI222:FN222" si="559">IF(EI172&gt;0,MAX(0,EI147-EI196),0)</f>
        <v>0</v>
      </c>
      <c r="EJ222" s="56">
        <f t="shared" si="559"/>
        <v>0</v>
      </c>
      <c r="EK222" s="56">
        <f t="shared" si="559"/>
        <v>0</v>
      </c>
      <c r="EL222" s="56">
        <f t="shared" si="559"/>
        <v>0</v>
      </c>
      <c r="EM222" s="56">
        <f t="shared" si="559"/>
        <v>0</v>
      </c>
      <c r="EN222" s="56">
        <f t="shared" si="559"/>
        <v>0</v>
      </c>
      <c r="EO222" s="56">
        <f t="shared" si="559"/>
        <v>0</v>
      </c>
      <c r="EP222" s="56">
        <f t="shared" si="559"/>
        <v>0</v>
      </c>
      <c r="EQ222" s="56">
        <f t="shared" si="559"/>
        <v>0</v>
      </c>
      <c r="ER222" s="56">
        <f t="shared" si="559"/>
        <v>0</v>
      </c>
      <c r="ES222" s="56">
        <f t="shared" si="559"/>
        <v>0</v>
      </c>
      <c r="ET222" s="56">
        <f t="shared" si="559"/>
        <v>0</v>
      </c>
      <c r="EU222" s="56">
        <f t="shared" si="559"/>
        <v>0</v>
      </c>
      <c r="EV222" s="56">
        <f t="shared" si="559"/>
        <v>0</v>
      </c>
      <c r="EW222" s="56">
        <f t="shared" si="559"/>
        <v>0</v>
      </c>
      <c r="EX222" s="56">
        <f t="shared" si="559"/>
        <v>0</v>
      </c>
      <c r="EY222" s="56">
        <f t="shared" si="559"/>
        <v>0</v>
      </c>
      <c r="EZ222" s="56">
        <f t="shared" si="559"/>
        <v>0</v>
      </c>
      <c r="FA222" s="56">
        <f t="shared" si="559"/>
        <v>0</v>
      </c>
      <c r="FB222" s="56">
        <f t="shared" si="559"/>
        <v>0</v>
      </c>
      <c r="FC222" s="56">
        <f t="shared" si="559"/>
        <v>0</v>
      </c>
      <c r="FD222" s="56">
        <f t="shared" si="559"/>
        <v>0</v>
      </c>
      <c r="FE222" s="56">
        <f t="shared" si="559"/>
        <v>0</v>
      </c>
      <c r="FF222" s="56">
        <f t="shared" si="559"/>
        <v>0</v>
      </c>
      <c r="FG222" s="56">
        <f t="shared" si="559"/>
        <v>0</v>
      </c>
      <c r="FH222" s="56">
        <f t="shared" si="559"/>
        <v>0</v>
      </c>
      <c r="FI222" s="56">
        <f t="shared" si="559"/>
        <v>0</v>
      </c>
      <c r="FJ222" s="56">
        <f t="shared" si="559"/>
        <v>0</v>
      </c>
      <c r="FK222" s="56">
        <f t="shared" si="559"/>
        <v>0</v>
      </c>
      <c r="FL222" s="56">
        <f t="shared" si="559"/>
        <v>0</v>
      </c>
      <c r="FM222" s="56">
        <f t="shared" si="559"/>
        <v>0</v>
      </c>
      <c r="FN222" s="56">
        <f t="shared" si="559"/>
        <v>0</v>
      </c>
      <c r="FO222" s="56">
        <f t="shared" ref="FO222:GP222" si="560">IF(FO172&gt;0,MAX(0,FO147-FO196),0)</f>
        <v>0</v>
      </c>
      <c r="FP222" s="56">
        <f t="shared" si="560"/>
        <v>0</v>
      </c>
      <c r="FQ222" s="56">
        <f t="shared" si="560"/>
        <v>0</v>
      </c>
      <c r="FR222" s="56">
        <f t="shared" si="560"/>
        <v>0</v>
      </c>
      <c r="FS222" s="56">
        <f t="shared" si="560"/>
        <v>0</v>
      </c>
      <c r="FT222" s="56">
        <f t="shared" si="560"/>
        <v>0</v>
      </c>
      <c r="FU222" s="56">
        <f t="shared" si="560"/>
        <v>0</v>
      </c>
      <c r="FV222" s="56">
        <f t="shared" si="560"/>
        <v>0</v>
      </c>
      <c r="FW222" s="56">
        <f t="shared" si="560"/>
        <v>0</v>
      </c>
      <c r="FX222" s="56">
        <f t="shared" si="560"/>
        <v>0</v>
      </c>
      <c r="FY222" s="56">
        <f t="shared" si="560"/>
        <v>0</v>
      </c>
      <c r="FZ222" s="56">
        <f t="shared" si="560"/>
        <v>0</v>
      </c>
      <c r="GA222" s="56">
        <f t="shared" si="560"/>
        <v>0</v>
      </c>
      <c r="GB222" s="56">
        <f t="shared" si="560"/>
        <v>0</v>
      </c>
      <c r="GC222" s="56">
        <f t="shared" si="560"/>
        <v>0</v>
      </c>
      <c r="GD222" s="56">
        <f t="shared" si="560"/>
        <v>0</v>
      </c>
      <c r="GE222" s="56">
        <f t="shared" si="560"/>
        <v>0</v>
      </c>
      <c r="GF222" s="56">
        <f t="shared" si="560"/>
        <v>0</v>
      </c>
      <c r="GG222" s="56">
        <f t="shared" si="560"/>
        <v>0</v>
      </c>
      <c r="GH222" s="56">
        <f t="shared" si="560"/>
        <v>0</v>
      </c>
      <c r="GI222" s="56">
        <f t="shared" si="560"/>
        <v>0</v>
      </c>
      <c r="GJ222" s="56">
        <f t="shared" si="560"/>
        <v>0</v>
      </c>
      <c r="GK222" s="56">
        <f t="shared" si="560"/>
        <v>0</v>
      </c>
      <c r="GL222" s="56">
        <f t="shared" si="560"/>
        <v>0</v>
      </c>
      <c r="GM222" s="56">
        <f t="shared" si="560"/>
        <v>0</v>
      </c>
      <c r="GN222" s="56">
        <f t="shared" si="560"/>
        <v>0</v>
      </c>
      <c r="GO222" s="56">
        <f t="shared" si="560"/>
        <v>0</v>
      </c>
      <c r="GP222" s="56">
        <f t="shared" si="560"/>
        <v>0</v>
      </c>
    </row>
    <row r="223" spans="1:198" ht="24" x14ac:dyDescent="0.35">
      <c r="A223" s="57" t="str">
        <f t="shared" ca="1" si="524"/>
        <v>12
Available now</v>
      </c>
      <c r="B223" s="55" t="s">
        <v>297</v>
      </c>
      <c r="K223" s="56">
        <f t="shared" ref="K223:AP223" si="561">IF(K173&gt;0,MAX(0,K148-K197),0)</f>
        <v>0</v>
      </c>
      <c r="L223" s="56">
        <f t="shared" si="561"/>
        <v>0</v>
      </c>
      <c r="M223" s="56">
        <f t="shared" si="561"/>
        <v>0</v>
      </c>
      <c r="N223" s="56">
        <f t="shared" si="561"/>
        <v>0</v>
      </c>
      <c r="O223" s="56">
        <f t="shared" si="561"/>
        <v>0</v>
      </c>
      <c r="P223" s="56">
        <f t="shared" si="561"/>
        <v>0</v>
      </c>
      <c r="Q223" s="56">
        <f t="shared" si="561"/>
        <v>0</v>
      </c>
      <c r="R223" s="56">
        <f t="shared" si="561"/>
        <v>0</v>
      </c>
      <c r="S223" s="56">
        <f t="shared" si="561"/>
        <v>0</v>
      </c>
      <c r="T223" s="56">
        <f t="shared" si="561"/>
        <v>0</v>
      </c>
      <c r="U223" s="56">
        <f t="shared" si="561"/>
        <v>0</v>
      </c>
      <c r="V223" s="56">
        <f t="shared" si="561"/>
        <v>0</v>
      </c>
      <c r="W223" s="56">
        <f t="shared" si="561"/>
        <v>0</v>
      </c>
      <c r="X223" s="56">
        <f t="shared" si="561"/>
        <v>0</v>
      </c>
      <c r="Y223" s="56">
        <f t="shared" si="561"/>
        <v>0</v>
      </c>
      <c r="Z223" s="56">
        <f t="shared" si="561"/>
        <v>0</v>
      </c>
      <c r="AA223" s="56">
        <f t="shared" si="561"/>
        <v>0</v>
      </c>
      <c r="AB223" s="56">
        <f t="shared" si="561"/>
        <v>0</v>
      </c>
      <c r="AC223" s="56">
        <f t="shared" si="561"/>
        <v>0</v>
      </c>
      <c r="AD223" s="56">
        <f t="shared" si="561"/>
        <v>0</v>
      </c>
      <c r="AE223" s="56">
        <f t="shared" si="561"/>
        <v>0</v>
      </c>
      <c r="AF223" s="56">
        <f t="shared" si="561"/>
        <v>0</v>
      </c>
      <c r="AG223" s="56">
        <f t="shared" si="561"/>
        <v>0</v>
      </c>
      <c r="AH223" s="56">
        <f t="shared" si="561"/>
        <v>0</v>
      </c>
      <c r="AI223" s="56">
        <f t="shared" si="561"/>
        <v>0</v>
      </c>
      <c r="AJ223" s="56">
        <f t="shared" si="561"/>
        <v>0</v>
      </c>
      <c r="AK223" s="56">
        <f t="shared" si="561"/>
        <v>0</v>
      </c>
      <c r="AL223" s="56">
        <f t="shared" si="561"/>
        <v>0</v>
      </c>
      <c r="AM223" s="56">
        <f t="shared" si="561"/>
        <v>0</v>
      </c>
      <c r="AN223" s="56">
        <f t="shared" si="561"/>
        <v>0</v>
      </c>
      <c r="AO223" s="56">
        <f t="shared" si="561"/>
        <v>0</v>
      </c>
      <c r="AP223" s="56">
        <f t="shared" si="561"/>
        <v>0</v>
      </c>
      <c r="AQ223" s="56">
        <f t="shared" ref="AQ223:BV223" si="562">IF(AQ173&gt;0,MAX(0,AQ148-AQ197),0)</f>
        <v>0</v>
      </c>
      <c r="AR223" s="56">
        <f t="shared" si="562"/>
        <v>0</v>
      </c>
      <c r="AS223" s="56">
        <f t="shared" si="562"/>
        <v>0</v>
      </c>
      <c r="AT223" s="56">
        <f t="shared" si="562"/>
        <v>0</v>
      </c>
      <c r="AU223" s="56">
        <f t="shared" si="562"/>
        <v>0</v>
      </c>
      <c r="AV223" s="56">
        <f t="shared" si="562"/>
        <v>0</v>
      </c>
      <c r="AW223" s="56">
        <f t="shared" si="562"/>
        <v>0</v>
      </c>
      <c r="AX223" s="56">
        <f t="shared" si="562"/>
        <v>0</v>
      </c>
      <c r="AY223" s="56">
        <f t="shared" si="562"/>
        <v>0</v>
      </c>
      <c r="AZ223" s="56">
        <f t="shared" si="562"/>
        <v>0</v>
      </c>
      <c r="BA223" s="56">
        <f t="shared" si="562"/>
        <v>0</v>
      </c>
      <c r="BB223" s="56">
        <f t="shared" si="562"/>
        <v>0</v>
      </c>
      <c r="BC223" s="56">
        <f t="shared" si="562"/>
        <v>0</v>
      </c>
      <c r="BD223" s="56">
        <f t="shared" si="562"/>
        <v>0</v>
      </c>
      <c r="BE223" s="56">
        <f t="shared" si="562"/>
        <v>0</v>
      </c>
      <c r="BF223" s="56">
        <f t="shared" si="562"/>
        <v>0</v>
      </c>
      <c r="BG223" s="56">
        <f t="shared" si="562"/>
        <v>0</v>
      </c>
      <c r="BH223" s="56">
        <f t="shared" si="562"/>
        <v>0</v>
      </c>
      <c r="BI223" s="56">
        <f t="shared" si="562"/>
        <v>0</v>
      </c>
      <c r="BJ223" s="56">
        <f t="shared" si="562"/>
        <v>0</v>
      </c>
      <c r="BK223" s="56">
        <f t="shared" si="562"/>
        <v>0</v>
      </c>
      <c r="BL223" s="56">
        <f t="shared" si="562"/>
        <v>0</v>
      </c>
      <c r="BM223" s="56">
        <f t="shared" si="562"/>
        <v>0</v>
      </c>
      <c r="BN223" s="56">
        <f t="shared" si="562"/>
        <v>0</v>
      </c>
      <c r="BO223" s="56">
        <f t="shared" si="562"/>
        <v>0</v>
      </c>
      <c r="BP223" s="56">
        <f t="shared" si="562"/>
        <v>0</v>
      </c>
      <c r="BQ223" s="56">
        <f t="shared" si="562"/>
        <v>0</v>
      </c>
      <c r="BR223" s="56">
        <f t="shared" si="562"/>
        <v>0</v>
      </c>
      <c r="BS223" s="56">
        <f t="shared" si="562"/>
        <v>0</v>
      </c>
      <c r="BT223" s="56">
        <f t="shared" si="562"/>
        <v>0</v>
      </c>
      <c r="BU223" s="56">
        <f t="shared" si="562"/>
        <v>0</v>
      </c>
      <c r="BV223" s="56">
        <f t="shared" si="562"/>
        <v>0</v>
      </c>
      <c r="BW223" s="56">
        <f t="shared" ref="BW223:DB223" si="563">IF(BW173&gt;0,MAX(0,BW148-BW197),0)</f>
        <v>0</v>
      </c>
      <c r="BX223" s="56">
        <f t="shared" si="563"/>
        <v>0</v>
      </c>
      <c r="BY223" s="56">
        <f t="shared" si="563"/>
        <v>0</v>
      </c>
      <c r="BZ223" s="56">
        <f t="shared" si="563"/>
        <v>0</v>
      </c>
      <c r="CA223" s="56">
        <f t="shared" si="563"/>
        <v>0</v>
      </c>
      <c r="CB223" s="56">
        <f t="shared" si="563"/>
        <v>0</v>
      </c>
      <c r="CC223" s="56">
        <f t="shared" si="563"/>
        <v>0</v>
      </c>
      <c r="CD223" s="56">
        <f t="shared" si="563"/>
        <v>0</v>
      </c>
      <c r="CE223" s="56">
        <f t="shared" si="563"/>
        <v>0</v>
      </c>
      <c r="CF223" s="56">
        <f t="shared" si="563"/>
        <v>0</v>
      </c>
      <c r="CG223" s="56">
        <f t="shared" si="563"/>
        <v>0</v>
      </c>
      <c r="CH223" s="56">
        <f t="shared" si="563"/>
        <v>0</v>
      </c>
      <c r="CI223" s="56">
        <f t="shared" si="563"/>
        <v>0</v>
      </c>
      <c r="CJ223" s="56">
        <f t="shared" si="563"/>
        <v>0</v>
      </c>
      <c r="CK223" s="56">
        <f t="shared" ca="1" si="563"/>
        <v>0</v>
      </c>
      <c r="CL223" s="56">
        <f t="shared" ca="1" si="563"/>
        <v>0</v>
      </c>
      <c r="CM223" s="56">
        <f t="shared" ca="1" si="563"/>
        <v>0</v>
      </c>
      <c r="CN223" s="56">
        <f t="shared" ca="1" si="563"/>
        <v>0</v>
      </c>
      <c r="CO223" s="56">
        <f t="shared" ca="1" si="563"/>
        <v>0</v>
      </c>
      <c r="CP223" s="56">
        <f t="shared" ca="1" si="563"/>
        <v>0</v>
      </c>
      <c r="CQ223" s="56">
        <f t="shared" ca="1" si="563"/>
        <v>0</v>
      </c>
      <c r="CR223" s="56">
        <f t="shared" ca="1" si="563"/>
        <v>0</v>
      </c>
      <c r="CS223" s="56">
        <f t="shared" ca="1" si="563"/>
        <v>0</v>
      </c>
      <c r="CT223" s="56">
        <f t="shared" ca="1" si="563"/>
        <v>0</v>
      </c>
      <c r="CU223" s="56">
        <f t="shared" ca="1" si="563"/>
        <v>0</v>
      </c>
      <c r="CV223" s="56">
        <f t="shared" ca="1" si="563"/>
        <v>0</v>
      </c>
      <c r="CW223" s="56">
        <f t="shared" ca="1" si="563"/>
        <v>0</v>
      </c>
      <c r="CX223" s="56">
        <f t="shared" ca="1" si="563"/>
        <v>0</v>
      </c>
      <c r="CY223" s="56">
        <f t="shared" ca="1" si="563"/>
        <v>0</v>
      </c>
      <c r="CZ223" s="56">
        <f t="shared" ca="1" si="563"/>
        <v>0</v>
      </c>
      <c r="DA223" s="56">
        <f t="shared" ca="1" si="563"/>
        <v>0</v>
      </c>
      <c r="DB223" s="56">
        <f t="shared" ca="1" si="563"/>
        <v>0</v>
      </c>
      <c r="DC223" s="56">
        <f t="shared" ref="DC223:EH223" ca="1" si="564">IF(DC173&gt;0,MAX(0,DC148-DC197),0)</f>
        <v>0</v>
      </c>
      <c r="DD223" s="56">
        <f t="shared" ca="1" si="564"/>
        <v>0</v>
      </c>
      <c r="DE223" s="56">
        <f t="shared" ca="1" si="564"/>
        <v>0</v>
      </c>
      <c r="DF223" s="56">
        <f t="shared" ca="1" si="564"/>
        <v>0</v>
      </c>
      <c r="DG223" s="56">
        <f t="shared" ca="1" si="564"/>
        <v>0</v>
      </c>
      <c r="DH223" s="56">
        <f t="shared" ca="1" si="564"/>
        <v>0</v>
      </c>
      <c r="DI223" s="56">
        <f t="shared" ca="1" si="564"/>
        <v>0</v>
      </c>
      <c r="DJ223" s="56">
        <f t="shared" ca="1" si="564"/>
        <v>0</v>
      </c>
      <c r="DK223" s="56">
        <f t="shared" ca="1" si="564"/>
        <v>0</v>
      </c>
      <c r="DL223" s="56">
        <f t="shared" ca="1" si="564"/>
        <v>0</v>
      </c>
      <c r="DM223" s="56">
        <f t="shared" ca="1" si="564"/>
        <v>0</v>
      </c>
      <c r="DN223" s="56">
        <f t="shared" ca="1" si="564"/>
        <v>0</v>
      </c>
      <c r="DO223" s="56">
        <f t="shared" ca="1" si="564"/>
        <v>0</v>
      </c>
      <c r="DP223" s="56">
        <f t="shared" ca="1" si="564"/>
        <v>0</v>
      </c>
      <c r="DQ223" s="56">
        <f t="shared" si="564"/>
        <v>0</v>
      </c>
      <c r="DR223" s="56">
        <f t="shared" si="564"/>
        <v>0</v>
      </c>
      <c r="DS223" s="56">
        <f t="shared" si="564"/>
        <v>0</v>
      </c>
      <c r="DT223" s="56">
        <f t="shared" si="564"/>
        <v>0</v>
      </c>
      <c r="DU223" s="56">
        <f t="shared" si="564"/>
        <v>0</v>
      </c>
      <c r="DV223" s="56">
        <f t="shared" si="564"/>
        <v>0</v>
      </c>
      <c r="DW223" s="56">
        <f t="shared" si="564"/>
        <v>0</v>
      </c>
      <c r="DX223" s="56">
        <f t="shared" si="564"/>
        <v>0</v>
      </c>
      <c r="DY223" s="56">
        <f t="shared" si="564"/>
        <v>0</v>
      </c>
      <c r="DZ223" s="56">
        <f t="shared" si="564"/>
        <v>0</v>
      </c>
      <c r="EA223" s="56">
        <f t="shared" si="564"/>
        <v>0</v>
      </c>
      <c r="EB223" s="56">
        <f t="shared" si="564"/>
        <v>0</v>
      </c>
      <c r="EC223" s="56">
        <f t="shared" si="564"/>
        <v>0</v>
      </c>
      <c r="ED223" s="56">
        <f t="shared" si="564"/>
        <v>0</v>
      </c>
      <c r="EE223" s="56">
        <f t="shared" si="564"/>
        <v>0</v>
      </c>
      <c r="EF223" s="56">
        <f t="shared" si="564"/>
        <v>0</v>
      </c>
      <c r="EG223" s="56">
        <f t="shared" si="564"/>
        <v>0</v>
      </c>
      <c r="EH223" s="56">
        <f t="shared" si="564"/>
        <v>0</v>
      </c>
      <c r="EI223" s="56">
        <f t="shared" ref="EI223:FN223" si="565">IF(EI173&gt;0,MAX(0,EI148-EI197),0)</f>
        <v>0</v>
      </c>
      <c r="EJ223" s="56">
        <f t="shared" si="565"/>
        <v>0</v>
      </c>
      <c r="EK223" s="56">
        <f t="shared" si="565"/>
        <v>0</v>
      </c>
      <c r="EL223" s="56">
        <f t="shared" si="565"/>
        <v>0</v>
      </c>
      <c r="EM223" s="56">
        <f t="shared" si="565"/>
        <v>0</v>
      </c>
      <c r="EN223" s="56">
        <f t="shared" si="565"/>
        <v>0</v>
      </c>
      <c r="EO223" s="56">
        <f t="shared" si="565"/>
        <v>0</v>
      </c>
      <c r="EP223" s="56">
        <f t="shared" si="565"/>
        <v>0</v>
      </c>
      <c r="EQ223" s="56">
        <f t="shared" si="565"/>
        <v>0</v>
      </c>
      <c r="ER223" s="56">
        <f t="shared" si="565"/>
        <v>0</v>
      </c>
      <c r="ES223" s="56">
        <f t="shared" si="565"/>
        <v>0</v>
      </c>
      <c r="ET223" s="56">
        <f t="shared" si="565"/>
        <v>0</v>
      </c>
      <c r="EU223" s="56">
        <f t="shared" si="565"/>
        <v>0</v>
      </c>
      <c r="EV223" s="56">
        <f t="shared" si="565"/>
        <v>0</v>
      </c>
      <c r="EW223" s="56">
        <f t="shared" si="565"/>
        <v>0</v>
      </c>
      <c r="EX223" s="56">
        <f t="shared" si="565"/>
        <v>0</v>
      </c>
      <c r="EY223" s="56">
        <f t="shared" si="565"/>
        <v>0</v>
      </c>
      <c r="EZ223" s="56">
        <f t="shared" si="565"/>
        <v>0</v>
      </c>
      <c r="FA223" s="56">
        <f t="shared" si="565"/>
        <v>0</v>
      </c>
      <c r="FB223" s="56">
        <f t="shared" si="565"/>
        <v>0</v>
      </c>
      <c r="FC223" s="56">
        <f t="shared" si="565"/>
        <v>0</v>
      </c>
      <c r="FD223" s="56">
        <f t="shared" si="565"/>
        <v>0</v>
      </c>
      <c r="FE223" s="56">
        <f t="shared" si="565"/>
        <v>0</v>
      </c>
      <c r="FF223" s="56">
        <f t="shared" si="565"/>
        <v>0</v>
      </c>
      <c r="FG223" s="56">
        <f t="shared" si="565"/>
        <v>0</v>
      </c>
      <c r="FH223" s="56">
        <f t="shared" si="565"/>
        <v>0</v>
      </c>
      <c r="FI223" s="56">
        <f t="shared" si="565"/>
        <v>0</v>
      </c>
      <c r="FJ223" s="56">
        <f t="shared" si="565"/>
        <v>0</v>
      </c>
      <c r="FK223" s="56">
        <f t="shared" si="565"/>
        <v>0</v>
      </c>
      <c r="FL223" s="56">
        <f t="shared" si="565"/>
        <v>0</v>
      </c>
      <c r="FM223" s="56">
        <f t="shared" si="565"/>
        <v>0</v>
      </c>
      <c r="FN223" s="56">
        <f t="shared" si="565"/>
        <v>0</v>
      </c>
      <c r="FO223" s="56">
        <f t="shared" ref="FO223:GP223" si="566">IF(FO173&gt;0,MAX(0,FO148-FO197),0)</f>
        <v>0</v>
      </c>
      <c r="FP223" s="56">
        <f t="shared" si="566"/>
        <v>0</v>
      </c>
      <c r="FQ223" s="56">
        <f t="shared" si="566"/>
        <v>0</v>
      </c>
      <c r="FR223" s="56">
        <f t="shared" si="566"/>
        <v>0</v>
      </c>
      <c r="FS223" s="56">
        <f t="shared" si="566"/>
        <v>0</v>
      </c>
      <c r="FT223" s="56">
        <f t="shared" si="566"/>
        <v>0</v>
      </c>
      <c r="FU223" s="56">
        <f t="shared" si="566"/>
        <v>0</v>
      </c>
      <c r="FV223" s="56">
        <f t="shared" si="566"/>
        <v>0</v>
      </c>
      <c r="FW223" s="56">
        <f t="shared" si="566"/>
        <v>0</v>
      </c>
      <c r="FX223" s="56">
        <f t="shared" si="566"/>
        <v>0</v>
      </c>
      <c r="FY223" s="56">
        <f t="shared" si="566"/>
        <v>0</v>
      </c>
      <c r="FZ223" s="56">
        <f t="shared" si="566"/>
        <v>0</v>
      </c>
      <c r="GA223" s="56">
        <f t="shared" si="566"/>
        <v>0</v>
      </c>
      <c r="GB223" s="56">
        <f t="shared" si="566"/>
        <v>0</v>
      </c>
      <c r="GC223" s="56">
        <f t="shared" si="566"/>
        <v>0</v>
      </c>
      <c r="GD223" s="56">
        <f t="shared" si="566"/>
        <v>0</v>
      </c>
      <c r="GE223" s="56">
        <f t="shared" si="566"/>
        <v>0</v>
      </c>
      <c r="GF223" s="56">
        <f t="shared" si="566"/>
        <v>0</v>
      </c>
      <c r="GG223" s="56">
        <f t="shared" si="566"/>
        <v>0</v>
      </c>
      <c r="GH223" s="56">
        <f t="shared" si="566"/>
        <v>0</v>
      </c>
      <c r="GI223" s="56">
        <f t="shared" si="566"/>
        <v>0</v>
      </c>
      <c r="GJ223" s="56">
        <f t="shared" si="566"/>
        <v>0</v>
      </c>
      <c r="GK223" s="56">
        <f t="shared" si="566"/>
        <v>0</v>
      </c>
      <c r="GL223" s="56">
        <f t="shared" si="566"/>
        <v>0</v>
      </c>
      <c r="GM223" s="56">
        <f t="shared" si="566"/>
        <v>0</v>
      </c>
      <c r="GN223" s="56">
        <f t="shared" si="566"/>
        <v>0</v>
      </c>
      <c r="GO223" s="56">
        <f t="shared" si="566"/>
        <v>0</v>
      </c>
      <c r="GP223" s="56">
        <f t="shared" si="566"/>
        <v>0</v>
      </c>
    </row>
    <row r="224" spans="1:198" x14ac:dyDescent="0.35">
      <c r="A224" s="55" t="str">
        <f t="shared" si="524"/>
        <v>Available now &gt; TriNet</v>
      </c>
      <c r="B224" s="55" t="s">
        <v>297</v>
      </c>
      <c r="K224" s="56">
        <f t="shared" ref="K224:AP224" si="567">IF(K174&gt;0,MAX(0,K149-K198),0)</f>
        <v>0</v>
      </c>
      <c r="L224" s="56">
        <f t="shared" si="567"/>
        <v>0</v>
      </c>
      <c r="M224" s="56">
        <f t="shared" si="567"/>
        <v>0</v>
      </c>
      <c r="N224" s="56">
        <f t="shared" si="567"/>
        <v>0</v>
      </c>
      <c r="O224" s="56">
        <f t="shared" si="567"/>
        <v>0</v>
      </c>
      <c r="P224" s="56">
        <f t="shared" si="567"/>
        <v>0</v>
      </c>
      <c r="Q224" s="56">
        <f t="shared" si="567"/>
        <v>0</v>
      </c>
      <c r="R224" s="56">
        <f t="shared" si="567"/>
        <v>0</v>
      </c>
      <c r="S224" s="56">
        <f t="shared" si="567"/>
        <v>0</v>
      </c>
      <c r="T224" s="56">
        <f t="shared" si="567"/>
        <v>0</v>
      </c>
      <c r="U224" s="56">
        <f t="shared" si="567"/>
        <v>0</v>
      </c>
      <c r="V224" s="56">
        <f t="shared" si="567"/>
        <v>0</v>
      </c>
      <c r="W224" s="56">
        <f t="shared" si="567"/>
        <v>0</v>
      </c>
      <c r="X224" s="56">
        <f t="shared" si="567"/>
        <v>0</v>
      </c>
      <c r="Y224" s="56">
        <f t="shared" si="567"/>
        <v>0</v>
      </c>
      <c r="Z224" s="56">
        <f t="shared" si="567"/>
        <v>0</v>
      </c>
      <c r="AA224" s="56">
        <f t="shared" si="567"/>
        <v>0</v>
      </c>
      <c r="AB224" s="56">
        <f t="shared" si="567"/>
        <v>0</v>
      </c>
      <c r="AC224" s="56">
        <f t="shared" si="567"/>
        <v>0</v>
      </c>
      <c r="AD224" s="56">
        <f t="shared" si="567"/>
        <v>0</v>
      </c>
      <c r="AE224" s="56">
        <f t="shared" si="567"/>
        <v>0</v>
      </c>
      <c r="AF224" s="56">
        <f t="shared" si="567"/>
        <v>0</v>
      </c>
      <c r="AG224" s="56">
        <f t="shared" si="567"/>
        <v>0</v>
      </c>
      <c r="AH224" s="56">
        <f t="shared" si="567"/>
        <v>0</v>
      </c>
      <c r="AI224" s="56">
        <f t="shared" si="567"/>
        <v>0</v>
      </c>
      <c r="AJ224" s="56">
        <f t="shared" si="567"/>
        <v>0</v>
      </c>
      <c r="AK224" s="56">
        <f t="shared" si="567"/>
        <v>0</v>
      </c>
      <c r="AL224" s="56">
        <f t="shared" si="567"/>
        <v>0</v>
      </c>
      <c r="AM224" s="56">
        <f t="shared" si="567"/>
        <v>0</v>
      </c>
      <c r="AN224" s="56">
        <f t="shared" si="567"/>
        <v>0</v>
      </c>
      <c r="AO224" s="56">
        <f t="shared" si="567"/>
        <v>0</v>
      </c>
      <c r="AP224" s="56">
        <f t="shared" si="567"/>
        <v>0</v>
      </c>
      <c r="AQ224" s="56">
        <f t="shared" ref="AQ224:BV224" si="568">IF(AQ174&gt;0,MAX(0,AQ149-AQ198),0)</f>
        <v>0</v>
      </c>
      <c r="AR224" s="56">
        <f t="shared" si="568"/>
        <v>0</v>
      </c>
      <c r="AS224" s="56">
        <f t="shared" si="568"/>
        <v>0</v>
      </c>
      <c r="AT224" s="56">
        <f t="shared" si="568"/>
        <v>0</v>
      </c>
      <c r="AU224" s="56">
        <f t="shared" si="568"/>
        <v>0</v>
      </c>
      <c r="AV224" s="56">
        <f t="shared" si="568"/>
        <v>0</v>
      </c>
      <c r="AW224" s="56">
        <f t="shared" si="568"/>
        <v>0</v>
      </c>
      <c r="AX224" s="56">
        <f t="shared" si="568"/>
        <v>0</v>
      </c>
      <c r="AY224" s="56">
        <f t="shared" si="568"/>
        <v>0</v>
      </c>
      <c r="AZ224" s="56">
        <f t="shared" si="568"/>
        <v>0</v>
      </c>
      <c r="BA224" s="56">
        <f t="shared" si="568"/>
        <v>0</v>
      </c>
      <c r="BB224" s="56">
        <f t="shared" si="568"/>
        <v>0</v>
      </c>
      <c r="BC224" s="56">
        <f t="shared" si="568"/>
        <v>0</v>
      </c>
      <c r="BD224" s="56">
        <f t="shared" si="568"/>
        <v>0</v>
      </c>
      <c r="BE224" s="56">
        <f t="shared" si="568"/>
        <v>0</v>
      </c>
      <c r="BF224" s="56">
        <f t="shared" si="568"/>
        <v>0</v>
      </c>
      <c r="BG224" s="56">
        <f t="shared" si="568"/>
        <v>0</v>
      </c>
      <c r="BH224" s="56">
        <f t="shared" si="568"/>
        <v>0</v>
      </c>
      <c r="BI224" s="56">
        <f t="shared" si="568"/>
        <v>0</v>
      </c>
      <c r="BJ224" s="56">
        <f t="shared" si="568"/>
        <v>0</v>
      </c>
      <c r="BK224" s="56">
        <f t="shared" si="568"/>
        <v>0</v>
      </c>
      <c r="BL224" s="56">
        <f t="shared" si="568"/>
        <v>0</v>
      </c>
      <c r="BM224" s="56">
        <f t="shared" si="568"/>
        <v>0</v>
      </c>
      <c r="BN224" s="56">
        <f t="shared" si="568"/>
        <v>0</v>
      </c>
      <c r="BO224" s="56">
        <f t="shared" si="568"/>
        <v>0</v>
      </c>
      <c r="BP224" s="56">
        <f t="shared" si="568"/>
        <v>0</v>
      </c>
      <c r="BQ224" s="56">
        <f t="shared" si="568"/>
        <v>0</v>
      </c>
      <c r="BR224" s="56">
        <f t="shared" si="568"/>
        <v>0</v>
      </c>
      <c r="BS224" s="56">
        <f t="shared" si="568"/>
        <v>0</v>
      </c>
      <c r="BT224" s="56">
        <f t="shared" si="568"/>
        <v>0</v>
      </c>
      <c r="BU224" s="56">
        <f t="shared" si="568"/>
        <v>0</v>
      </c>
      <c r="BV224" s="56">
        <f t="shared" si="568"/>
        <v>0</v>
      </c>
      <c r="BW224" s="56">
        <f t="shared" ref="BW224:DB224" si="569">IF(BW174&gt;0,MAX(0,BW149-BW198),0)</f>
        <v>0</v>
      </c>
      <c r="BX224" s="56">
        <f t="shared" si="569"/>
        <v>0</v>
      </c>
      <c r="BY224" s="56">
        <f t="shared" si="569"/>
        <v>0</v>
      </c>
      <c r="BZ224" s="56">
        <f t="shared" si="569"/>
        <v>0</v>
      </c>
      <c r="CA224" s="56">
        <f t="shared" si="569"/>
        <v>0</v>
      </c>
      <c r="CB224" s="56">
        <f t="shared" si="569"/>
        <v>0</v>
      </c>
      <c r="CC224" s="56">
        <f t="shared" si="569"/>
        <v>0</v>
      </c>
      <c r="CD224" s="56">
        <f t="shared" si="569"/>
        <v>0</v>
      </c>
      <c r="CE224" s="56">
        <f t="shared" si="569"/>
        <v>0</v>
      </c>
      <c r="CF224" s="56">
        <f t="shared" si="569"/>
        <v>0</v>
      </c>
      <c r="CG224" s="56">
        <f t="shared" si="569"/>
        <v>0</v>
      </c>
      <c r="CH224" s="56">
        <f t="shared" si="569"/>
        <v>0</v>
      </c>
      <c r="CI224" s="56">
        <f t="shared" si="569"/>
        <v>0</v>
      </c>
      <c r="CJ224" s="56">
        <f t="shared" si="569"/>
        <v>0</v>
      </c>
      <c r="CK224" s="56">
        <f t="shared" si="569"/>
        <v>0</v>
      </c>
      <c r="CL224" s="56">
        <f t="shared" si="569"/>
        <v>0</v>
      </c>
      <c r="CM224" s="56">
        <f t="shared" si="569"/>
        <v>0</v>
      </c>
      <c r="CN224" s="56">
        <f t="shared" si="569"/>
        <v>0</v>
      </c>
      <c r="CO224" s="56">
        <f t="shared" si="569"/>
        <v>0</v>
      </c>
      <c r="CP224" s="56">
        <f t="shared" si="569"/>
        <v>0</v>
      </c>
      <c r="CQ224" s="56">
        <f t="shared" si="569"/>
        <v>0</v>
      </c>
      <c r="CR224" s="56">
        <f t="shared" si="569"/>
        <v>0</v>
      </c>
      <c r="CS224" s="56">
        <f t="shared" si="569"/>
        <v>0</v>
      </c>
      <c r="CT224" s="56">
        <f t="shared" si="569"/>
        <v>0</v>
      </c>
      <c r="CU224" s="56">
        <f t="shared" si="569"/>
        <v>0</v>
      </c>
      <c r="CV224" s="56">
        <f t="shared" si="569"/>
        <v>0</v>
      </c>
      <c r="CW224" s="56">
        <f t="shared" si="569"/>
        <v>0</v>
      </c>
      <c r="CX224" s="56">
        <f t="shared" si="569"/>
        <v>0</v>
      </c>
      <c r="CY224" s="56">
        <f t="shared" si="569"/>
        <v>0</v>
      </c>
      <c r="CZ224" s="56">
        <f t="shared" si="569"/>
        <v>0</v>
      </c>
      <c r="DA224" s="56">
        <f t="shared" si="569"/>
        <v>0</v>
      </c>
      <c r="DB224" s="56">
        <f t="shared" si="569"/>
        <v>0</v>
      </c>
      <c r="DC224" s="56">
        <f t="shared" ref="DC224:EH224" si="570">IF(DC174&gt;0,MAX(0,DC149-DC198),0)</f>
        <v>0</v>
      </c>
      <c r="DD224" s="56">
        <f t="shared" si="570"/>
        <v>0</v>
      </c>
      <c r="DE224" s="56">
        <f t="shared" si="570"/>
        <v>0</v>
      </c>
      <c r="DF224" s="56">
        <f t="shared" si="570"/>
        <v>0</v>
      </c>
      <c r="DG224" s="56">
        <f t="shared" si="570"/>
        <v>0</v>
      </c>
      <c r="DH224" s="56">
        <f t="shared" si="570"/>
        <v>0</v>
      </c>
      <c r="DI224" s="56">
        <f t="shared" si="570"/>
        <v>0</v>
      </c>
      <c r="DJ224" s="56">
        <f t="shared" si="570"/>
        <v>0</v>
      </c>
      <c r="DK224" s="56">
        <f t="shared" si="570"/>
        <v>0</v>
      </c>
      <c r="DL224" s="56">
        <f t="shared" si="570"/>
        <v>0</v>
      </c>
      <c r="DM224" s="56">
        <f t="shared" si="570"/>
        <v>0</v>
      </c>
      <c r="DN224" s="56">
        <f t="shared" si="570"/>
        <v>0</v>
      </c>
      <c r="DO224" s="56">
        <f t="shared" si="570"/>
        <v>0</v>
      </c>
      <c r="DP224" s="56">
        <f t="shared" si="570"/>
        <v>0</v>
      </c>
      <c r="DQ224" s="56">
        <f t="shared" ca="1" si="570"/>
        <v>0</v>
      </c>
      <c r="DR224" s="56">
        <f t="shared" ca="1" si="570"/>
        <v>0</v>
      </c>
      <c r="DS224" s="56">
        <f t="shared" ca="1" si="570"/>
        <v>0</v>
      </c>
      <c r="DT224" s="56">
        <f t="shared" ca="1" si="570"/>
        <v>0</v>
      </c>
      <c r="DU224" s="56">
        <f t="shared" ca="1" si="570"/>
        <v>0</v>
      </c>
      <c r="DV224" s="56">
        <f t="shared" ca="1" si="570"/>
        <v>0</v>
      </c>
      <c r="DW224" s="56">
        <f t="shared" ca="1" si="570"/>
        <v>0</v>
      </c>
      <c r="DX224" s="56">
        <f t="shared" ca="1" si="570"/>
        <v>0</v>
      </c>
      <c r="DY224" s="56">
        <f t="shared" ca="1" si="570"/>
        <v>0</v>
      </c>
      <c r="DZ224" s="56">
        <f t="shared" ca="1" si="570"/>
        <v>0</v>
      </c>
      <c r="EA224" s="56">
        <f t="shared" ca="1" si="570"/>
        <v>0</v>
      </c>
      <c r="EB224" s="56">
        <f t="shared" ca="1" si="570"/>
        <v>0</v>
      </c>
      <c r="EC224" s="56">
        <f t="shared" ca="1" si="570"/>
        <v>0</v>
      </c>
      <c r="ED224" s="56">
        <f t="shared" ca="1" si="570"/>
        <v>0</v>
      </c>
      <c r="EE224" s="56">
        <f t="shared" ca="1" si="570"/>
        <v>0</v>
      </c>
      <c r="EF224" s="56">
        <f t="shared" ca="1" si="570"/>
        <v>0</v>
      </c>
      <c r="EG224" s="56">
        <f t="shared" ca="1" si="570"/>
        <v>0</v>
      </c>
      <c r="EH224" s="56">
        <f t="shared" ca="1" si="570"/>
        <v>0</v>
      </c>
      <c r="EI224" s="56">
        <f t="shared" ref="EI224:FN224" ca="1" si="571">IF(EI174&gt;0,MAX(0,EI149-EI198),0)</f>
        <v>0</v>
      </c>
      <c r="EJ224" s="56">
        <f t="shared" ca="1" si="571"/>
        <v>0</v>
      </c>
      <c r="EK224" s="56">
        <f t="shared" ca="1" si="571"/>
        <v>0</v>
      </c>
      <c r="EL224" s="56">
        <f t="shared" ca="1" si="571"/>
        <v>0</v>
      </c>
      <c r="EM224" s="56">
        <f t="shared" ca="1" si="571"/>
        <v>0</v>
      </c>
      <c r="EN224" s="56">
        <f t="shared" ca="1" si="571"/>
        <v>0</v>
      </c>
      <c r="EO224" s="56">
        <f t="shared" ca="1" si="571"/>
        <v>0</v>
      </c>
      <c r="EP224" s="56">
        <f t="shared" ca="1" si="571"/>
        <v>0</v>
      </c>
      <c r="EQ224" s="56">
        <f t="shared" ca="1" si="571"/>
        <v>0</v>
      </c>
      <c r="ER224" s="56">
        <f t="shared" ca="1" si="571"/>
        <v>0</v>
      </c>
      <c r="ES224" s="56">
        <f t="shared" ca="1" si="571"/>
        <v>0</v>
      </c>
      <c r="ET224" s="56">
        <f t="shared" ca="1" si="571"/>
        <v>0</v>
      </c>
      <c r="EU224" s="56">
        <f t="shared" ca="1" si="571"/>
        <v>0</v>
      </c>
      <c r="EV224" s="56">
        <f t="shared" ca="1" si="571"/>
        <v>0</v>
      </c>
      <c r="EW224" s="56">
        <f t="shared" ca="1" si="571"/>
        <v>0</v>
      </c>
      <c r="EX224" s="56">
        <f t="shared" ca="1" si="571"/>
        <v>0</v>
      </c>
      <c r="EY224" s="56">
        <f t="shared" ca="1" si="571"/>
        <v>0</v>
      </c>
      <c r="EZ224" s="56">
        <f t="shared" ca="1" si="571"/>
        <v>0</v>
      </c>
      <c r="FA224" s="56">
        <f t="shared" ca="1" si="571"/>
        <v>0</v>
      </c>
      <c r="FB224" s="56">
        <f t="shared" ca="1" si="571"/>
        <v>0</v>
      </c>
      <c r="FC224" s="56">
        <f t="shared" ca="1" si="571"/>
        <v>0</v>
      </c>
      <c r="FD224" s="56">
        <f t="shared" ca="1" si="571"/>
        <v>0</v>
      </c>
      <c r="FE224" s="56">
        <f t="shared" ca="1" si="571"/>
        <v>0</v>
      </c>
      <c r="FF224" s="56">
        <f t="shared" ca="1" si="571"/>
        <v>0</v>
      </c>
      <c r="FG224" s="56">
        <f t="shared" ca="1" si="571"/>
        <v>0</v>
      </c>
      <c r="FH224" s="56">
        <f t="shared" ca="1" si="571"/>
        <v>0</v>
      </c>
      <c r="FI224" s="56">
        <f t="shared" ca="1" si="571"/>
        <v>0</v>
      </c>
      <c r="FJ224" s="56">
        <f t="shared" ca="1" si="571"/>
        <v>0</v>
      </c>
      <c r="FK224" s="56">
        <f t="shared" ca="1" si="571"/>
        <v>0</v>
      </c>
      <c r="FL224" s="56">
        <f t="shared" ca="1" si="571"/>
        <v>0</v>
      </c>
      <c r="FM224" s="56">
        <f t="shared" ca="1" si="571"/>
        <v>0</v>
      </c>
      <c r="FN224" s="56">
        <f t="shared" ca="1" si="571"/>
        <v>0</v>
      </c>
      <c r="FO224" s="56">
        <f t="shared" ref="FO224:GP224" ca="1" si="572">IF(FO174&gt;0,MAX(0,FO149-FO198),0)</f>
        <v>0</v>
      </c>
      <c r="FP224" s="56">
        <f t="shared" ca="1" si="572"/>
        <v>0</v>
      </c>
      <c r="FQ224" s="56">
        <f t="shared" ca="1" si="572"/>
        <v>0</v>
      </c>
      <c r="FR224" s="56">
        <f t="shared" ca="1" si="572"/>
        <v>0</v>
      </c>
      <c r="FS224" s="56">
        <f t="shared" ca="1" si="572"/>
        <v>0</v>
      </c>
      <c r="FT224" s="56">
        <f t="shared" ca="1" si="572"/>
        <v>0</v>
      </c>
      <c r="FU224" s="56">
        <f t="shared" ca="1" si="572"/>
        <v>0</v>
      </c>
      <c r="FV224" s="56">
        <f t="shared" ca="1" si="572"/>
        <v>0</v>
      </c>
      <c r="FW224" s="56">
        <f t="shared" ca="1" si="572"/>
        <v>0</v>
      </c>
      <c r="FX224" s="56">
        <f t="shared" ca="1" si="572"/>
        <v>0</v>
      </c>
      <c r="FY224" s="56">
        <f t="shared" ca="1" si="572"/>
        <v>0</v>
      </c>
      <c r="FZ224" s="56">
        <f t="shared" ca="1" si="572"/>
        <v>0</v>
      </c>
      <c r="GA224" s="56">
        <f t="shared" ca="1" si="572"/>
        <v>0</v>
      </c>
      <c r="GB224" s="56">
        <f t="shared" ca="1" si="572"/>
        <v>0</v>
      </c>
      <c r="GC224" s="56">
        <f t="shared" ca="1" si="572"/>
        <v>0</v>
      </c>
      <c r="GD224" s="56">
        <f t="shared" ca="1" si="572"/>
        <v>0</v>
      </c>
      <c r="GE224" s="56">
        <f t="shared" ca="1" si="572"/>
        <v>0</v>
      </c>
      <c r="GF224" s="56">
        <f t="shared" ca="1" si="572"/>
        <v>0</v>
      </c>
      <c r="GG224" s="56">
        <f t="shared" ca="1" si="572"/>
        <v>0</v>
      </c>
      <c r="GH224" s="56">
        <f t="shared" ca="1" si="572"/>
        <v>0</v>
      </c>
      <c r="GI224" s="56">
        <f t="shared" ca="1" si="572"/>
        <v>0</v>
      </c>
      <c r="GJ224" s="56">
        <f t="shared" ca="1" si="572"/>
        <v>0</v>
      </c>
      <c r="GK224" s="56">
        <f t="shared" ca="1" si="572"/>
        <v>0</v>
      </c>
      <c r="GL224" s="56">
        <f t="shared" ca="1" si="572"/>
        <v>0</v>
      </c>
      <c r="GM224" s="56">
        <f t="shared" ca="1" si="572"/>
        <v>0</v>
      </c>
      <c r="GN224" s="56">
        <f t="shared" ca="1" si="572"/>
        <v>0</v>
      </c>
      <c r="GO224" s="56">
        <f t="shared" ca="1" si="572"/>
        <v>0</v>
      </c>
      <c r="GP224" s="56">
        <f t="shared" ca="1" si="572"/>
        <v>0</v>
      </c>
    </row>
    <row r="225" spans="1:198" x14ac:dyDescent="0.35">
      <c r="A225" s="55" t="str">
        <f t="shared" si="524"/>
        <v>Available now &gt; PMI</v>
      </c>
      <c r="B225" s="55" t="s">
        <v>297</v>
      </c>
      <c r="K225" s="56">
        <f t="shared" ref="K225:AP225" si="573">IF(K175&gt;0,MAX(0,K150-K199),0)</f>
        <v>0</v>
      </c>
      <c r="L225" s="56">
        <f t="shared" si="573"/>
        <v>0</v>
      </c>
      <c r="M225" s="56">
        <f t="shared" si="573"/>
        <v>0</v>
      </c>
      <c r="N225" s="56">
        <f t="shared" si="573"/>
        <v>0</v>
      </c>
      <c r="O225" s="56">
        <f t="shared" si="573"/>
        <v>0</v>
      </c>
      <c r="P225" s="56">
        <f t="shared" si="573"/>
        <v>0</v>
      </c>
      <c r="Q225" s="56">
        <f t="shared" si="573"/>
        <v>0</v>
      </c>
      <c r="R225" s="56">
        <f t="shared" si="573"/>
        <v>0</v>
      </c>
      <c r="S225" s="56">
        <f t="shared" si="573"/>
        <v>0</v>
      </c>
      <c r="T225" s="56">
        <f t="shared" si="573"/>
        <v>0</v>
      </c>
      <c r="U225" s="56">
        <f t="shared" si="573"/>
        <v>0</v>
      </c>
      <c r="V225" s="56">
        <f t="shared" si="573"/>
        <v>0</v>
      </c>
      <c r="W225" s="56">
        <f t="shared" si="573"/>
        <v>0</v>
      </c>
      <c r="X225" s="56">
        <f t="shared" si="573"/>
        <v>0</v>
      </c>
      <c r="Y225" s="56">
        <f t="shared" si="573"/>
        <v>0</v>
      </c>
      <c r="Z225" s="56">
        <f t="shared" si="573"/>
        <v>0</v>
      </c>
      <c r="AA225" s="56">
        <f t="shared" si="573"/>
        <v>0</v>
      </c>
      <c r="AB225" s="56">
        <f t="shared" si="573"/>
        <v>0</v>
      </c>
      <c r="AC225" s="56">
        <f t="shared" si="573"/>
        <v>0</v>
      </c>
      <c r="AD225" s="56">
        <f t="shared" si="573"/>
        <v>0</v>
      </c>
      <c r="AE225" s="56">
        <f t="shared" si="573"/>
        <v>0</v>
      </c>
      <c r="AF225" s="56">
        <f t="shared" si="573"/>
        <v>0</v>
      </c>
      <c r="AG225" s="56">
        <f t="shared" si="573"/>
        <v>0</v>
      </c>
      <c r="AH225" s="56">
        <f t="shared" si="573"/>
        <v>0</v>
      </c>
      <c r="AI225" s="56">
        <f t="shared" si="573"/>
        <v>0</v>
      </c>
      <c r="AJ225" s="56">
        <f t="shared" si="573"/>
        <v>0</v>
      </c>
      <c r="AK225" s="56">
        <f t="shared" si="573"/>
        <v>0</v>
      </c>
      <c r="AL225" s="56">
        <f t="shared" si="573"/>
        <v>0</v>
      </c>
      <c r="AM225" s="56">
        <f t="shared" si="573"/>
        <v>0</v>
      </c>
      <c r="AN225" s="56">
        <f t="shared" si="573"/>
        <v>0</v>
      </c>
      <c r="AO225" s="56">
        <f t="shared" si="573"/>
        <v>0</v>
      </c>
      <c r="AP225" s="56">
        <f t="shared" si="573"/>
        <v>0</v>
      </c>
      <c r="AQ225" s="56">
        <f t="shared" ref="AQ225:BV225" si="574">IF(AQ175&gt;0,MAX(0,AQ150-AQ199),0)</f>
        <v>0</v>
      </c>
      <c r="AR225" s="56">
        <f t="shared" si="574"/>
        <v>0</v>
      </c>
      <c r="AS225" s="56">
        <f t="shared" si="574"/>
        <v>0</v>
      </c>
      <c r="AT225" s="56">
        <f t="shared" si="574"/>
        <v>0</v>
      </c>
      <c r="AU225" s="56">
        <f t="shared" si="574"/>
        <v>0</v>
      </c>
      <c r="AV225" s="56">
        <f t="shared" si="574"/>
        <v>0</v>
      </c>
      <c r="AW225" s="56">
        <f t="shared" si="574"/>
        <v>0</v>
      </c>
      <c r="AX225" s="56">
        <f t="shared" si="574"/>
        <v>0</v>
      </c>
      <c r="AY225" s="56">
        <f t="shared" si="574"/>
        <v>0</v>
      </c>
      <c r="AZ225" s="56">
        <f t="shared" si="574"/>
        <v>0</v>
      </c>
      <c r="BA225" s="56">
        <f t="shared" si="574"/>
        <v>0</v>
      </c>
      <c r="BB225" s="56">
        <f t="shared" si="574"/>
        <v>0</v>
      </c>
      <c r="BC225" s="56">
        <f t="shared" si="574"/>
        <v>0</v>
      </c>
      <c r="BD225" s="56">
        <f t="shared" si="574"/>
        <v>0</v>
      </c>
      <c r="BE225" s="56">
        <f t="shared" si="574"/>
        <v>0</v>
      </c>
      <c r="BF225" s="56">
        <f t="shared" si="574"/>
        <v>0</v>
      </c>
      <c r="BG225" s="56">
        <f t="shared" si="574"/>
        <v>0</v>
      </c>
      <c r="BH225" s="56">
        <f t="shared" si="574"/>
        <v>0</v>
      </c>
      <c r="BI225" s="56">
        <f t="shared" si="574"/>
        <v>0</v>
      </c>
      <c r="BJ225" s="56">
        <f t="shared" si="574"/>
        <v>0</v>
      </c>
      <c r="BK225" s="56">
        <f t="shared" si="574"/>
        <v>0</v>
      </c>
      <c r="BL225" s="56">
        <f t="shared" si="574"/>
        <v>0</v>
      </c>
      <c r="BM225" s="56">
        <f t="shared" si="574"/>
        <v>0</v>
      </c>
      <c r="BN225" s="56">
        <f t="shared" si="574"/>
        <v>0</v>
      </c>
      <c r="BO225" s="56">
        <f t="shared" si="574"/>
        <v>0</v>
      </c>
      <c r="BP225" s="56">
        <f t="shared" si="574"/>
        <v>0</v>
      </c>
      <c r="BQ225" s="56">
        <f t="shared" si="574"/>
        <v>0</v>
      </c>
      <c r="BR225" s="56">
        <f t="shared" si="574"/>
        <v>0</v>
      </c>
      <c r="BS225" s="56">
        <f t="shared" si="574"/>
        <v>0</v>
      </c>
      <c r="BT225" s="56">
        <f t="shared" si="574"/>
        <v>0</v>
      </c>
      <c r="BU225" s="56">
        <f t="shared" si="574"/>
        <v>0</v>
      </c>
      <c r="BV225" s="56">
        <f t="shared" si="574"/>
        <v>0</v>
      </c>
      <c r="BW225" s="56">
        <f t="shared" ref="BW225:DB225" si="575">IF(BW175&gt;0,MAX(0,BW150-BW199),0)</f>
        <v>0</v>
      </c>
      <c r="BX225" s="56">
        <f t="shared" si="575"/>
        <v>0</v>
      </c>
      <c r="BY225" s="56">
        <f t="shared" si="575"/>
        <v>0</v>
      </c>
      <c r="BZ225" s="56">
        <f t="shared" si="575"/>
        <v>0</v>
      </c>
      <c r="CA225" s="56">
        <f t="shared" si="575"/>
        <v>0</v>
      </c>
      <c r="CB225" s="56">
        <f t="shared" si="575"/>
        <v>0</v>
      </c>
      <c r="CC225" s="56">
        <f t="shared" si="575"/>
        <v>0</v>
      </c>
      <c r="CD225" s="56">
        <f t="shared" si="575"/>
        <v>0</v>
      </c>
      <c r="CE225" s="56">
        <f t="shared" si="575"/>
        <v>0</v>
      </c>
      <c r="CF225" s="56">
        <f t="shared" si="575"/>
        <v>0</v>
      </c>
      <c r="CG225" s="56">
        <f t="shared" si="575"/>
        <v>0</v>
      </c>
      <c r="CH225" s="56">
        <f t="shared" si="575"/>
        <v>0</v>
      </c>
      <c r="CI225" s="56">
        <f t="shared" si="575"/>
        <v>0</v>
      </c>
      <c r="CJ225" s="56">
        <f t="shared" si="575"/>
        <v>0</v>
      </c>
      <c r="CK225" s="56">
        <f t="shared" si="575"/>
        <v>0</v>
      </c>
      <c r="CL225" s="56">
        <f t="shared" si="575"/>
        <v>0</v>
      </c>
      <c r="CM225" s="56">
        <f t="shared" si="575"/>
        <v>0</v>
      </c>
      <c r="CN225" s="56">
        <f t="shared" si="575"/>
        <v>0</v>
      </c>
      <c r="CO225" s="56">
        <f t="shared" si="575"/>
        <v>0</v>
      </c>
      <c r="CP225" s="56">
        <f t="shared" si="575"/>
        <v>0</v>
      </c>
      <c r="CQ225" s="56">
        <f t="shared" si="575"/>
        <v>0</v>
      </c>
      <c r="CR225" s="56">
        <f t="shared" si="575"/>
        <v>0</v>
      </c>
      <c r="CS225" s="56">
        <f t="shared" si="575"/>
        <v>0</v>
      </c>
      <c r="CT225" s="56">
        <f t="shared" si="575"/>
        <v>0</v>
      </c>
      <c r="CU225" s="56">
        <f t="shared" si="575"/>
        <v>0</v>
      </c>
      <c r="CV225" s="56">
        <f t="shared" si="575"/>
        <v>0</v>
      </c>
      <c r="CW225" s="56">
        <f t="shared" si="575"/>
        <v>0</v>
      </c>
      <c r="CX225" s="56">
        <f t="shared" si="575"/>
        <v>0</v>
      </c>
      <c r="CY225" s="56">
        <f t="shared" si="575"/>
        <v>0</v>
      </c>
      <c r="CZ225" s="56">
        <f t="shared" si="575"/>
        <v>0</v>
      </c>
      <c r="DA225" s="56">
        <f t="shared" si="575"/>
        <v>0</v>
      </c>
      <c r="DB225" s="56">
        <f t="shared" si="575"/>
        <v>0</v>
      </c>
      <c r="DC225" s="56">
        <f t="shared" ref="DC225:EH225" si="576">IF(DC175&gt;0,MAX(0,DC150-DC199),0)</f>
        <v>0</v>
      </c>
      <c r="DD225" s="56">
        <f t="shared" si="576"/>
        <v>0</v>
      </c>
      <c r="DE225" s="56">
        <f t="shared" si="576"/>
        <v>0</v>
      </c>
      <c r="DF225" s="56">
        <f t="shared" si="576"/>
        <v>0</v>
      </c>
      <c r="DG225" s="56">
        <f t="shared" si="576"/>
        <v>0</v>
      </c>
      <c r="DH225" s="56">
        <f t="shared" si="576"/>
        <v>0</v>
      </c>
      <c r="DI225" s="56">
        <f t="shared" si="576"/>
        <v>0</v>
      </c>
      <c r="DJ225" s="56">
        <f t="shared" si="576"/>
        <v>0</v>
      </c>
      <c r="DK225" s="56">
        <f t="shared" si="576"/>
        <v>0</v>
      </c>
      <c r="DL225" s="56">
        <f t="shared" si="576"/>
        <v>0</v>
      </c>
      <c r="DM225" s="56">
        <f t="shared" si="576"/>
        <v>0</v>
      </c>
      <c r="DN225" s="56">
        <f t="shared" si="576"/>
        <v>0</v>
      </c>
      <c r="DO225" s="56">
        <f t="shared" si="576"/>
        <v>0</v>
      </c>
      <c r="DP225" s="56">
        <f t="shared" si="576"/>
        <v>0</v>
      </c>
      <c r="DQ225" s="56">
        <f t="shared" ca="1" si="576"/>
        <v>0</v>
      </c>
      <c r="DR225" s="56">
        <f t="shared" ca="1" si="576"/>
        <v>2.198217028577254E-4</v>
      </c>
      <c r="DS225" s="56">
        <f t="shared" ca="1" si="576"/>
        <v>8.7880359562042543E-4</v>
      </c>
      <c r="DT225" s="56">
        <f t="shared" ca="1" si="576"/>
        <v>1.9754970930696558E-3</v>
      </c>
      <c r="DU225" s="56">
        <f t="shared" ca="1" si="576"/>
        <v>3.5074914248847122E-3</v>
      </c>
      <c r="DV225" s="56">
        <f t="shared" ca="1" si="576"/>
        <v>5.471418935037331E-3</v>
      </c>
      <c r="DW225" s="56">
        <f t="shared" ca="1" si="576"/>
        <v>7.862962484631808E-3</v>
      </c>
      <c r="DX225" s="56">
        <f t="shared" ca="1" si="576"/>
        <v>1.0676864941913333E-2</v>
      </c>
      <c r="DY225" s="56">
        <f t="shared" ca="1" si="576"/>
        <v>1.3906940738582563E-2</v>
      </c>
      <c r="DZ225" s="56">
        <f t="shared" ca="1" si="576"/>
        <v>1.7546089467020742E-2</v>
      </c>
      <c r="EA225" s="56">
        <f t="shared" ca="1" si="576"/>
        <v>2.1586311488522636E-2</v>
      </c>
      <c r="EB225" s="56">
        <f t="shared" ca="1" si="576"/>
        <v>2.6018725518242025E-2</v>
      </c>
      <c r="EC225" s="56">
        <f t="shared" ca="1" si="576"/>
        <v>3.0833588148180713E-2</v>
      </c>
      <c r="ED225" s="56">
        <f t="shared" ca="1" si="576"/>
        <v>3.6020315265314906E-2</v>
      </c>
      <c r="EE225" s="56">
        <f t="shared" ca="1" si="576"/>
        <v>4.1567505317773978E-2</v>
      </c>
      <c r="EF225" s="56">
        <f t="shared" ca="1" si="576"/>
        <v>4.7462964377923633E-2</v>
      </c>
      <c r="EG225" s="56">
        <f t="shared" ca="1" si="576"/>
        <v>5.3693732947265982E-2</v>
      </c>
      <c r="EH225" s="56">
        <f t="shared" ca="1" si="576"/>
        <v>6.0246114444231669E-2</v>
      </c>
      <c r="EI225" s="56">
        <f t="shared" ref="EI225:FN225" ca="1" si="577">IF(EI175&gt;0,MAX(0,EI150-EI199),0)</f>
        <v>6.7105705312235475E-2</v>
      </c>
      <c r="EJ225" s="56">
        <f t="shared" ca="1" si="577"/>
        <v>7.4257426681823002E-2</v>
      </c>
      <c r="EK225" s="56">
        <f t="shared" ca="1" si="577"/>
        <v>8.168555751729567E-2</v>
      </c>
      <c r="EL225" s="56">
        <f t="shared" ca="1" si="577"/>
        <v>8.9373769174959872E-2</v>
      </c>
      <c r="EM225" s="56">
        <f t="shared" ca="1" si="577"/>
        <v>9.7305161297031706E-2</v>
      </c>
      <c r="EN225" s="56">
        <f t="shared" ca="1" si="577"/>
        <v>0.10546229896228709</v>
      </c>
      <c r="EO225" s="56">
        <f t="shared" ca="1" si="577"/>
        <v>0.11382725101180569</v>
      </c>
      <c r="EP225" s="56">
        <f t="shared" ca="1" si="577"/>
        <v>0.1223816294655502</v>
      </c>
      <c r="EQ225" s="56">
        <f t="shared" ca="1" si="577"/>
        <v>0.1311066299431336</v>
      </c>
      <c r="ER225" s="56">
        <f t="shared" ca="1" si="577"/>
        <v>0.13998307299993185</v>
      </c>
      <c r="ES225" s="56">
        <f t="shared" ca="1" si="577"/>
        <v>0.1489914462876647</v>
      </c>
      <c r="ET225" s="56">
        <f t="shared" ca="1" si="577"/>
        <v>0.15811194744677115</v>
      </c>
      <c r="EU225" s="56">
        <f t="shared" ca="1" si="577"/>
        <v>0.16732452763629402</v>
      </c>
      <c r="EV225" s="56">
        <f t="shared" ca="1" si="577"/>
        <v>0.17660893560558355</v>
      </c>
      <c r="EW225" s="56">
        <f t="shared" ca="1" si="577"/>
        <v>0.18594476221094114</v>
      </c>
      <c r="EX225" s="56">
        <f t="shared" ca="1" si="577"/>
        <v>0.19531148527934805</v>
      </c>
      <c r="EY225" s="56">
        <f t="shared" ca="1" si="577"/>
        <v>0.20468851472065186</v>
      </c>
      <c r="EZ225" s="56">
        <f t="shared" ca="1" si="577"/>
        <v>0.21405523778905833</v>
      </c>
      <c r="FA225" s="56">
        <f t="shared" ca="1" si="577"/>
        <v>0.22339106439441636</v>
      </c>
      <c r="FB225" s="56">
        <f t="shared" ca="1" si="577"/>
        <v>0.23267547236370589</v>
      </c>
      <c r="FC225" s="56">
        <f t="shared" ca="1" si="577"/>
        <v>0.24188805255322876</v>
      </c>
      <c r="FD225" s="56">
        <f t="shared" ca="1" si="577"/>
        <v>0.25100855371233521</v>
      </c>
      <c r="FE225" s="56">
        <f t="shared" ca="1" si="577"/>
        <v>0.26001692700006807</v>
      </c>
      <c r="FF225" s="56">
        <f t="shared" ca="1" si="577"/>
        <v>0.26889337005686675</v>
      </c>
      <c r="FG225" s="56">
        <f t="shared" ca="1" si="577"/>
        <v>0.27761837053445015</v>
      </c>
      <c r="FH225" s="56">
        <f t="shared" ca="1" si="577"/>
        <v>0.28617274898819423</v>
      </c>
      <c r="FI225" s="56">
        <f t="shared" ca="1" si="577"/>
        <v>0.29453770103771282</v>
      </c>
      <c r="FJ225" s="56">
        <f t="shared" ca="1" si="577"/>
        <v>0.30269483870296821</v>
      </c>
      <c r="FK225" s="56">
        <f t="shared" ca="1" si="577"/>
        <v>0.3106262308250396</v>
      </c>
      <c r="FL225" s="56">
        <f t="shared" ca="1" si="577"/>
        <v>0.31831444248270424</v>
      </c>
      <c r="FM225" s="56">
        <f t="shared" ca="1" si="577"/>
        <v>0.32574257331817691</v>
      </c>
      <c r="FN225" s="56">
        <f t="shared" ca="1" si="577"/>
        <v>0.33289429468776444</v>
      </c>
      <c r="FO225" s="56">
        <f t="shared" ref="FO225:GP225" ca="1" si="578">IF(FO175&gt;0,MAX(0,FO150-FO199),0)</f>
        <v>0.33975388555576824</v>
      </c>
      <c r="FP225" s="56">
        <f t="shared" ca="1" si="578"/>
        <v>0.34630626705273349</v>
      </c>
      <c r="FQ225" s="56">
        <f t="shared" ca="1" si="578"/>
        <v>0.35253703562207628</v>
      </c>
      <c r="FR225" s="56">
        <f t="shared" ca="1" si="578"/>
        <v>0.35843249468222593</v>
      </c>
      <c r="FS225" s="56">
        <f t="shared" ca="1" si="578"/>
        <v>0.36397968473468501</v>
      </c>
      <c r="FT225" s="56">
        <f t="shared" ca="1" si="578"/>
        <v>0.3691664118518192</v>
      </c>
      <c r="FU225" s="56">
        <f t="shared" ca="1" si="578"/>
        <v>0.37398127448175789</v>
      </c>
      <c r="FV225" s="56">
        <f t="shared" ca="1" si="578"/>
        <v>0.37841368851147728</v>
      </c>
      <c r="FW225" s="56">
        <f t="shared" ca="1" si="578"/>
        <v>0.38245391053297917</v>
      </c>
      <c r="FX225" s="56">
        <f t="shared" ca="1" si="578"/>
        <v>0.38609305926141735</v>
      </c>
      <c r="FY225" s="56">
        <f t="shared" ca="1" si="578"/>
        <v>0.38932313505808658</v>
      </c>
      <c r="FZ225" s="56">
        <f t="shared" ca="1" si="578"/>
        <v>0.3921370375153681</v>
      </c>
      <c r="GA225" s="56">
        <f t="shared" ca="1" si="578"/>
        <v>0.39452858106496258</v>
      </c>
      <c r="GB225" s="56">
        <f t="shared" ca="1" si="578"/>
        <v>0.3964925085751152</v>
      </c>
      <c r="GC225" s="56">
        <f t="shared" ca="1" si="578"/>
        <v>0.39802450290693026</v>
      </c>
      <c r="GD225" s="56">
        <f t="shared" ca="1" si="578"/>
        <v>0.39912119640437949</v>
      </c>
      <c r="GE225" s="56">
        <f t="shared" ca="1" si="578"/>
        <v>0.39978017829714219</v>
      </c>
      <c r="GF225" s="56">
        <f t="shared" ca="1" si="578"/>
        <v>0.39999999999999991</v>
      </c>
      <c r="GG225" s="56">
        <f t="shared" ca="1" si="578"/>
        <v>0.39999999999999991</v>
      </c>
      <c r="GH225" s="56">
        <f t="shared" ca="1" si="578"/>
        <v>0.39999999999999991</v>
      </c>
      <c r="GI225" s="56">
        <f t="shared" ca="1" si="578"/>
        <v>0.39999999999999991</v>
      </c>
      <c r="GJ225" s="56">
        <f t="shared" ca="1" si="578"/>
        <v>0.39999999999999991</v>
      </c>
      <c r="GK225" s="56">
        <f t="shared" ca="1" si="578"/>
        <v>0.39999999999999991</v>
      </c>
      <c r="GL225" s="56">
        <f t="shared" ca="1" si="578"/>
        <v>0.39999999999999991</v>
      </c>
      <c r="GM225" s="56">
        <f t="shared" ca="1" si="578"/>
        <v>0.39999999999999991</v>
      </c>
      <c r="GN225" s="56">
        <f t="shared" ca="1" si="578"/>
        <v>0.39999999999999991</v>
      </c>
      <c r="GO225" s="56">
        <f t="shared" ca="1" si="578"/>
        <v>0.39999999999999991</v>
      </c>
      <c r="GP225" s="56">
        <f t="shared" ca="1" si="578"/>
        <v>0.39999999999999991</v>
      </c>
    </row>
    <row r="226" spans="1:198" x14ac:dyDescent="0.35">
      <c r="A226" s="55" t="str">
        <f t="shared" si="524"/>
        <v>Available now &gt; Hiscox</v>
      </c>
      <c r="B226" s="55" t="s">
        <v>297</v>
      </c>
      <c r="K226" s="56">
        <f t="shared" ref="K226:AP226" si="579">IF(K176&gt;0,MAX(0,K151-K200),0)</f>
        <v>0</v>
      </c>
      <c r="L226" s="56">
        <f t="shared" si="579"/>
        <v>0</v>
      </c>
      <c r="M226" s="56">
        <f t="shared" si="579"/>
        <v>0</v>
      </c>
      <c r="N226" s="56">
        <f t="shared" si="579"/>
        <v>0</v>
      </c>
      <c r="O226" s="56">
        <f t="shared" si="579"/>
        <v>0</v>
      </c>
      <c r="P226" s="56">
        <f t="shared" si="579"/>
        <v>0</v>
      </c>
      <c r="Q226" s="56">
        <f t="shared" si="579"/>
        <v>0</v>
      </c>
      <c r="R226" s="56">
        <f t="shared" si="579"/>
        <v>0</v>
      </c>
      <c r="S226" s="56">
        <f t="shared" si="579"/>
        <v>0</v>
      </c>
      <c r="T226" s="56">
        <f t="shared" si="579"/>
        <v>0</v>
      </c>
      <c r="U226" s="56">
        <f t="shared" si="579"/>
        <v>0</v>
      </c>
      <c r="V226" s="56">
        <f t="shared" si="579"/>
        <v>0</v>
      </c>
      <c r="W226" s="56">
        <f t="shared" si="579"/>
        <v>0</v>
      </c>
      <c r="X226" s="56">
        <f t="shared" si="579"/>
        <v>0</v>
      </c>
      <c r="Y226" s="56">
        <f t="shared" si="579"/>
        <v>0</v>
      </c>
      <c r="Z226" s="56">
        <f t="shared" si="579"/>
        <v>0</v>
      </c>
      <c r="AA226" s="56">
        <f t="shared" si="579"/>
        <v>0</v>
      </c>
      <c r="AB226" s="56">
        <f t="shared" si="579"/>
        <v>0</v>
      </c>
      <c r="AC226" s="56">
        <f t="shared" si="579"/>
        <v>0</v>
      </c>
      <c r="AD226" s="56">
        <f t="shared" si="579"/>
        <v>0</v>
      </c>
      <c r="AE226" s="56">
        <f t="shared" si="579"/>
        <v>0</v>
      </c>
      <c r="AF226" s="56">
        <f t="shared" si="579"/>
        <v>0</v>
      </c>
      <c r="AG226" s="56">
        <f t="shared" si="579"/>
        <v>0</v>
      </c>
      <c r="AH226" s="56">
        <f t="shared" si="579"/>
        <v>0</v>
      </c>
      <c r="AI226" s="56">
        <f t="shared" si="579"/>
        <v>0</v>
      </c>
      <c r="AJ226" s="56">
        <f t="shared" si="579"/>
        <v>0</v>
      </c>
      <c r="AK226" s="56">
        <f t="shared" si="579"/>
        <v>0</v>
      </c>
      <c r="AL226" s="56">
        <f t="shared" si="579"/>
        <v>0</v>
      </c>
      <c r="AM226" s="56">
        <f t="shared" si="579"/>
        <v>0</v>
      </c>
      <c r="AN226" s="56">
        <f t="shared" si="579"/>
        <v>0</v>
      </c>
      <c r="AO226" s="56">
        <f t="shared" si="579"/>
        <v>0</v>
      </c>
      <c r="AP226" s="56">
        <f t="shared" si="579"/>
        <v>0</v>
      </c>
      <c r="AQ226" s="56">
        <f t="shared" ref="AQ226:BV226" si="580">IF(AQ176&gt;0,MAX(0,AQ151-AQ200),0)</f>
        <v>0</v>
      </c>
      <c r="AR226" s="56">
        <f t="shared" si="580"/>
        <v>0</v>
      </c>
      <c r="AS226" s="56">
        <f t="shared" si="580"/>
        <v>0</v>
      </c>
      <c r="AT226" s="56">
        <f t="shared" si="580"/>
        <v>0</v>
      </c>
      <c r="AU226" s="56">
        <f t="shared" si="580"/>
        <v>0</v>
      </c>
      <c r="AV226" s="56">
        <f t="shared" si="580"/>
        <v>0</v>
      </c>
      <c r="AW226" s="56">
        <f t="shared" si="580"/>
        <v>0</v>
      </c>
      <c r="AX226" s="56">
        <f t="shared" si="580"/>
        <v>0</v>
      </c>
      <c r="AY226" s="56">
        <f t="shared" si="580"/>
        <v>0</v>
      </c>
      <c r="AZ226" s="56">
        <f t="shared" si="580"/>
        <v>0</v>
      </c>
      <c r="BA226" s="56">
        <f t="shared" si="580"/>
        <v>0</v>
      </c>
      <c r="BB226" s="56">
        <f t="shared" si="580"/>
        <v>0</v>
      </c>
      <c r="BC226" s="56">
        <f t="shared" si="580"/>
        <v>0</v>
      </c>
      <c r="BD226" s="56">
        <f t="shared" si="580"/>
        <v>0</v>
      </c>
      <c r="BE226" s="56">
        <f t="shared" si="580"/>
        <v>0</v>
      </c>
      <c r="BF226" s="56">
        <f t="shared" si="580"/>
        <v>0</v>
      </c>
      <c r="BG226" s="56">
        <f t="shared" si="580"/>
        <v>0</v>
      </c>
      <c r="BH226" s="56">
        <f t="shared" si="580"/>
        <v>0</v>
      </c>
      <c r="BI226" s="56">
        <f t="shared" si="580"/>
        <v>0</v>
      </c>
      <c r="BJ226" s="56">
        <f t="shared" si="580"/>
        <v>0</v>
      </c>
      <c r="BK226" s="56">
        <f t="shared" si="580"/>
        <v>0</v>
      </c>
      <c r="BL226" s="56">
        <f t="shared" si="580"/>
        <v>0</v>
      </c>
      <c r="BM226" s="56">
        <f t="shared" si="580"/>
        <v>0</v>
      </c>
      <c r="BN226" s="56">
        <f t="shared" si="580"/>
        <v>0</v>
      </c>
      <c r="BO226" s="56">
        <f t="shared" si="580"/>
        <v>0</v>
      </c>
      <c r="BP226" s="56">
        <f t="shared" si="580"/>
        <v>0</v>
      </c>
      <c r="BQ226" s="56">
        <f t="shared" si="580"/>
        <v>0</v>
      </c>
      <c r="BR226" s="56">
        <f t="shared" si="580"/>
        <v>0</v>
      </c>
      <c r="BS226" s="56">
        <f t="shared" si="580"/>
        <v>0</v>
      </c>
      <c r="BT226" s="56">
        <f t="shared" si="580"/>
        <v>0</v>
      </c>
      <c r="BU226" s="56">
        <f t="shared" si="580"/>
        <v>0</v>
      </c>
      <c r="BV226" s="56">
        <f t="shared" si="580"/>
        <v>0</v>
      </c>
      <c r="BW226" s="56">
        <f t="shared" ref="BW226:DB226" si="581">IF(BW176&gt;0,MAX(0,BW151-BW200),0)</f>
        <v>0</v>
      </c>
      <c r="BX226" s="56">
        <f t="shared" si="581"/>
        <v>0</v>
      </c>
      <c r="BY226" s="56">
        <f t="shared" si="581"/>
        <v>0</v>
      </c>
      <c r="BZ226" s="56">
        <f t="shared" si="581"/>
        <v>0</v>
      </c>
      <c r="CA226" s="56">
        <f t="shared" si="581"/>
        <v>0</v>
      </c>
      <c r="CB226" s="56">
        <f t="shared" si="581"/>
        <v>0</v>
      </c>
      <c r="CC226" s="56">
        <f t="shared" si="581"/>
        <v>0</v>
      </c>
      <c r="CD226" s="56">
        <f t="shared" si="581"/>
        <v>0</v>
      </c>
      <c r="CE226" s="56">
        <f t="shared" si="581"/>
        <v>0</v>
      </c>
      <c r="CF226" s="56">
        <f t="shared" si="581"/>
        <v>0</v>
      </c>
      <c r="CG226" s="56">
        <f t="shared" si="581"/>
        <v>0</v>
      </c>
      <c r="CH226" s="56">
        <f t="shared" si="581"/>
        <v>0</v>
      </c>
      <c r="CI226" s="56">
        <f t="shared" si="581"/>
        <v>0</v>
      </c>
      <c r="CJ226" s="56">
        <f t="shared" si="581"/>
        <v>0</v>
      </c>
      <c r="CK226" s="56">
        <f t="shared" si="581"/>
        <v>0</v>
      </c>
      <c r="CL226" s="56">
        <f t="shared" si="581"/>
        <v>0</v>
      </c>
      <c r="CM226" s="56">
        <f t="shared" si="581"/>
        <v>0</v>
      </c>
      <c r="CN226" s="56">
        <f t="shared" si="581"/>
        <v>0</v>
      </c>
      <c r="CO226" s="56">
        <f t="shared" si="581"/>
        <v>0</v>
      </c>
      <c r="CP226" s="56">
        <f t="shared" si="581"/>
        <v>0</v>
      </c>
      <c r="CQ226" s="56">
        <f t="shared" si="581"/>
        <v>0</v>
      </c>
      <c r="CR226" s="56">
        <f t="shared" si="581"/>
        <v>0</v>
      </c>
      <c r="CS226" s="56">
        <f t="shared" si="581"/>
        <v>0</v>
      </c>
      <c r="CT226" s="56">
        <f t="shared" si="581"/>
        <v>0</v>
      </c>
      <c r="CU226" s="56">
        <f t="shared" si="581"/>
        <v>0</v>
      </c>
      <c r="CV226" s="56">
        <f t="shared" si="581"/>
        <v>0</v>
      </c>
      <c r="CW226" s="56">
        <f t="shared" si="581"/>
        <v>0</v>
      </c>
      <c r="CX226" s="56">
        <f t="shared" si="581"/>
        <v>0</v>
      </c>
      <c r="CY226" s="56">
        <f t="shared" si="581"/>
        <v>0</v>
      </c>
      <c r="CZ226" s="56">
        <f t="shared" si="581"/>
        <v>0</v>
      </c>
      <c r="DA226" s="56">
        <f t="shared" si="581"/>
        <v>0</v>
      </c>
      <c r="DB226" s="56">
        <f t="shared" si="581"/>
        <v>0</v>
      </c>
      <c r="DC226" s="56">
        <f t="shared" ref="DC226:EH226" si="582">IF(DC176&gt;0,MAX(0,DC151-DC200),0)</f>
        <v>0</v>
      </c>
      <c r="DD226" s="56">
        <f t="shared" si="582"/>
        <v>0</v>
      </c>
      <c r="DE226" s="56">
        <f t="shared" si="582"/>
        <v>0</v>
      </c>
      <c r="DF226" s="56">
        <f t="shared" si="582"/>
        <v>0</v>
      </c>
      <c r="DG226" s="56">
        <f t="shared" si="582"/>
        <v>0</v>
      </c>
      <c r="DH226" s="56">
        <f t="shared" si="582"/>
        <v>0</v>
      </c>
      <c r="DI226" s="56">
        <f t="shared" si="582"/>
        <v>0</v>
      </c>
      <c r="DJ226" s="56">
        <f t="shared" si="582"/>
        <v>0</v>
      </c>
      <c r="DK226" s="56">
        <f t="shared" si="582"/>
        <v>0</v>
      </c>
      <c r="DL226" s="56">
        <f t="shared" si="582"/>
        <v>0</v>
      </c>
      <c r="DM226" s="56">
        <f t="shared" si="582"/>
        <v>0</v>
      </c>
      <c r="DN226" s="56">
        <f t="shared" si="582"/>
        <v>0</v>
      </c>
      <c r="DO226" s="56">
        <f t="shared" si="582"/>
        <v>0</v>
      </c>
      <c r="DP226" s="56">
        <f t="shared" si="582"/>
        <v>0</v>
      </c>
      <c r="DQ226" s="56">
        <f t="shared" ca="1" si="582"/>
        <v>0</v>
      </c>
      <c r="DR226" s="56">
        <f t="shared" ca="1" si="582"/>
        <v>2.1982170285728131E-4</v>
      </c>
      <c r="DS226" s="56">
        <f t="shared" ca="1" si="582"/>
        <v>8.7880359562042543E-4</v>
      </c>
      <c r="DT226" s="56">
        <f t="shared" ca="1" si="582"/>
        <v>1.9754970930696558E-3</v>
      </c>
      <c r="DU226" s="56">
        <f t="shared" ca="1" si="582"/>
        <v>3.5074914248847122E-3</v>
      </c>
      <c r="DV226" s="56">
        <f t="shared" ca="1" si="582"/>
        <v>5.4714189350368869E-3</v>
      </c>
      <c r="DW226" s="56">
        <f t="shared" ca="1" si="582"/>
        <v>7.862962484631808E-3</v>
      </c>
      <c r="DX226" s="56">
        <f t="shared" ca="1" si="582"/>
        <v>1.0676864941912889E-2</v>
      </c>
      <c r="DY226" s="56">
        <f t="shared" ca="1" si="582"/>
        <v>1.3906940738582563E-2</v>
      </c>
      <c r="DZ226" s="56">
        <f t="shared" ca="1" si="582"/>
        <v>1.7546089467020742E-2</v>
      </c>
      <c r="EA226" s="56">
        <f t="shared" ca="1" si="582"/>
        <v>2.1586311488522192E-2</v>
      </c>
      <c r="EB226" s="56">
        <f t="shared" ca="1" si="582"/>
        <v>2.6018725518241581E-2</v>
      </c>
      <c r="EC226" s="56">
        <f t="shared" ca="1" si="582"/>
        <v>3.0833588148180269E-2</v>
      </c>
      <c r="ED226" s="56">
        <f t="shared" ca="1" si="582"/>
        <v>3.6020315265314906E-2</v>
      </c>
      <c r="EE226" s="56">
        <f t="shared" ca="1" si="582"/>
        <v>4.1567505317773978E-2</v>
      </c>
      <c r="EF226" s="56">
        <f t="shared" ca="1" si="582"/>
        <v>4.7462964377923633E-2</v>
      </c>
      <c r="EG226" s="56">
        <f t="shared" ca="1" si="582"/>
        <v>5.3693732947266426E-2</v>
      </c>
      <c r="EH226" s="56">
        <f t="shared" ca="1" si="582"/>
        <v>6.0246114444231225E-2</v>
      </c>
      <c r="EI226" s="56">
        <f t="shared" ref="EI226:FN226" ca="1" si="583">IF(EI176&gt;0,MAX(0,EI151-EI200),0)</f>
        <v>6.7105705312235919E-2</v>
      </c>
      <c r="EJ226" s="56">
        <f t="shared" ca="1" si="583"/>
        <v>7.4257426681822558E-2</v>
      </c>
      <c r="EK226" s="56">
        <f t="shared" ca="1" si="583"/>
        <v>8.168555751729567E-2</v>
      </c>
      <c r="EL226" s="56">
        <f t="shared" ca="1" si="583"/>
        <v>8.9373769174960316E-2</v>
      </c>
      <c r="EM226" s="56">
        <f t="shared" ca="1" si="583"/>
        <v>9.7305161297031262E-2</v>
      </c>
      <c r="EN226" s="56">
        <f t="shared" ca="1" si="583"/>
        <v>0.10546229896228709</v>
      </c>
      <c r="EO226" s="56">
        <f t="shared" ca="1" si="583"/>
        <v>0.11382725101180657</v>
      </c>
      <c r="EP226" s="56">
        <f t="shared" ca="1" si="583"/>
        <v>0.12238162946554976</v>
      </c>
      <c r="EQ226" s="56">
        <f t="shared" ca="1" si="583"/>
        <v>0.13110662994313316</v>
      </c>
      <c r="ER226" s="56">
        <f t="shared" ca="1" si="583"/>
        <v>0.1399830729999314</v>
      </c>
      <c r="ES226" s="56">
        <f t="shared" ca="1" si="583"/>
        <v>0.14899144628766425</v>
      </c>
      <c r="ET226" s="56">
        <f t="shared" ca="1" si="583"/>
        <v>0.15811194744677071</v>
      </c>
      <c r="EU226" s="56">
        <f t="shared" ca="1" si="583"/>
        <v>0.16732452763629357</v>
      </c>
      <c r="EV226" s="56">
        <f t="shared" ca="1" si="583"/>
        <v>0.17660893560558311</v>
      </c>
      <c r="EW226" s="56">
        <f t="shared" ca="1" si="583"/>
        <v>0.18594476221094158</v>
      </c>
      <c r="EX226" s="56">
        <f t="shared" ca="1" si="583"/>
        <v>0.19531148527934761</v>
      </c>
      <c r="EY226" s="56">
        <f t="shared" ca="1" si="583"/>
        <v>0.20468851472065275</v>
      </c>
      <c r="EZ226" s="56">
        <f t="shared" ca="1" si="583"/>
        <v>0.21405523778905877</v>
      </c>
      <c r="FA226" s="56">
        <f t="shared" ca="1" si="583"/>
        <v>0.22339106439441725</v>
      </c>
      <c r="FB226" s="56">
        <f t="shared" ca="1" si="583"/>
        <v>0.23267547236370678</v>
      </c>
      <c r="FC226" s="56">
        <f t="shared" ca="1" si="583"/>
        <v>0.24188805255322965</v>
      </c>
      <c r="FD226" s="56">
        <f t="shared" ca="1" si="583"/>
        <v>0.2510085537123361</v>
      </c>
      <c r="FE226" s="56">
        <f t="shared" ca="1" si="583"/>
        <v>0.26001692700006895</v>
      </c>
      <c r="FF226" s="56">
        <f t="shared" ca="1" si="583"/>
        <v>0.26889337005686631</v>
      </c>
      <c r="FG226" s="56">
        <f t="shared" ca="1" si="583"/>
        <v>0.27761837053444971</v>
      </c>
      <c r="FH226" s="56">
        <f t="shared" ca="1" si="583"/>
        <v>0.28617274898819378</v>
      </c>
      <c r="FI226" s="56">
        <f t="shared" ca="1" si="583"/>
        <v>0.29453770103771326</v>
      </c>
      <c r="FJ226" s="56">
        <f t="shared" ca="1" si="583"/>
        <v>0.30269483870296909</v>
      </c>
      <c r="FK226" s="56">
        <f t="shared" ca="1" si="583"/>
        <v>0.31062623082504004</v>
      </c>
      <c r="FL226" s="56">
        <f t="shared" ca="1" si="583"/>
        <v>0.31831444248270468</v>
      </c>
      <c r="FM226" s="56">
        <f t="shared" ca="1" si="583"/>
        <v>0.3257425733181778</v>
      </c>
      <c r="FN226" s="56">
        <f t="shared" ca="1" si="583"/>
        <v>0.33289429468776444</v>
      </c>
      <c r="FO226" s="56">
        <f t="shared" ref="FO226:GP226" ca="1" si="584">IF(FO176&gt;0,MAX(0,FO151-FO200),0)</f>
        <v>0.33975388555576913</v>
      </c>
      <c r="FP226" s="56">
        <f t="shared" ca="1" si="584"/>
        <v>0.34630626705273393</v>
      </c>
      <c r="FQ226" s="56">
        <f t="shared" ca="1" si="584"/>
        <v>0.35253703562207672</v>
      </c>
      <c r="FR226" s="56">
        <f t="shared" ca="1" si="584"/>
        <v>0.35843249468222638</v>
      </c>
      <c r="FS226" s="56">
        <f t="shared" ca="1" si="584"/>
        <v>0.36397968473468545</v>
      </c>
      <c r="FT226" s="56">
        <f t="shared" ca="1" si="584"/>
        <v>0.36916641185182009</v>
      </c>
      <c r="FU226" s="56">
        <f t="shared" ca="1" si="584"/>
        <v>0.37398127448175877</v>
      </c>
      <c r="FV226" s="56">
        <f t="shared" ca="1" si="584"/>
        <v>0.37841368851147816</v>
      </c>
      <c r="FW226" s="56">
        <f t="shared" ca="1" si="584"/>
        <v>0.38245391053297961</v>
      </c>
      <c r="FX226" s="56">
        <f t="shared" ca="1" si="584"/>
        <v>0.38609305926141779</v>
      </c>
      <c r="FY226" s="56">
        <f t="shared" ca="1" si="584"/>
        <v>0.38932313505808747</v>
      </c>
      <c r="FZ226" s="56">
        <f t="shared" ca="1" si="584"/>
        <v>0.39213703751536855</v>
      </c>
      <c r="GA226" s="56">
        <f t="shared" ca="1" si="584"/>
        <v>0.39452858106496347</v>
      </c>
      <c r="GB226" s="56">
        <f t="shared" ca="1" si="584"/>
        <v>0.39649250857511564</v>
      </c>
      <c r="GC226" s="56">
        <f t="shared" ca="1" si="584"/>
        <v>0.3980245029069307</v>
      </c>
      <c r="GD226" s="56">
        <f t="shared" ca="1" si="584"/>
        <v>0.39912119640437993</v>
      </c>
      <c r="GE226" s="56">
        <f t="shared" ca="1" si="584"/>
        <v>0.39978017829714307</v>
      </c>
      <c r="GF226" s="56">
        <f t="shared" ca="1" si="584"/>
        <v>0.40000000000000036</v>
      </c>
      <c r="GG226" s="56">
        <f t="shared" ca="1" si="584"/>
        <v>0.40000000000000036</v>
      </c>
      <c r="GH226" s="56">
        <f t="shared" ca="1" si="584"/>
        <v>0.40000000000000036</v>
      </c>
      <c r="GI226" s="56">
        <f t="shared" ca="1" si="584"/>
        <v>0.40000000000000036</v>
      </c>
      <c r="GJ226" s="56">
        <f t="shared" ca="1" si="584"/>
        <v>0.40000000000000036</v>
      </c>
      <c r="GK226" s="56">
        <f t="shared" ca="1" si="584"/>
        <v>0.40000000000000036</v>
      </c>
      <c r="GL226" s="56">
        <f t="shared" ca="1" si="584"/>
        <v>0.40000000000000036</v>
      </c>
      <c r="GM226" s="56">
        <f t="shared" ca="1" si="584"/>
        <v>0.40000000000000036</v>
      </c>
      <c r="GN226" s="56">
        <f t="shared" ca="1" si="584"/>
        <v>0.40000000000000036</v>
      </c>
      <c r="GO226" s="56">
        <f t="shared" ca="1" si="584"/>
        <v>0.40000000000000036</v>
      </c>
      <c r="GP226" s="56">
        <f t="shared" ca="1" si="584"/>
        <v>0.40000000000000036</v>
      </c>
    </row>
    <row r="227" spans="1:198" x14ac:dyDescent="0.35">
      <c r="A227" s="55" t="str">
        <f t="shared" si="524"/>
        <v>Available now &gt; SEI</v>
      </c>
      <c r="B227" s="55" t="s">
        <v>297</v>
      </c>
      <c r="K227" s="56">
        <f t="shared" ref="K227:AP227" si="585">IF(K177&gt;0,MAX(0,K152-K201),0)</f>
        <v>0</v>
      </c>
      <c r="L227" s="56">
        <f t="shared" si="585"/>
        <v>0</v>
      </c>
      <c r="M227" s="56">
        <f t="shared" si="585"/>
        <v>0</v>
      </c>
      <c r="N227" s="56">
        <f t="shared" si="585"/>
        <v>0</v>
      </c>
      <c r="O227" s="56">
        <f t="shared" si="585"/>
        <v>0</v>
      </c>
      <c r="P227" s="56">
        <f t="shared" si="585"/>
        <v>0</v>
      </c>
      <c r="Q227" s="56">
        <f t="shared" si="585"/>
        <v>0</v>
      </c>
      <c r="R227" s="56">
        <f t="shared" si="585"/>
        <v>0</v>
      </c>
      <c r="S227" s="56">
        <f t="shared" si="585"/>
        <v>0</v>
      </c>
      <c r="T227" s="56">
        <f t="shared" si="585"/>
        <v>0</v>
      </c>
      <c r="U227" s="56">
        <f t="shared" si="585"/>
        <v>0</v>
      </c>
      <c r="V227" s="56">
        <f t="shared" si="585"/>
        <v>0</v>
      </c>
      <c r="W227" s="56">
        <f t="shared" si="585"/>
        <v>0</v>
      </c>
      <c r="X227" s="56">
        <f t="shared" si="585"/>
        <v>0</v>
      </c>
      <c r="Y227" s="56">
        <f t="shared" si="585"/>
        <v>0</v>
      </c>
      <c r="Z227" s="56">
        <f t="shared" si="585"/>
        <v>0</v>
      </c>
      <c r="AA227" s="56">
        <f t="shared" si="585"/>
        <v>0</v>
      </c>
      <c r="AB227" s="56">
        <f t="shared" si="585"/>
        <v>0</v>
      </c>
      <c r="AC227" s="56">
        <f t="shared" si="585"/>
        <v>0</v>
      </c>
      <c r="AD227" s="56">
        <f t="shared" si="585"/>
        <v>0</v>
      </c>
      <c r="AE227" s="56">
        <f t="shared" si="585"/>
        <v>0</v>
      </c>
      <c r="AF227" s="56">
        <f t="shared" si="585"/>
        <v>0</v>
      </c>
      <c r="AG227" s="56">
        <f t="shared" si="585"/>
        <v>0</v>
      </c>
      <c r="AH227" s="56">
        <f t="shared" si="585"/>
        <v>0</v>
      </c>
      <c r="AI227" s="56">
        <f t="shared" si="585"/>
        <v>0</v>
      </c>
      <c r="AJ227" s="56">
        <f t="shared" si="585"/>
        <v>0</v>
      </c>
      <c r="AK227" s="56">
        <f t="shared" si="585"/>
        <v>0</v>
      </c>
      <c r="AL227" s="56">
        <f t="shared" si="585"/>
        <v>0</v>
      </c>
      <c r="AM227" s="56">
        <f t="shared" si="585"/>
        <v>0</v>
      </c>
      <c r="AN227" s="56">
        <f t="shared" si="585"/>
        <v>0</v>
      </c>
      <c r="AO227" s="56">
        <f t="shared" si="585"/>
        <v>0</v>
      </c>
      <c r="AP227" s="56">
        <f t="shared" si="585"/>
        <v>0</v>
      </c>
      <c r="AQ227" s="56">
        <f t="shared" ref="AQ227:BV227" si="586">IF(AQ177&gt;0,MAX(0,AQ152-AQ201),0)</f>
        <v>0</v>
      </c>
      <c r="AR227" s="56">
        <f t="shared" si="586"/>
        <v>0</v>
      </c>
      <c r="AS227" s="56">
        <f t="shared" si="586"/>
        <v>0</v>
      </c>
      <c r="AT227" s="56">
        <f t="shared" si="586"/>
        <v>0</v>
      </c>
      <c r="AU227" s="56">
        <f t="shared" si="586"/>
        <v>0</v>
      </c>
      <c r="AV227" s="56">
        <f t="shared" si="586"/>
        <v>0</v>
      </c>
      <c r="AW227" s="56">
        <f t="shared" si="586"/>
        <v>0</v>
      </c>
      <c r="AX227" s="56">
        <f t="shared" si="586"/>
        <v>0</v>
      </c>
      <c r="AY227" s="56">
        <f t="shared" si="586"/>
        <v>0</v>
      </c>
      <c r="AZ227" s="56">
        <f t="shared" si="586"/>
        <v>0</v>
      </c>
      <c r="BA227" s="56">
        <f t="shared" si="586"/>
        <v>0</v>
      </c>
      <c r="BB227" s="56">
        <f t="shared" si="586"/>
        <v>0</v>
      </c>
      <c r="BC227" s="56">
        <f t="shared" si="586"/>
        <v>0</v>
      </c>
      <c r="BD227" s="56">
        <f t="shared" si="586"/>
        <v>0</v>
      </c>
      <c r="BE227" s="56">
        <f t="shared" si="586"/>
        <v>0</v>
      </c>
      <c r="BF227" s="56">
        <f t="shared" si="586"/>
        <v>0</v>
      </c>
      <c r="BG227" s="56">
        <f t="shared" si="586"/>
        <v>0</v>
      </c>
      <c r="BH227" s="56">
        <f t="shared" si="586"/>
        <v>0</v>
      </c>
      <c r="BI227" s="56">
        <f t="shared" si="586"/>
        <v>0</v>
      </c>
      <c r="BJ227" s="56">
        <f t="shared" si="586"/>
        <v>0</v>
      </c>
      <c r="BK227" s="56">
        <f t="shared" si="586"/>
        <v>0</v>
      </c>
      <c r="BL227" s="56">
        <f t="shared" si="586"/>
        <v>0</v>
      </c>
      <c r="BM227" s="56">
        <f t="shared" si="586"/>
        <v>0</v>
      </c>
      <c r="BN227" s="56">
        <f t="shared" si="586"/>
        <v>0</v>
      </c>
      <c r="BO227" s="56">
        <f t="shared" si="586"/>
        <v>0</v>
      </c>
      <c r="BP227" s="56">
        <f t="shared" si="586"/>
        <v>0</v>
      </c>
      <c r="BQ227" s="56">
        <f t="shared" si="586"/>
        <v>0</v>
      </c>
      <c r="BR227" s="56">
        <f t="shared" si="586"/>
        <v>0</v>
      </c>
      <c r="BS227" s="56">
        <f t="shared" si="586"/>
        <v>0</v>
      </c>
      <c r="BT227" s="56">
        <f t="shared" si="586"/>
        <v>0</v>
      </c>
      <c r="BU227" s="56">
        <f t="shared" si="586"/>
        <v>0</v>
      </c>
      <c r="BV227" s="56">
        <f t="shared" si="586"/>
        <v>0</v>
      </c>
      <c r="BW227" s="56">
        <f t="shared" ref="BW227:DB227" si="587">IF(BW177&gt;0,MAX(0,BW152-BW201),0)</f>
        <v>0</v>
      </c>
      <c r="BX227" s="56">
        <f t="shared" si="587"/>
        <v>0</v>
      </c>
      <c r="BY227" s="56">
        <f t="shared" si="587"/>
        <v>0</v>
      </c>
      <c r="BZ227" s="56">
        <f t="shared" si="587"/>
        <v>0</v>
      </c>
      <c r="CA227" s="56">
        <f t="shared" si="587"/>
        <v>0</v>
      </c>
      <c r="CB227" s="56">
        <f t="shared" si="587"/>
        <v>0</v>
      </c>
      <c r="CC227" s="56">
        <f t="shared" si="587"/>
        <v>0</v>
      </c>
      <c r="CD227" s="56">
        <f t="shared" si="587"/>
        <v>0</v>
      </c>
      <c r="CE227" s="56">
        <f t="shared" si="587"/>
        <v>0</v>
      </c>
      <c r="CF227" s="56">
        <f t="shared" si="587"/>
        <v>0</v>
      </c>
      <c r="CG227" s="56">
        <f t="shared" si="587"/>
        <v>0</v>
      </c>
      <c r="CH227" s="56">
        <f t="shared" si="587"/>
        <v>0</v>
      </c>
      <c r="CI227" s="56">
        <f t="shared" si="587"/>
        <v>0</v>
      </c>
      <c r="CJ227" s="56">
        <f t="shared" si="587"/>
        <v>0</v>
      </c>
      <c r="CK227" s="56">
        <f t="shared" si="587"/>
        <v>0</v>
      </c>
      <c r="CL227" s="56">
        <f t="shared" si="587"/>
        <v>0</v>
      </c>
      <c r="CM227" s="56">
        <f t="shared" si="587"/>
        <v>0</v>
      </c>
      <c r="CN227" s="56">
        <f t="shared" si="587"/>
        <v>0</v>
      </c>
      <c r="CO227" s="56">
        <f t="shared" si="587"/>
        <v>0</v>
      </c>
      <c r="CP227" s="56">
        <f t="shared" si="587"/>
        <v>0</v>
      </c>
      <c r="CQ227" s="56">
        <f t="shared" si="587"/>
        <v>0</v>
      </c>
      <c r="CR227" s="56">
        <f t="shared" si="587"/>
        <v>0</v>
      </c>
      <c r="CS227" s="56">
        <f t="shared" si="587"/>
        <v>0</v>
      </c>
      <c r="CT227" s="56">
        <f t="shared" si="587"/>
        <v>0</v>
      </c>
      <c r="CU227" s="56">
        <f t="shared" si="587"/>
        <v>0</v>
      </c>
      <c r="CV227" s="56">
        <f t="shared" si="587"/>
        <v>0</v>
      </c>
      <c r="CW227" s="56">
        <f t="shared" si="587"/>
        <v>0</v>
      </c>
      <c r="CX227" s="56">
        <f t="shared" si="587"/>
        <v>0</v>
      </c>
      <c r="CY227" s="56">
        <f t="shared" si="587"/>
        <v>0</v>
      </c>
      <c r="CZ227" s="56">
        <f t="shared" si="587"/>
        <v>0</v>
      </c>
      <c r="DA227" s="56">
        <f t="shared" si="587"/>
        <v>0</v>
      </c>
      <c r="DB227" s="56">
        <f t="shared" si="587"/>
        <v>0</v>
      </c>
      <c r="DC227" s="56">
        <f t="shared" ref="DC227:EH227" si="588">IF(DC177&gt;0,MAX(0,DC152-DC201),0)</f>
        <v>0</v>
      </c>
      <c r="DD227" s="56">
        <f t="shared" si="588"/>
        <v>0</v>
      </c>
      <c r="DE227" s="56">
        <f t="shared" si="588"/>
        <v>0</v>
      </c>
      <c r="DF227" s="56">
        <f t="shared" si="588"/>
        <v>0</v>
      </c>
      <c r="DG227" s="56">
        <f t="shared" si="588"/>
        <v>0</v>
      </c>
      <c r="DH227" s="56">
        <f t="shared" si="588"/>
        <v>0</v>
      </c>
      <c r="DI227" s="56">
        <f t="shared" si="588"/>
        <v>0</v>
      </c>
      <c r="DJ227" s="56">
        <f t="shared" si="588"/>
        <v>0</v>
      </c>
      <c r="DK227" s="56">
        <f t="shared" si="588"/>
        <v>0</v>
      </c>
      <c r="DL227" s="56">
        <f t="shared" si="588"/>
        <v>0</v>
      </c>
      <c r="DM227" s="56">
        <f t="shared" si="588"/>
        <v>0</v>
      </c>
      <c r="DN227" s="56">
        <f t="shared" si="588"/>
        <v>0</v>
      </c>
      <c r="DO227" s="56">
        <f t="shared" si="588"/>
        <v>0</v>
      </c>
      <c r="DP227" s="56">
        <f t="shared" si="588"/>
        <v>0</v>
      </c>
      <c r="DQ227" s="56">
        <f t="shared" ca="1" si="588"/>
        <v>0</v>
      </c>
      <c r="DR227" s="56">
        <f t="shared" ca="1" si="588"/>
        <v>2.1982170285728131E-4</v>
      </c>
      <c r="DS227" s="56">
        <f t="shared" ca="1" si="588"/>
        <v>8.7880359562042543E-4</v>
      </c>
      <c r="DT227" s="56">
        <f t="shared" ca="1" si="588"/>
        <v>1.975497093070544E-3</v>
      </c>
      <c r="DU227" s="56">
        <f t="shared" ca="1" si="588"/>
        <v>3.5074914248847122E-3</v>
      </c>
      <c r="DV227" s="56">
        <f t="shared" ca="1" si="588"/>
        <v>5.4714189350377751E-3</v>
      </c>
      <c r="DW227" s="56">
        <f t="shared" ca="1" si="588"/>
        <v>7.8629624846326962E-3</v>
      </c>
      <c r="DX227" s="56">
        <f t="shared" ca="1" si="588"/>
        <v>1.0676864941912889E-2</v>
      </c>
      <c r="DY227" s="56">
        <f t="shared" ca="1" si="588"/>
        <v>1.3906940738582563E-2</v>
      </c>
      <c r="DZ227" s="56">
        <f t="shared" ca="1" si="588"/>
        <v>1.7546089467020742E-2</v>
      </c>
      <c r="EA227" s="56">
        <f t="shared" ca="1" si="588"/>
        <v>2.158631148852308E-2</v>
      </c>
      <c r="EB227" s="56">
        <f t="shared" ca="1" si="588"/>
        <v>2.6018725518241581E-2</v>
      </c>
      <c r="EC227" s="56">
        <f t="shared" ca="1" si="588"/>
        <v>3.0833588148180269E-2</v>
      </c>
      <c r="ED227" s="56">
        <f t="shared" ca="1" si="588"/>
        <v>3.6020315265315794E-2</v>
      </c>
      <c r="EE227" s="56">
        <f t="shared" ca="1" si="588"/>
        <v>4.1567505317774867E-2</v>
      </c>
      <c r="EF227" s="56">
        <f t="shared" ca="1" si="588"/>
        <v>4.7462964377923633E-2</v>
      </c>
      <c r="EG227" s="56">
        <f t="shared" ca="1" si="588"/>
        <v>5.3693732947265538E-2</v>
      </c>
      <c r="EH227" s="56">
        <f t="shared" ca="1" si="588"/>
        <v>6.0246114444232113E-2</v>
      </c>
      <c r="EI227" s="56">
        <f t="shared" ref="EI227:FN227" ca="1" si="589">IF(EI177&gt;0,MAX(0,EI152-EI201),0)</f>
        <v>6.7105705312235031E-2</v>
      </c>
      <c r="EJ227" s="56">
        <f t="shared" ca="1" si="589"/>
        <v>7.4257426681823446E-2</v>
      </c>
      <c r="EK227" s="56">
        <f t="shared" ca="1" si="589"/>
        <v>8.168555751729567E-2</v>
      </c>
      <c r="EL227" s="56">
        <f t="shared" ca="1" si="589"/>
        <v>8.9373769174960316E-2</v>
      </c>
      <c r="EM227" s="56">
        <f t="shared" ca="1" si="589"/>
        <v>9.730516129703215E-2</v>
      </c>
      <c r="EN227" s="56">
        <f t="shared" ca="1" si="589"/>
        <v>0.10546229896228709</v>
      </c>
      <c r="EO227" s="56">
        <f t="shared" ca="1" si="589"/>
        <v>0.11382725101180569</v>
      </c>
      <c r="EP227" s="56">
        <f t="shared" ca="1" si="589"/>
        <v>0.12238162946554976</v>
      </c>
      <c r="EQ227" s="56">
        <f t="shared" ca="1" si="589"/>
        <v>0.13110662994313316</v>
      </c>
      <c r="ER227" s="56">
        <f t="shared" ca="1" si="589"/>
        <v>0.13998307299993229</v>
      </c>
      <c r="ES227" s="56">
        <f t="shared" ca="1" si="589"/>
        <v>0.14899144628766514</v>
      </c>
      <c r="ET227" s="56">
        <f t="shared" ca="1" si="589"/>
        <v>0.15811194744677159</v>
      </c>
      <c r="EU227" s="56">
        <f t="shared" ca="1" si="589"/>
        <v>0.16732452763629446</v>
      </c>
      <c r="EV227" s="56">
        <f t="shared" ca="1" si="589"/>
        <v>0.17660893560558399</v>
      </c>
      <c r="EW227" s="56">
        <f t="shared" ca="1" si="589"/>
        <v>0.18594476221094158</v>
      </c>
      <c r="EX227" s="56">
        <f t="shared" ca="1" si="589"/>
        <v>0.1953114852793485</v>
      </c>
      <c r="EY227" s="56">
        <f t="shared" ca="1" si="589"/>
        <v>0.20468851472065186</v>
      </c>
      <c r="EZ227" s="56">
        <f t="shared" ca="1" si="589"/>
        <v>0.21405523778905877</v>
      </c>
      <c r="FA227" s="56">
        <f t="shared" ca="1" si="589"/>
        <v>0.22339106439441636</v>
      </c>
      <c r="FB227" s="56">
        <f t="shared" ca="1" si="589"/>
        <v>0.23267547236370589</v>
      </c>
      <c r="FC227" s="56">
        <f t="shared" ca="1" si="589"/>
        <v>0.24188805255322876</v>
      </c>
      <c r="FD227" s="56">
        <f t="shared" ca="1" si="589"/>
        <v>0.25100855371233521</v>
      </c>
      <c r="FE227" s="56">
        <f t="shared" ca="1" si="589"/>
        <v>0.26001692700006807</v>
      </c>
      <c r="FF227" s="56">
        <f t="shared" ca="1" si="589"/>
        <v>0.2688933700568672</v>
      </c>
      <c r="FG227" s="56">
        <f t="shared" ca="1" si="589"/>
        <v>0.2776183705344506</v>
      </c>
      <c r="FH227" s="56">
        <f t="shared" ca="1" si="589"/>
        <v>0.28617274898819467</v>
      </c>
      <c r="FI227" s="56">
        <f t="shared" ca="1" si="589"/>
        <v>0.29453770103771326</v>
      </c>
      <c r="FJ227" s="56">
        <f t="shared" ca="1" si="589"/>
        <v>0.30269483870296909</v>
      </c>
      <c r="FK227" s="56">
        <f t="shared" ca="1" si="589"/>
        <v>0.31062623082504004</v>
      </c>
      <c r="FL227" s="56">
        <f t="shared" ca="1" si="589"/>
        <v>0.31831444248270468</v>
      </c>
      <c r="FM227" s="56">
        <f t="shared" ca="1" si="589"/>
        <v>0.32574257331817691</v>
      </c>
      <c r="FN227" s="56">
        <f t="shared" ca="1" si="589"/>
        <v>0.33289429468776532</v>
      </c>
      <c r="FO227" s="56">
        <f t="shared" ref="FO227:GP227" ca="1" si="590">IF(FO177&gt;0,MAX(0,FO152-FO201),0)</f>
        <v>0.33975388555576824</v>
      </c>
      <c r="FP227" s="56">
        <f t="shared" ca="1" si="590"/>
        <v>0.34630626705273393</v>
      </c>
      <c r="FQ227" s="56">
        <f t="shared" ca="1" si="590"/>
        <v>0.35253703562207672</v>
      </c>
      <c r="FR227" s="56">
        <f t="shared" ca="1" si="590"/>
        <v>0.35843249468222549</v>
      </c>
      <c r="FS227" s="56">
        <f t="shared" ca="1" si="590"/>
        <v>0.36397968473468456</v>
      </c>
      <c r="FT227" s="56">
        <f t="shared" ca="1" si="590"/>
        <v>0.36916641185182009</v>
      </c>
      <c r="FU227" s="56">
        <f t="shared" ca="1" si="590"/>
        <v>0.37398127448175877</v>
      </c>
      <c r="FV227" s="56">
        <f t="shared" ca="1" si="590"/>
        <v>0.37841368851147728</v>
      </c>
      <c r="FW227" s="56">
        <f t="shared" ca="1" si="590"/>
        <v>0.38245391053297961</v>
      </c>
      <c r="FX227" s="56">
        <f t="shared" ca="1" si="590"/>
        <v>0.38609305926141779</v>
      </c>
      <c r="FY227" s="56">
        <f t="shared" ca="1" si="590"/>
        <v>0.38932313505808747</v>
      </c>
      <c r="FZ227" s="56">
        <f t="shared" ca="1" si="590"/>
        <v>0.39213703751536855</v>
      </c>
      <c r="GA227" s="56">
        <f t="shared" ca="1" si="590"/>
        <v>0.39452858106496258</v>
      </c>
      <c r="GB227" s="56">
        <f t="shared" ca="1" si="590"/>
        <v>0.39649250857511564</v>
      </c>
      <c r="GC227" s="56">
        <f t="shared" ca="1" si="590"/>
        <v>0.39802450290692981</v>
      </c>
      <c r="GD227" s="56">
        <f t="shared" ca="1" si="590"/>
        <v>0.39912119640437993</v>
      </c>
      <c r="GE227" s="56">
        <f t="shared" ca="1" si="590"/>
        <v>0.39978017829714307</v>
      </c>
      <c r="GF227" s="56">
        <f t="shared" ca="1" si="590"/>
        <v>0.40000000000000036</v>
      </c>
      <c r="GG227" s="56">
        <f t="shared" ca="1" si="590"/>
        <v>0.40000000000000036</v>
      </c>
      <c r="GH227" s="56">
        <f t="shared" ca="1" si="590"/>
        <v>0.40000000000000036</v>
      </c>
      <c r="GI227" s="56">
        <f t="shared" ca="1" si="590"/>
        <v>0.40000000000000036</v>
      </c>
      <c r="GJ227" s="56">
        <f t="shared" ca="1" si="590"/>
        <v>0.40000000000000036</v>
      </c>
      <c r="GK227" s="56">
        <f t="shared" ca="1" si="590"/>
        <v>0.40000000000000036</v>
      </c>
      <c r="GL227" s="56">
        <f t="shared" ca="1" si="590"/>
        <v>0.40000000000000036</v>
      </c>
      <c r="GM227" s="56">
        <f t="shared" ca="1" si="590"/>
        <v>0.40000000000000036</v>
      </c>
      <c r="GN227" s="56">
        <f t="shared" ca="1" si="590"/>
        <v>0.40000000000000036</v>
      </c>
      <c r="GO227" s="56">
        <f t="shared" ca="1" si="590"/>
        <v>0.40000000000000036</v>
      </c>
      <c r="GP227" s="56">
        <f t="shared" ca="1" si="590"/>
        <v>0.40000000000000036</v>
      </c>
    </row>
    <row r="228" spans="1:198" x14ac:dyDescent="0.35">
      <c r="A228" s="55" t="str">
        <f t="shared" si="524"/>
        <v>Available now &gt; M&amp;T Bank</v>
      </c>
      <c r="B228" s="55" t="s">
        <v>297</v>
      </c>
      <c r="K228" s="56">
        <f t="shared" ref="K228:AP228" si="591">IF(K178&gt;0,MAX(0,K153-K202),0)</f>
        <v>0</v>
      </c>
      <c r="L228" s="56">
        <f t="shared" si="591"/>
        <v>0</v>
      </c>
      <c r="M228" s="56">
        <f t="shared" si="591"/>
        <v>0</v>
      </c>
      <c r="N228" s="56">
        <f t="shared" si="591"/>
        <v>0</v>
      </c>
      <c r="O228" s="56">
        <f t="shared" si="591"/>
        <v>0</v>
      </c>
      <c r="P228" s="56">
        <f t="shared" si="591"/>
        <v>0</v>
      </c>
      <c r="Q228" s="56">
        <f t="shared" si="591"/>
        <v>0</v>
      </c>
      <c r="R228" s="56">
        <f t="shared" si="591"/>
        <v>0</v>
      </c>
      <c r="S228" s="56">
        <f t="shared" si="591"/>
        <v>0</v>
      </c>
      <c r="T228" s="56">
        <f t="shared" si="591"/>
        <v>0</v>
      </c>
      <c r="U228" s="56">
        <f t="shared" si="591"/>
        <v>0</v>
      </c>
      <c r="V228" s="56">
        <f t="shared" si="591"/>
        <v>0</v>
      </c>
      <c r="W228" s="56">
        <f t="shared" si="591"/>
        <v>0</v>
      </c>
      <c r="X228" s="56">
        <f t="shared" si="591"/>
        <v>0</v>
      </c>
      <c r="Y228" s="56">
        <f t="shared" si="591"/>
        <v>0</v>
      </c>
      <c r="Z228" s="56">
        <f t="shared" si="591"/>
        <v>0</v>
      </c>
      <c r="AA228" s="56">
        <f t="shared" si="591"/>
        <v>0</v>
      </c>
      <c r="AB228" s="56">
        <f t="shared" si="591"/>
        <v>0</v>
      </c>
      <c r="AC228" s="56">
        <f t="shared" si="591"/>
        <v>0</v>
      </c>
      <c r="AD228" s="56">
        <f t="shared" si="591"/>
        <v>0</v>
      </c>
      <c r="AE228" s="56">
        <f t="shared" si="591"/>
        <v>0</v>
      </c>
      <c r="AF228" s="56">
        <f t="shared" si="591"/>
        <v>0</v>
      </c>
      <c r="AG228" s="56">
        <f t="shared" si="591"/>
        <v>0</v>
      </c>
      <c r="AH228" s="56">
        <f t="shared" si="591"/>
        <v>0</v>
      </c>
      <c r="AI228" s="56">
        <f t="shared" si="591"/>
        <v>0</v>
      </c>
      <c r="AJ228" s="56">
        <f t="shared" si="591"/>
        <v>0</v>
      </c>
      <c r="AK228" s="56">
        <f t="shared" si="591"/>
        <v>0</v>
      </c>
      <c r="AL228" s="56">
        <f t="shared" si="591"/>
        <v>0</v>
      </c>
      <c r="AM228" s="56">
        <f t="shared" si="591"/>
        <v>0</v>
      </c>
      <c r="AN228" s="56">
        <f t="shared" si="591"/>
        <v>0</v>
      </c>
      <c r="AO228" s="56">
        <f t="shared" si="591"/>
        <v>0</v>
      </c>
      <c r="AP228" s="56">
        <f t="shared" si="591"/>
        <v>0</v>
      </c>
      <c r="AQ228" s="56">
        <f t="shared" ref="AQ228:BV228" si="592">IF(AQ178&gt;0,MAX(0,AQ153-AQ202),0)</f>
        <v>0</v>
      </c>
      <c r="AR228" s="56">
        <f t="shared" si="592"/>
        <v>0</v>
      </c>
      <c r="AS228" s="56">
        <f t="shared" si="592"/>
        <v>0</v>
      </c>
      <c r="AT228" s="56">
        <f t="shared" si="592"/>
        <v>0</v>
      </c>
      <c r="AU228" s="56">
        <f t="shared" si="592"/>
        <v>0</v>
      </c>
      <c r="AV228" s="56">
        <f t="shared" si="592"/>
        <v>0</v>
      </c>
      <c r="AW228" s="56">
        <f t="shared" si="592"/>
        <v>0</v>
      </c>
      <c r="AX228" s="56">
        <f t="shared" si="592"/>
        <v>0</v>
      </c>
      <c r="AY228" s="56">
        <f t="shared" si="592"/>
        <v>0</v>
      </c>
      <c r="AZ228" s="56">
        <f t="shared" si="592"/>
        <v>0</v>
      </c>
      <c r="BA228" s="56">
        <f t="shared" si="592"/>
        <v>0</v>
      </c>
      <c r="BB228" s="56">
        <f t="shared" si="592"/>
        <v>0</v>
      </c>
      <c r="BC228" s="56">
        <f t="shared" si="592"/>
        <v>0</v>
      </c>
      <c r="BD228" s="56">
        <f t="shared" si="592"/>
        <v>0</v>
      </c>
      <c r="BE228" s="56">
        <f t="shared" si="592"/>
        <v>0</v>
      </c>
      <c r="BF228" s="56">
        <f t="shared" si="592"/>
        <v>0</v>
      </c>
      <c r="BG228" s="56">
        <f t="shared" si="592"/>
        <v>0</v>
      </c>
      <c r="BH228" s="56">
        <f t="shared" si="592"/>
        <v>0</v>
      </c>
      <c r="BI228" s="56">
        <f t="shared" si="592"/>
        <v>0</v>
      </c>
      <c r="BJ228" s="56">
        <f t="shared" si="592"/>
        <v>0</v>
      </c>
      <c r="BK228" s="56">
        <f t="shared" si="592"/>
        <v>0</v>
      </c>
      <c r="BL228" s="56">
        <f t="shared" si="592"/>
        <v>0</v>
      </c>
      <c r="BM228" s="56">
        <f t="shared" si="592"/>
        <v>0</v>
      </c>
      <c r="BN228" s="56">
        <f t="shared" si="592"/>
        <v>0</v>
      </c>
      <c r="BO228" s="56">
        <f t="shared" si="592"/>
        <v>0</v>
      </c>
      <c r="BP228" s="56">
        <f t="shared" si="592"/>
        <v>0</v>
      </c>
      <c r="BQ228" s="56">
        <f t="shared" si="592"/>
        <v>0</v>
      </c>
      <c r="BR228" s="56">
        <f t="shared" si="592"/>
        <v>0</v>
      </c>
      <c r="BS228" s="56">
        <f t="shared" si="592"/>
        <v>0</v>
      </c>
      <c r="BT228" s="56">
        <f t="shared" si="592"/>
        <v>0</v>
      </c>
      <c r="BU228" s="56">
        <f t="shared" si="592"/>
        <v>0</v>
      </c>
      <c r="BV228" s="56">
        <f t="shared" si="592"/>
        <v>0</v>
      </c>
      <c r="BW228" s="56">
        <f t="shared" ref="BW228:DB228" si="593">IF(BW178&gt;0,MAX(0,BW153-BW202),0)</f>
        <v>0</v>
      </c>
      <c r="BX228" s="56">
        <f t="shared" si="593"/>
        <v>0</v>
      </c>
      <c r="BY228" s="56">
        <f t="shared" si="593"/>
        <v>0</v>
      </c>
      <c r="BZ228" s="56">
        <f t="shared" si="593"/>
        <v>0</v>
      </c>
      <c r="CA228" s="56">
        <f t="shared" si="593"/>
        <v>0</v>
      </c>
      <c r="CB228" s="56">
        <f t="shared" si="593"/>
        <v>0</v>
      </c>
      <c r="CC228" s="56">
        <f t="shared" si="593"/>
        <v>0</v>
      </c>
      <c r="CD228" s="56">
        <f t="shared" si="593"/>
        <v>0</v>
      </c>
      <c r="CE228" s="56">
        <f t="shared" si="593"/>
        <v>0</v>
      </c>
      <c r="CF228" s="56">
        <f t="shared" si="593"/>
        <v>0</v>
      </c>
      <c r="CG228" s="56">
        <f t="shared" si="593"/>
        <v>0</v>
      </c>
      <c r="CH228" s="56">
        <f t="shared" si="593"/>
        <v>0</v>
      </c>
      <c r="CI228" s="56">
        <f t="shared" si="593"/>
        <v>0</v>
      </c>
      <c r="CJ228" s="56">
        <f t="shared" si="593"/>
        <v>0</v>
      </c>
      <c r="CK228" s="56">
        <f t="shared" si="593"/>
        <v>0</v>
      </c>
      <c r="CL228" s="56">
        <f t="shared" si="593"/>
        <v>0</v>
      </c>
      <c r="CM228" s="56">
        <f t="shared" si="593"/>
        <v>0</v>
      </c>
      <c r="CN228" s="56">
        <f t="shared" si="593"/>
        <v>0</v>
      </c>
      <c r="CO228" s="56">
        <f t="shared" si="593"/>
        <v>0</v>
      </c>
      <c r="CP228" s="56">
        <f t="shared" si="593"/>
        <v>0</v>
      </c>
      <c r="CQ228" s="56">
        <f t="shared" si="593"/>
        <v>0</v>
      </c>
      <c r="CR228" s="56">
        <f t="shared" si="593"/>
        <v>0</v>
      </c>
      <c r="CS228" s="56">
        <f t="shared" si="593"/>
        <v>0</v>
      </c>
      <c r="CT228" s="56">
        <f t="shared" si="593"/>
        <v>0</v>
      </c>
      <c r="CU228" s="56">
        <f t="shared" si="593"/>
        <v>0</v>
      </c>
      <c r="CV228" s="56">
        <f t="shared" si="593"/>
        <v>0</v>
      </c>
      <c r="CW228" s="56">
        <f t="shared" si="593"/>
        <v>0</v>
      </c>
      <c r="CX228" s="56">
        <f t="shared" si="593"/>
        <v>0</v>
      </c>
      <c r="CY228" s="56">
        <f t="shared" si="593"/>
        <v>0</v>
      </c>
      <c r="CZ228" s="56">
        <f t="shared" si="593"/>
        <v>0</v>
      </c>
      <c r="DA228" s="56">
        <f t="shared" si="593"/>
        <v>0</v>
      </c>
      <c r="DB228" s="56">
        <f t="shared" si="593"/>
        <v>0</v>
      </c>
      <c r="DC228" s="56">
        <f t="shared" ref="DC228:EH228" si="594">IF(DC178&gt;0,MAX(0,DC153-DC202),0)</f>
        <v>0</v>
      </c>
      <c r="DD228" s="56">
        <f t="shared" si="594"/>
        <v>0</v>
      </c>
      <c r="DE228" s="56">
        <f t="shared" si="594"/>
        <v>0</v>
      </c>
      <c r="DF228" s="56">
        <f t="shared" si="594"/>
        <v>0</v>
      </c>
      <c r="DG228" s="56">
        <f t="shared" si="594"/>
        <v>0</v>
      </c>
      <c r="DH228" s="56">
        <f t="shared" si="594"/>
        <v>0</v>
      </c>
      <c r="DI228" s="56">
        <f t="shared" si="594"/>
        <v>0</v>
      </c>
      <c r="DJ228" s="56">
        <f t="shared" si="594"/>
        <v>0</v>
      </c>
      <c r="DK228" s="56">
        <f t="shared" si="594"/>
        <v>0</v>
      </c>
      <c r="DL228" s="56">
        <f t="shared" si="594"/>
        <v>0</v>
      </c>
      <c r="DM228" s="56">
        <f t="shared" si="594"/>
        <v>0</v>
      </c>
      <c r="DN228" s="56">
        <f t="shared" si="594"/>
        <v>0</v>
      </c>
      <c r="DO228" s="56">
        <f t="shared" si="594"/>
        <v>0</v>
      </c>
      <c r="DP228" s="56">
        <f t="shared" si="594"/>
        <v>0</v>
      </c>
      <c r="DQ228" s="56">
        <f t="shared" ca="1" si="594"/>
        <v>0</v>
      </c>
      <c r="DR228" s="56">
        <f t="shared" ca="1" si="594"/>
        <v>2.1982170285816949E-4</v>
      </c>
      <c r="DS228" s="56">
        <f t="shared" ca="1" si="594"/>
        <v>8.7880359562042543E-4</v>
      </c>
      <c r="DT228" s="56">
        <f t="shared" ca="1" si="594"/>
        <v>1.9754970930696558E-3</v>
      </c>
      <c r="DU228" s="56">
        <f t="shared" ca="1" si="594"/>
        <v>3.5074914248847122E-3</v>
      </c>
      <c r="DV228" s="56">
        <f t="shared" ca="1" si="594"/>
        <v>5.4714189350368869E-3</v>
      </c>
      <c r="DW228" s="56">
        <f t="shared" ca="1" si="594"/>
        <v>7.862962484631808E-3</v>
      </c>
      <c r="DX228" s="56">
        <f t="shared" ca="1" si="594"/>
        <v>1.0676864941912889E-2</v>
      </c>
      <c r="DY228" s="56">
        <f t="shared" ca="1" si="594"/>
        <v>1.3906940738583451E-2</v>
      </c>
      <c r="DZ228" s="56">
        <f t="shared" ca="1" si="594"/>
        <v>1.7546089467020742E-2</v>
      </c>
      <c r="EA228" s="56">
        <f t="shared" ca="1" si="594"/>
        <v>2.1586311488522192E-2</v>
      </c>
      <c r="EB228" s="56">
        <f t="shared" ca="1" si="594"/>
        <v>2.6018725518242469E-2</v>
      </c>
      <c r="EC228" s="56">
        <f t="shared" ca="1" si="594"/>
        <v>3.0833588148180269E-2</v>
      </c>
      <c r="ED228" s="56">
        <f t="shared" ca="1" si="594"/>
        <v>3.6020315265314906E-2</v>
      </c>
      <c r="EE228" s="56">
        <f t="shared" ca="1" si="594"/>
        <v>4.1567505317773978E-2</v>
      </c>
      <c r="EF228" s="56">
        <f t="shared" ca="1" si="594"/>
        <v>4.7462964377923633E-2</v>
      </c>
      <c r="EG228" s="56">
        <f t="shared" ca="1" si="594"/>
        <v>5.3693732947266426E-2</v>
      </c>
      <c r="EH228" s="56">
        <f t="shared" ca="1" si="594"/>
        <v>6.0246114444231225E-2</v>
      </c>
      <c r="EI228" s="56">
        <f t="shared" ref="EI228:FN228" ca="1" si="595">IF(EI178&gt;0,MAX(0,EI153-EI202),0)</f>
        <v>6.7105705312235919E-2</v>
      </c>
      <c r="EJ228" s="56">
        <f t="shared" ca="1" si="595"/>
        <v>7.4257426681822558E-2</v>
      </c>
      <c r="EK228" s="56">
        <f t="shared" ca="1" si="595"/>
        <v>8.1685557517294782E-2</v>
      </c>
      <c r="EL228" s="56">
        <f t="shared" ca="1" si="595"/>
        <v>8.9373769174959428E-2</v>
      </c>
      <c r="EM228" s="56">
        <f t="shared" ca="1" si="595"/>
        <v>9.7305161297031262E-2</v>
      </c>
      <c r="EN228" s="56">
        <f t="shared" ca="1" si="595"/>
        <v>0.10546229896228709</v>
      </c>
      <c r="EO228" s="56">
        <f t="shared" ca="1" si="595"/>
        <v>0.11382725101180569</v>
      </c>
      <c r="EP228" s="56">
        <f t="shared" ca="1" si="595"/>
        <v>0.12238162946555065</v>
      </c>
      <c r="EQ228" s="56">
        <f t="shared" ca="1" si="595"/>
        <v>0.13110662994313316</v>
      </c>
      <c r="ER228" s="56">
        <f t="shared" ca="1" si="595"/>
        <v>0.1399830729999314</v>
      </c>
      <c r="ES228" s="56">
        <f t="shared" ca="1" si="595"/>
        <v>0.14899144628766425</v>
      </c>
      <c r="ET228" s="56">
        <f t="shared" ca="1" si="595"/>
        <v>0.15811194744677071</v>
      </c>
      <c r="EU228" s="56">
        <f t="shared" ca="1" si="595"/>
        <v>0.16732452763629357</v>
      </c>
      <c r="EV228" s="56">
        <f t="shared" ca="1" si="595"/>
        <v>0.17660893560558311</v>
      </c>
      <c r="EW228" s="56">
        <f t="shared" ca="1" si="595"/>
        <v>0.1859447622109407</v>
      </c>
      <c r="EX228" s="56">
        <f t="shared" ca="1" si="595"/>
        <v>0.19531148527934761</v>
      </c>
      <c r="EY228" s="56">
        <f t="shared" ca="1" si="595"/>
        <v>0.20468851472065186</v>
      </c>
      <c r="EZ228" s="56">
        <f t="shared" ca="1" si="595"/>
        <v>0.21405523778905788</v>
      </c>
      <c r="FA228" s="56">
        <f t="shared" ca="1" si="595"/>
        <v>0.22339106439441636</v>
      </c>
      <c r="FB228" s="56">
        <f t="shared" ca="1" si="595"/>
        <v>0.23267547236370589</v>
      </c>
      <c r="FC228" s="56">
        <f t="shared" ca="1" si="595"/>
        <v>0.24188805255322876</v>
      </c>
      <c r="FD228" s="56">
        <f t="shared" ca="1" si="595"/>
        <v>0.25100855371233521</v>
      </c>
      <c r="FE228" s="56">
        <f t="shared" ca="1" si="595"/>
        <v>0.26001692700006807</v>
      </c>
      <c r="FF228" s="56">
        <f t="shared" ca="1" si="595"/>
        <v>0.26889337005686542</v>
      </c>
      <c r="FG228" s="56">
        <f t="shared" ca="1" si="595"/>
        <v>0.27761837053444882</v>
      </c>
      <c r="FH228" s="56">
        <f t="shared" ca="1" si="595"/>
        <v>0.28617274898819378</v>
      </c>
      <c r="FI228" s="56">
        <f t="shared" ca="1" si="595"/>
        <v>0.29453770103771326</v>
      </c>
      <c r="FJ228" s="56">
        <f t="shared" ca="1" si="595"/>
        <v>0.30269483870296732</v>
      </c>
      <c r="FK228" s="56">
        <f t="shared" ca="1" si="595"/>
        <v>0.31062623082504004</v>
      </c>
      <c r="FL228" s="56">
        <f t="shared" ca="1" si="595"/>
        <v>0.31831444248270468</v>
      </c>
      <c r="FM228" s="56">
        <f t="shared" ca="1" si="595"/>
        <v>0.32574257331817691</v>
      </c>
      <c r="FN228" s="56">
        <f t="shared" ca="1" si="595"/>
        <v>0.33289429468776355</v>
      </c>
      <c r="FO228" s="56">
        <f t="shared" ref="FO228:GP228" ca="1" si="596">IF(FO178&gt;0,MAX(0,FO153-FO202),0)</f>
        <v>0.33975388555576824</v>
      </c>
      <c r="FP228" s="56">
        <f t="shared" ca="1" si="596"/>
        <v>0.34630626705273393</v>
      </c>
      <c r="FQ228" s="56">
        <f t="shared" ca="1" si="596"/>
        <v>0.35253703562207583</v>
      </c>
      <c r="FR228" s="56">
        <f t="shared" ca="1" si="596"/>
        <v>0.35843249468222549</v>
      </c>
      <c r="FS228" s="56">
        <f t="shared" ca="1" si="596"/>
        <v>0.36397968473468456</v>
      </c>
      <c r="FT228" s="56">
        <f t="shared" ca="1" si="596"/>
        <v>0.3691664118518192</v>
      </c>
      <c r="FU228" s="56">
        <f t="shared" ca="1" si="596"/>
        <v>0.373981274481757</v>
      </c>
      <c r="FV228" s="56">
        <f t="shared" ca="1" si="596"/>
        <v>0.37841368851147728</v>
      </c>
      <c r="FW228" s="56">
        <f t="shared" ca="1" si="596"/>
        <v>0.38245391053297872</v>
      </c>
      <c r="FX228" s="56">
        <f t="shared" ca="1" si="596"/>
        <v>0.3860930592614169</v>
      </c>
      <c r="FY228" s="56">
        <f t="shared" ca="1" si="596"/>
        <v>0.38932313505808569</v>
      </c>
      <c r="FZ228" s="56">
        <f t="shared" ca="1" si="596"/>
        <v>0.39213703751536766</v>
      </c>
      <c r="GA228" s="56">
        <f t="shared" ca="1" si="596"/>
        <v>0.39452858106496258</v>
      </c>
      <c r="GB228" s="56">
        <f t="shared" ca="1" si="596"/>
        <v>0.39649250857511475</v>
      </c>
      <c r="GC228" s="56">
        <f t="shared" ca="1" si="596"/>
        <v>0.3980245029069307</v>
      </c>
      <c r="GD228" s="56">
        <f t="shared" ca="1" si="596"/>
        <v>0.39912119640437904</v>
      </c>
      <c r="GE228" s="56">
        <f t="shared" ca="1" si="596"/>
        <v>0.3997801782971413</v>
      </c>
      <c r="GF228" s="56">
        <f t="shared" ca="1" si="596"/>
        <v>0.39999999999999947</v>
      </c>
      <c r="GG228" s="56">
        <f t="shared" ca="1" si="596"/>
        <v>0.39999999999999947</v>
      </c>
      <c r="GH228" s="56">
        <f t="shared" ca="1" si="596"/>
        <v>0.39999999999999947</v>
      </c>
      <c r="GI228" s="56">
        <f t="shared" ca="1" si="596"/>
        <v>0.39999999999999947</v>
      </c>
      <c r="GJ228" s="56">
        <f t="shared" ca="1" si="596"/>
        <v>0.39999999999999947</v>
      </c>
      <c r="GK228" s="56">
        <f t="shared" ca="1" si="596"/>
        <v>0.39999999999999947</v>
      </c>
      <c r="GL228" s="56">
        <f t="shared" ca="1" si="596"/>
        <v>0.39999999999999947</v>
      </c>
      <c r="GM228" s="56">
        <f t="shared" ca="1" si="596"/>
        <v>0.39999999999999947</v>
      </c>
      <c r="GN228" s="56">
        <f t="shared" ca="1" si="596"/>
        <v>0.39999999999999947</v>
      </c>
      <c r="GO228" s="56">
        <f t="shared" ca="1" si="596"/>
        <v>0.39999999999999947</v>
      </c>
      <c r="GP228" s="56">
        <f t="shared" ca="1" si="596"/>
        <v>0.39999999999999947</v>
      </c>
    </row>
    <row r="229" spans="1:198" x14ac:dyDescent="0.35">
      <c r="A229" s="55" t="str">
        <f t="shared" si="524"/>
        <v>Available now &gt; Peabody</v>
      </c>
      <c r="B229" s="55" t="s">
        <v>297</v>
      </c>
      <c r="K229" s="56">
        <f t="shared" ref="K229:AP229" si="597">IF(K179&gt;0,MAX(0,K154-K203),0)</f>
        <v>0</v>
      </c>
      <c r="L229" s="56">
        <f t="shared" si="597"/>
        <v>0</v>
      </c>
      <c r="M229" s="56">
        <f t="shared" si="597"/>
        <v>0</v>
      </c>
      <c r="N229" s="56">
        <f t="shared" si="597"/>
        <v>0</v>
      </c>
      <c r="O229" s="56">
        <f t="shared" si="597"/>
        <v>0</v>
      </c>
      <c r="P229" s="56">
        <f t="shared" si="597"/>
        <v>0</v>
      </c>
      <c r="Q229" s="56">
        <f t="shared" si="597"/>
        <v>0</v>
      </c>
      <c r="R229" s="56">
        <f t="shared" si="597"/>
        <v>0</v>
      </c>
      <c r="S229" s="56">
        <f t="shared" si="597"/>
        <v>0</v>
      </c>
      <c r="T229" s="56">
        <f t="shared" si="597"/>
        <v>0</v>
      </c>
      <c r="U229" s="56">
        <f t="shared" si="597"/>
        <v>0</v>
      </c>
      <c r="V229" s="56">
        <f t="shared" si="597"/>
        <v>0</v>
      </c>
      <c r="W229" s="56">
        <f t="shared" si="597"/>
        <v>0</v>
      </c>
      <c r="X229" s="56">
        <f t="shared" si="597"/>
        <v>0</v>
      </c>
      <c r="Y229" s="56">
        <f t="shared" si="597"/>
        <v>0</v>
      </c>
      <c r="Z229" s="56">
        <f t="shared" si="597"/>
        <v>0</v>
      </c>
      <c r="AA229" s="56">
        <f t="shared" si="597"/>
        <v>0</v>
      </c>
      <c r="AB229" s="56">
        <f t="shared" si="597"/>
        <v>0</v>
      </c>
      <c r="AC229" s="56">
        <f t="shared" si="597"/>
        <v>0</v>
      </c>
      <c r="AD229" s="56">
        <f t="shared" si="597"/>
        <v>0</v>
      </c>
      <c r="AE229" s="56">
        <f t="shared" si="597"/>
        <v>0</v>
      </c>
      <c r="AF229" s="56">
        <f t="shared" si="597"/>
        <v>0</v>
      </c>
      <c r="AG229" s="56">
        <f t="shared" si="597"/>
        <v>0</v>
      </c>
      <c r="AH229" s="56">
        <f t="shared" si="597"/>
        <v>0</v>
      </c>
      <c r="AI229" s="56">
        <f t="shared" si="597"/>
        <v>0</v>
      </c>
      <c r="AJ229" s="56">
        <f t="shared" si="597"/>
        <v>0</v>
      </c>
      <c r="AK229" s="56">
        <f t="shared" si="597"/>
        <v>0</v>
      </c>
      <c r="AL229" s="56">
        <f t="shared" si="597"/>
        <v>0</v>
      </c>
      <c r="AM229" s="56">
        <f t="shared" si="597"/>
        <v>0</v>
      </c>
      <c r="AN229" s="56">
        <f t="shared" si="597"/>
        <v>0</v>
      </c>
      <c r="AO229" s="56">
        <f t="shared" si="597"/>
        <v>0</v>
      </c>
      <c r="AP229" s="56">
        <f t="shared" si="597"/>
        <v>0</v>
      </c>
      <c r="AQ229" s="56">
        <f t="shared" ref="AQ229:BV229" si="598">IF(AQ179&gt;0,MAX(0,AQ154-AQ203),0)</f>
        <v>0</v>
      </c>
      <c r="AR229" s="56">
        <f t="shared" si="598"/>
        <v>0</v>
      </c>
      <c r="AS229" s="56">
        <f t="shared" si="598"/>
        <v>0</v>
      </c>
      <c r="AT229" s="56">
        <f t="shared" si="598"/>
        <v>0</v>
      </c>
      <c r="AU229" s="56">
        <f t="shared" si="598"/>
        <v>0</v>
      </c>
      <c r="AV229" s="56">
        <f t="shared" si="598"/>
        <v>0</v>
      </c>
      <c r="AW229" s="56">
        <f t="shared" si="598"/>
        <v>0</v>
      </c>
      <c r="AX229" s="56">
        <f t="shared" si="598"/>
        <v>0</v>
      </c>
      <c r="AY229" s="56">
        <f t="shared" si="598"/>
        <v>0</v>
      </c>
      <c r="AZ229" s="56">
        <f t="shared" si="598"/>
        <v>0</v>
      </c>
      <c r="BA229" s="56">
        <f t="shared" si="598"/>
        <v>0</v>
      </c>
      <c r="BB229" s="56">
        <f t="shared" si="598"/>
        <v>0</v>
      </c>
      <c r="BC229" s="56">
        <f t="shared" si="598"/>
        <v>0</v>
      </c>
      <c r="BD229" s="56">
        <f t="shared" si="598"/>
        <v>0</v>
      </c>
      <c r="BE229" s="56">
        <f t="shared" si="598"/>
        <v>0</v>
      </c>
      <c r="BF229" s="56">
        <f t="shared" si="598"/>
        <v>0</v>
      </c>
      <c r="BG229" s="56">
        <f t="shared" si="598"/>
        <v>0</v>
      </c>
      <c r="BH229" s="56">
        <f t="shared" si="598"/>
        <v>0</v>
      </c>
      <c r="BI229" s="56">
        <f t="shared" si="598"/>
        <v>0</v>
      </c>
      <c r="BJ229" s="56">
        <f t="shared" si="598"/>
        <v>0</v>
      </c>
      <c r="BK229" s="56">
        <f t="shared" si="598"/>
        <v>0</v>
      </c>
      <c r="BL229" s="56">
        <f t="shared" si="598"/>
        <v>0</v>
      </c>
      <c r="BM229" s="56">
        <f t="shared" si="598"/>
        <v>0</v>
      </c>
      <c r="BN229" s="56">
        <f t="shared" si="598"/>
        <v>0</v>
      </c>
      <c r="BO229" s="56">
        <f t="shared" si="598"/>
        <v>0</v>
      </c>
      <c r="BP229" s="56">
        <f t="shared" si="598"/>
        <v>0</v>
      </c>
      <c r="BQ229" s="56">
        <f t="shared" si="598"/>
        <v>0</v>
      </c>
      <c r="BR229" s="56">
        <f t="shared" si="598"/>
        <v>0</v>
      </c>
      <c r="BS229" s="56">
        <f t="shared" si="598"/>
        <v>0</v>
      </c>
      <c r="BT229" s="56">
        <f t="shared" si="598"/>
        <v>0</v>
      </c>
      <c r="BU229" s="56">
        <f t="shared" si="598"/>
        <v>0</v>
      </c>
      <c r="BV229" s="56">
        <f t="shared" si="598"/>
        <v>0</v>
      </c>
      <c r="BW229" s="56">
        <f t="shared" ref="BW229:DB229" si="599">IF(BW179&gt;0,MAX(0,BW154-BW203),0)</f>
        <v>0</v>
      </c>
      <c r="BX229" s="56">
        <f t="shared" si="599"/>
        <v>0</v>
      </c>
      <c r="BY229" s="56">
        <f t="shared" si="599"/>
        <v>0</v>
      </c>
      <c r="BZ229" s="56">
        <f t="shared" si="599"/>
        <v>0</v>
      </c>
      <c r="CA229" s="56">
        <f t="shared" si="599"/>
        <v>0</v>
      </c>
      <c r="CB229" s="56">
        <f t="shared" si="599"/>
        <v>0</v>
      </c>
      <c r="CC229" s="56">
        <f t="shared" si="599"/>
        <v>0</v>
      </c>
      <c r="CD229" s="56">
        <f t="shared" si="599"/>
        <v>0</v>
      </c>
      <c r="CE229" s="56">
        <f t="shared" si="599"/>
        <v>0</v>
      </c>
      <c r="CF229" s="56">
        <f t="shared" si="599"/>
        <v>0</v>
      </c>
      <c r="CG229" s="56">
        <f t="shared" si="599"/>
        <v>0</v>
      </c>
      <c r="CH229" s="56">
        <f t="shared" si="599"/>
        <v>0</v>
      </c>
      <c r="CI229" s="56">
        <f t="shared" si="599"/>
        <v>0</v>
      </c>
      <c r="CJ229" s="56">
        <f t="shared" si="599"/>
        <v>0</v>
      </c>
      <c r="CK229" s="56">
        <f t="shared" si="599"/>
        <v>0</v>
      </c>
      <c r="CL229" s="56">
        <f t="shared" si="599"/>
        <v>0</v>
      </c>
      <c r="CM229" s="56">
        <f t="shared" si="599"/>
        <v>0</v>
      </c>
      <c r="CN229" s="56">
        <f t="shared" si="599"/>
        <v>0</v>
      </c>
      <c r="CO229" s="56">
        <f t="shared" si="599"/>
        <v>0</v>
      </c>
      <c r="CP229" s="56">
        <f t="shared" si="599"/>
        <v>0</v>
      </c>
      <c r="CQ229" s="56">
        <f t="shared" si="599"/>
        <v>0</v>
      </c>
      <c r="CR229" s="56">
        <f t="shared" si="599"/>
        <v>0</v>
      </c>
      <c r="CS229" s="56">
        <f t="shared" si="599"/>
        <v>0</v>
      </c>
      <c r="CT229" s="56">
        <f t="shared" si="599"/>
        <v>0</v>
      </c>
      <c r="CU229" s="56">
        <f t="shared" si="599"/>
        <v>0</v>
      </c>
      <c r="CV229" s="56">
        <f t="shared" si="599"/>
        <v>0</v>
      </c>
      <c r="CW229" s="56">
        <f t="shared" si="599"/>
        <v>0</v>
      </c>
      <c r="CX229" s="56">
        <f t="shared" si="599"/>
        <v>0</v>
      </c>
      <c r="CY229" s="56">
        <f t="shared" si="599"/>
        <v>0</v>
      </c>
      <c r="CZ229" s="56">
        <f t="shared" si="599"/>
        <v>0</v>
      </c>
      <c r="DA229" s="56">
        <f t="shared" si="599"/>
        <v>0</v>
      </c>
      <c r="DB229" s="56">
        <f t="shared" si="599"/>
        <v>0</v>
      </c>
      <c r="DC229" s="56">
        <f t="shared" ref="DC229:EH229" si="600">IF(DC179&gt;0,MAX(0,DC154-DC203),0)</f>
        <v>0</v>
      </c>
      <c r="DD229" s="56">
        <f t="shared" si="600"/>
        <v>0</v>
      </c>
      <c r="DE229" s="56">
        <f t="shared" si="600"/>
        <v>0</v>
      </c>
      <c r="DF229" s="56">
        <f t="shared" si="600"/>
        <v>0</v>
      </c>
      <c r="DG229" s="56">
        <f t="shared" si="600"/>
        <v>0</v>
      </c>
      <c r="DH229" s="56">
        <f t="shared" si="600"/>
        <v>0</v>
      </c>
      <c r="DI229" s="56">
        <f t="shared" si="600"/>
        <v>0</v>
      </c>
      <c r="DJ229" s="56">
        <f t="shared" si="600"/>
        <v>0</v>
      </c>
      <c r="DK229" s="56">
        <f t="shared" si="600"/>
        <v>0</v>
      </c>
      <c r="DL229" s="56">
        <f t="shared" si="600"/>
        <v>0</v>
      </c>
      <c r="DM229" s="56">
        <f t="shared" si="600"/>
        <v>0</v>
      </c>
      <c r="DN229" s="56">
        <f t="shared" si="600"/>
        <v>0</v>
      </c>
      <c r="DO229" s="56">
        <f t="shared" si="600"/>
        <v>0</v>
      </c>
      <c r="DP229" s="56">
        <f t="shared" si="600"/>
        <v>0</v>
      </c>
      <c r="DQ229" s="56">
        <f t="shared" ca="1" si="600"/>
        <v>0</v>
      </c>
      <c r="DR229" s="56">
        <f t="shared" ca="1" si="600"/>
        <v>2.1982170285728131E-4</v>
      </c>
      <c r="DS229" s="56">
        <f t="shared" ca="1" si="600"/>
        <v>8.7880359562042543E-4</v>
      </c>
      <c r="DT229" s="56">
        <f t="shared" ca="1" si="600"/>
        <v>1.9754970930696558E-3</v>
      </c>
      <c r="DU229" s="56">
        <f t="shared" ca="1" si="600"/>
        <v>3.5074914248847122E-3</v>
      </c>
      <c r="DV229" s="56">
        <f t="shared" ca="1" si="600"/>
        <v>5.4714189350377751E-3</v>
      </c>
      <c r="DW229" s="56">
        <f t="shared" ca="1" si="600"/>
        <v>7.862962484631808E-3</v>
      </c>
      <c r="DX229" s="56">
        <f t="shared" ca="1" si="600"/>
        <v>1.0676864941913777E-2</v>
      </c>
      <c r="DY229" s="56">
        <f t="shared" ca="1" si="600"/>
        <v>1.3906940738582563E-2</v>
      </c>
      <c r="DZ229" s="56">
        <f t="shared" ca="1" si="600"/>
        <v>1.7546089467020742E-2</v>
      </c>
      <c r="EA229" s="56">
        <f t="shared" ca="1" si="600"/>
        <v>2.158631148852308E-2</v>
      </c>
      <c r="EB229" s="56">
        <f t="shared" ca="1" si="600"/>
        <v>2.6018725518241581E-2</v>
      </c>
      <c r="EC229" s="56">
        <f t="shared" ca="1" si="600"/>
        <v>3.0833588148180269E-2</v>
      </c>
      <c r="ED229" s="56">
        <f t="shared" ca="1" si="600"/>
        <v>3.6020315265314906E-2</v>
      </c>
      <c r="EE229" s="56">
        <f t="shared" ca="1" si="600"/>
        <v>4.1567505317773978E-2</v>
      </c>
      <c r="EF229" s="56">
        <f t="shared" ca="1" si="600"/>
        <v>4.7462964377923633E-2</v>
      </c>
      <c r="EG229" s="56">
        <f t="shared" ca="1" si="600"/>
        <v>5.3693732947266426E-2</v>
      </c>
      <c r="EH229" s="56">
        <f t="shared" ca="1" si="600"/>
        <v>6.0246114444232113E-2</v>
      </c>
      <c r="EI229" s="56">
        <f t="shared" ref="EI229:FN229" ca="1" si="601">IF(EI179&gt;0,MAX(0,EI154-EI203),0)</f>
        <v>6.7105705312235919E-2</v>
      </c>
      <c r="EJ229" s="56">
        <f t="shared" ca="1" si="601"/>
        <v>7.4257426681823446E-2</v>
      </c>
      <c r="EK229" s="56">
        <f t="shared" ca="1" si="601"/>
        <v>8.168555751729567E-2</v>
      </c>
      <c r="EL229" s="56">
        <f t="shared" ca="1" si="601"/>
        <v>8.9373769174960316E-2</v>
      </c>
      <c r="EM229" s="56">
        <f t="shared" ca="1" si="601"/>
        <v>9.7305161297031262E-2</v>
      </c>
      <c r="EN229" s="56">
        <f t="shared" ca="1" si="601"/>
        <v>0.10546229896228621</v>
      </c>
      <c r="EO229" s="56">
        <f t="shared" ca="1" si="601"/>
        <v>0.11382725101180569</v>
      </c>
      <c r="EP229" s="56">
        <f t="shared" ca="1" si="601"/>
        <v>0.12238162946554976</v>
      </c>
      <c r="EQ229" s="56">
        <f t="shared" ca="1" si="601"/>
        <v>0.13110662994313405</v>
      </c>
      <c r="ER229" s="56">
        <f t="shared" ca="1" si="601"/>
        <v>0.13998307299993229</v>
      </c>
      <c r="ES229" s="56">
        <f t="shared" ca="1" si="601"/>
        <v>0.14899144628766425</v>
      </c>
      <c r="ET229" s="56">
        <f t="shared" ca="1" si="601"/>
        <v>0.15811194744677071</v>
      </c>
      <c r="EU229" s="56">
        <f t="shared" ca="1" si="601"/>
        <v>0.16732452763629357</v>
      </c>
      <c r="EV229" s="56">
        <f t="shared" ca="1" si="601"/>
        <v>0.17660893560558399</v>
      </c>
      <c r="EW229" s="56">
        <f t="shared" ca="1" si="601"/>
        <v>0.18594476221094247</v>
      </c>
      <c r="EX229" s="56">
        <f t="shared" ca="1" si="601"/>
        <v>0.19531148527934938</v>
      </c>
      <c r="EY229" s="56">
        <f t="shared" ca="1" si="601"/>
        <v>0.20468851472065275</v>
      </c>
      <c r="EZ229" s="56">
        <f t="shared" ca="1" si="601"/>
        <v>0.21405523778905966</v>
      </c>
      <c r="FA229" s="56">
        <f t="shared" ca="1" si="601"/>
        <v>0.22339106439441636</v>
      </c>
      <c r="FB229" s="56">
        <f t="shared" ca="1" si="601"/>
        <v>0.23267547236370589</v>
      </c>
      <c r="FC229" s="56">
        <f t="shared" ca="1" si="601"/>
        <v>0.24188805255322876</v>
      </c>
      <c r="FD229" s="56">
        <f t="shared" ca="1" si="601"/>
        <v>0.25100855371233521</v>
      </c>
      <c r="FE229" s="56">
        <f t="shared" ca="1" si="601"/>
        <v>0.26001692700006807</v>
      </c>
      <c r="FF229" s="56">
        <f t="shared" ca="1" si="601"/>
        <v>0.2688933700568672</v>
      </c>
      <c r="FG229" s="56">
        <f t="shared" ca="1" si="601"/>
        <v>0.27761837053445149</v>
      </c>
      <c r="FH229" s="56">
        <f t="shared" ca="1" si="601"/>
        <v>0.28617274898819467</v>
      </c>
      <c r="FI229" s="56">
        <f t="shared" ca="1" si="601"/>
        <v>0.29453770103771326</v>
      </c>
      <c r="FJ229" s="56">
        <f t="shared" ca="1" si="601"/>
        <v>0.30269483870296909</v>
      </c>
      <c r="FK229" s="56">
        <f t="shared" ca="1" si="601"/>
        <v>0.31062623082504004</v>
      </c>
      <c r="FL229" s="56">
        <f t="shared" ca="1" si="601"/>
        <v>0.31831444248270557</v>
      </c>
      <c r="FM229" s="56">
        <f t="shared" ca="1" si="601"/>
        <v>0.32574257331817691</v>
      </c>
      <c r="FN229" s="56">
        <f t="shared" ca="1" si="601"/>
        <v>0.33289429468776532</v>
      </c>
      <c r="FO229" s="56">
        <f t="shared" ref="FO229:GP229" ca="1" si="602">IF(FO179&gt;0,MAX(0,FO154-FO203),0)</f>
        <v>0.33975388555576913</v>
      </c>
      <c r="FP229" s="56">
        <f t="shared" ca="1" si="602"/>
        <v>0.34630626705273393</v>
      </c>
      <c r="FQ229" s="56">
        <f t="shared" ca="1" si="602"/>
        <v>0.35253703562207761</v>
      </c>
      <c r="FR229" s="56">
        <f t="shared" ca="1" si="602"/>
        <v>0.35843249468222815</v>
      </c>
      <c r="FS229" s="56">
        <f t="shared" ca="1" si="602"/>
        <v>0.36397968473468545</v>
      </c>
      <c r="FT229" s="56">
        <f t="shared" ca="1" si="602"/>
        <v>0.36916641185182009</v>
      </c>
      <c r="FU229" s="56">
        <f t="shared" ca="1" si="602"/>
        <v>0.37398127448175877</v>
      </c>
      <c r="FV229" s="56">
        <f t="shared" ca="1" si="602"/>
        <v>0.37841368851147728</v>
      </c>
      <c r="FW229" s="56">
        <f t="shared" ca="1" si="602"/>
        <v>0.3824539105329805</v>
      </c>
      <c r="FX229" s="56">
        <f t="shared" ca="1" si="602"/>
        <v>0.38609305926141779</v>
      </c>
      <c r="FY229" s="56">
        <f t="shared" ca="1" si="602"/>
        <v>0.38932313505808835</v>
      </c>
      <c r="FZ229" s="56">
        <f t="shared" ca="1" si="602"/>
        <v>0.39213703751536855</v>
      </c>
      <c r="GA229" s="56">
        <f t="shared" ca="1" si="602"/>
        <v>0.39452858106496258</v>
      </c>
      <c r="GB229" s="56">
        <f t="shared" ca="1" si="602"/>
        <v>0.39649250857511475</v>
      </c>
      <c r="GC229" s="56">
        <f t="shared" ca="1" si="602"/>
        <v>0.39802450290692981</v>
      </c>
      <c r="GD229" s="56">
        <f t="shared" ca="1" si="602"/>
        <v>0.39912119640437993</v>
      </c>
      <c r="GE229" s="56">
        <f t="shared" ca="1" si="602"/>
        <v>0.39978017829714219</v>
      </c>
      <c r="GF229" s="56">
        <f t="shared" ca="1" si="602"/>
        <v>0.40000000000000036</v>
      </c>
      <c r="GG229" s="56">
        <f t="shared" ca="1" si="602"/>
        <v>0.40000000000000036</v>
      </c>
      <c r="GH229" s="56">
        <f t="shared" ca="1" si="602"/>
        <v>0.40000000000000036</v>
      </c>
      <c r="GI229" s="56">
        <f t="shared" ca="1" si="602"/>
        <v>0.40000000000000036</v>
      </c>
      <c r="GJ229" s="56">
        <f t="shared" ca="1" si="602"/>
        <v>0.40000000000000036</v>
      </c>
      <c r="GK229" s="56">
        <f t="shared" ca="1" si="602"/>
        <v>0.40000000000000036</v>
      </c>
      <c r="GL229" s="56">
        <f t="shared" ca="1" si="602"/>
        <v>0.40000000000000036</v>
      </c>
      <c r="GM229" s="56">
        <f t="shared" ca="1" si="602"/>
        <v>0.40000000000000036</v>
      </c>
      <c r="GN229" s="56">
        <f t="shared" ca="1" si="602"/>
        <v>0.40000000000000036</v>
      </c>
      <c r="GO229" s="56">
        <f t="shared" ca="1" si="602"/>
        <v>0.40000000000000036</v>
      </c>
      <c r="GP229" s="56">
        <f t="shared" ca="1" si="602"/>
        <v>0.40000000000000036</v>
      </c>
    </row>
    <row r="230" spans="1:198" x14ac:dyDescent="0.35">
      <c r="A230" s="55" t="str">
        <f t="shared" si="524"/>
        <v>Available now &gt; Other clients</v>
      </c>
      <c r="B230" s="55" t="s">
        <v>297</v>
      </c>
      <c r="K230" s="56">
        <f t="shared" ref="K230:AP230" si="603">IF(K180&gt;0,MAX(0,K155-K204),0)</f>
        <v>0</v>
      </c>
      <c r="L230" s="56">
        <f t="shared" si="603"/>
        <v>0</v>
      </c>
      <c r="M230" s="56">
        <f t="shared" si="603"/>
        <v>0</v>
      </c>
      <c r="N230" s="56">
        <f t="shared" si="603"/>
        <v>0</v>
      </c>
      <c r="O230" s="56">
        <f t="shared" si="603"/>
        <v>0</v>
      </c>
      <c r="P230" s="56">
        <f t="shared" si="603"/>
        <v>0</v>
      </c>
      <c r="Q230" s="56">
        <f t="shared" si="603"/>
        <v>0</v>
      </c>
      <c r="R230" s="56">
        <f t="shared" si="603"/>
        <v>0</v>
      </c>
      <c r="S230" s="56">
        <f t="shared" si="603"/>
        <v>0</v>
      </c>
      <c r="T230" s="56">
        <f t="shared" si="603"/>
        <v>0</v>
      </c>
      <c r="U230" s="56">
        <f t="shared" si="603"/>
        <v>0</v>
      </c>
      <c r="V230" s="56">
        <f t="shared" si="603"/>
        <v>0</v>
      </c>
      <c r="W230" s="56">
        <f t="shared" si="603"/>
        <v>0</v>
      </c>
      <c r="X230" s="56">
        <f t="shared" si="603"/>
        <v>0</v>
      </c>
      <c r="Y230" s="56">
        <f t="shared" si="603"/>
        <v>0</v>
      </c>
      <c r="Z230" s="56">
        <f t="shared" si="603"/>
        <v>0</v>
      </c>
      <c r="AA230" s="56">
        <f t="shared" si="603"/>
        <v>0</v>
      </c>
      <c r="AB230" s="56">
        <f t="shared" si="603"/>
        <v>0</v>
      </c>
      <c r="AC230" s="56">
        <f t="shared" si="603"/>
        <v>0</v>
      </c>
      <c r="AD230" s="56">
        <f t="shared" si="603"/>
        <v>0</v>
      </c>
      <c r="AE230" s="56">
        <f t="shared" si="603"/>
        <v>0</v>
      </c>
      <c r="AF230" s="56">
        <f t="shared" si="603"/>
        <v>0</v>
      </c>
      <c r="AG230" s="56">
        <f t="shared" si="603"/>
        <v>0</v>
      </c>
      <c r="AH230" s="56">
        <f t="shared" si="603"/>
        <v>0</v>
      </c>
      <c r="AI230" s="56">
        <f t="shared" si="603"/>
        <v>0</v>
      </c>
      <c r="AJ230" s="56">
        <f t="shared" si="603"/>
        <v>0</v>
      </c>
      <c r="AK230" s="56">
        <f t="shared" si="603"/>
        <v>0</v>
      </c>
      <c r="AL230" s="56">
        <f t="shared" si="603"/>
        <v>0</v>
      </c>
      <c r="AM230" s="56">
        <f t="shared" si="603"/>
        <v>0</v>
      </c>
      <c r="AN230" s="56">
        <f t="shared" si="603"/>
        <v>0</v>
      </c>
      <c r="AO230" s="56">
        <f t="shared" si="603"/>
        <v>0</v>
      </c>
      <c r="AP230" s="56">
        <f t="shared" si="603"/>
        <v>0</v>
      </c>
      <c r="AQ230" s="56">
        <f t="shared" ref="AQ230:BV230" si="604">IF(AQ180&gt;0,MAX(0,AQ155-AQ204),0)</f>
        <v>0</v>
      </c>
      <c r="AR230" s="56">
        <f t="shared" si="604"/>
        <v>0</v>
      </c>
      <c r="AS230" s="56">
        <f t="shared" si="604"/>
        <v>0</v>
      </c>
      <c r="AT230" s="56">
        <f t="shared" si="604"/>
        <v>0</v>
      </c>
      <c r="AU230" s="56">
        <f t="shared" si="604"/>
        <v>0</v>
      </c>
      <c r="AV230" s="56">
        <f t="shared" si="604"/>
        <v>0</v>
      </c>
      <c r="AW230" s="56">
        <f t="shared" si="604"/>
        <v>0</v>
      </c>
      <c r="AX230" s="56">
        <f t="shared" si="604"/>
        <v>0</v>
      </c>
      <c r="AY230" s="56">
        <f t="shared" si="604"/>
        <v>0</v>
      </c>
      <c r="AZ230" s="56">
        <f t="shared" si="604"/>
        <v>0</v>
      </c>
      <c r="BA230" s="56">
        <f t="shared" si="604"/>
        <v>0</v>
      </c>
      <c r="BB230" s="56">
        <f t="shared" si="604"/>
        <v>0</v>
      </c>
      <c r="BC230" s="56">
        <f t="shared" si="604"/>
        <v>0</v>
      </c>
      <c r="BD230" s="56">
        <f t="shared" si="604"/>
        <v>0</v>
      </c>
      <c r="BE230" s="56">
        <f t="shared" si="604"/>
        <v>0</v>
      </c>
      <c r="BF230" s="56">
        <f t="shared" si="604"/>
        <v>0</v>
      </c>
      <c r="BG230" s="56">
        <f t="shared" si="604"/>
        <v>0</v>
      </c>
      <c r="BH230" s="56">
        <f t="shared" si="604"/>
        <v>0</v>
      </c>
      <c r="BI230" s="56">
        <f t="shared" si="604"/>
        <v>0</v>
      </c>
      <c r="BJ230" s="56">
        <f t="shared" si="604"/>
        <v>0</v>
      </c>
      <c r="BK230" s="56">
        <f t="shared" si="604"/>
        <v>0</v>
      </c>
      <c r="BL230" s="56">
        <f t="shared" si="604"/>
        <v>0</v>
      </c>
      <c r="BM230" s="56">
        <f t="shared" si="604"/>
        <v>0</v>
      </c>
      <c r="BN230" s="56">
        <f t="shared" si="604"/>
        <v>0</v>
      </c>
      <c r="BO230" s="56">
        <f t="shared" si="604"/>
        <v>0</v>
      </c>
      <c r="BP230" s="56">
        <f t="shared" si="604"/>
        <v>0</v>
      </c>
      <c r="BQ230" s="56">
        <f t="shared" si="604"/>
        <v>0</v>
      </c>
      <c r="BR230" s="56">
        <f t="shared" si="604"/>
        <v>0</v>
      </c>
      <c r="BS230" s="56">
        <f t="shared" si="604"/>
        <v>0</v>
      </c>
      <c r="BT230" s="56">
        <f t="shared" si="604"/>
        <v>0</v>
      </c>
      <c r="BU230" s="56">
        <f t="shared" si="604"/>
        <v>0</v>
      </c>
      <c r="BV230" s="56">
        <f t="shared" si="604"/>
        <v>0</v>
      </c>
      <c r="BW230" s="56">
        <f t="shared" ref="BW230:DB230" si="605">IF(BW180&gt;0,MAX(0,BW155-BW204),0)</f>
        <v>0</v>
      </c>
      <c r="BX230" s="56">
        <f t="shared" si="605"/>
        <v>0</v>
      </c>
      <c r="BY230" s="56">
        <f t="shared" si="605"/>
        <v>0</v>
      </c>
      <c r="BZ230" s="56">
        <f t="shared" si="605"/>
        <v>0</v>
      </c>
      <c r="CA230" s="56">
        <f t="shared" si="605"/>
        <v>0</v>
      </c>
      <c r="CB230" s="56">
        <f t="shared" si="605"/>
        <v>0</v>
      </c>
      <c r="CC230" s="56">
        <f t="shared" si="605"/>
        <v>0</v>
      </c>
      <c r="CD230" s="56">
        <f t="shared" si="605"/>
        <v>0</v>
      </c>
      <c r="CE230" s="56">
        <f t="shared" si="605"/>
        <v>0</v>
      </c>
      <c r="CF230" s="56">
        <f t="shared" si="605"/>
        <v>0</v>
      </c>
      <c r="CG230" s="56">
        <f t="shared" si="605"/>
        <v>0</v>
      </c>
      <c r="CH230" s="56">
        <f t="shared" si="605"/>
        <v>0</v>
      </c>
      <c r="CI230" s="56">
        <f t="shared" si="605"/>
        <v>0</v>
      </c>
      <c r="CJ230" s="56">
        <f t="shared" si="605"/>
        <v>0</v>
      </c>
      <c r="CK230" s="56">
        <f t="shared" si="605"/>
        <v>0</v>
      </c>
      <c r="CL230" s="56">
        <f t="shared" si="605"/>
        <v>0</v>
      </c>
      <c r="CM230" s="56">
        <f t="shared" si="605"/>
        <v>0</v>
      </c>
      <c r="CN230" s="56">
        <f t="shared" si="605"/>
        <v>0</v>
      </c>
      <c r="CO230" s="56">
        <f t="shared" si="605"/>
        <v>0</v>
      </c>
      <c r="CP230" s="56">
        <f t="shared" si="605"/>
        <v>0</v>
      </c>
      <c r="CQ230" s="56">
        <f t="shared" si="605"/>
        <v>0</v>
      </c>
      <c r="CR230" s="56">
        <f t="shared" si="605"/>
        <v>0</v>
      </c>
      <c r="CS230" s="56">
        <f t="shared" si="605"/>
        <v>0</v>
      </c>
      <c r="CT230" s="56">
        <f t="shared" si="605"/>
        <v>0</v>
      </c>
      <c r="CU230" s="56">
        <f t="shared" si="605"/>
        <v>0</v>
      </c>
      <c r="CV230" s="56">
        <f t="shared" si="605"/>
        <v>0</v>
      </c>
      <c r="CW230" s="56">
        <f t="shared" si="605"/>
        <v>0</v>
      </c>
      <c r="CX230" s="56">
        <f t="shared" si="605"/>
        <v>0</v>
      </c>
      <c r="CY230" s="56">
        <f t="shared" si="605"/>
        <v>0</v>
      </c>
      <c r="CZ230" s="56">
        <f t="shared" si="605"/>
        <v>0</v>
      </c>
      <c r="DA230" s="56">
        <f t="shared" si="605"/>
        <v>0</v>
      </c>
      <c r="DB230" s="56">
        <f t="shared" si="605"/>
        <v>0</v>
      </c>
      <c r="DC230" s="56">
        <f t="shared" ref="DC230:EH230" si="606">IF(DC180&gt;0,MAX(0,DC155-DC204),0)</f>
        <v>0</v>
      </c>
      <c r="DD230" s="56">
        <f t="shared" si="606"/>
        <v>0</v>
      </c>
      <c r="DE230" s="56">
        <f t="shared" si="606"/>
        <v>0</v>
      </c>
      <c r="DF230" s="56">
        <f t="shared" si="606"/>
        <v>0</v>
      </c>
      <c r="DG230" s="56">
        <f t="shared" si="606"/>
        <v>0</v>
      </c>
      <c r="DH230" s="56">
        <f t="shared" si="606"/>
        <v>0</v>
      </c>
      <c r="DI230" s="56">
        <f t="shared" si="606"/>
        <v>0</v>
      </c>
      <c r="DJ230" s="56">
        <f t="shared" si="606"/>
        <v>0</v>
      </c>
      <c r="DK230" s="56">
        <f t="shared" si="606"/>
        <v>0</v>
      </c>
      <c r="DL230" s="56">
        <f t="shared" si="606"/>
        <v>0</v>
      </c>
      <c r="DM230" s="56">
        <f t="shared" si="606"/>
        <v>0</v>
      </c>
      <c r="DN230" s="56">
        <f t="shared" si="606"/>
        <v>0</v>
      </c>
      <c r="DO230" s="56">
        <f t="shared" si="606"/>
        <v>0</v>
      </c>
      <c r="DP230" s="56">
        <f t="shared" si="606"/>
        <v>0</v>
      </c>
      <c r="DQ230" s="56">
        <f t="shared" ca="1" si="606"/>
        <v>0</v>
      </c>
      <c r="DR230" s="56">
        <f t="shared" ca="1" si="606"/>
        <v>0</v>
      </c>
      <c r="DS230" s="56">
        <f t="shared" ca="1" si="606"/>
        <v>0</v>
      </c>
      <c r="DT230" s="56">
        <f t="shared" ca="1" si="606"/>
        <v>0</v>
      </c>
      <c r="DU230" s="56">
        <f t="shared" ca="1" si="606"/>
        <v>0</v>
      </c>
      <c r="DV230" s="56">
        <f t="shared" ca="1" si="606"/>
        <v>0</v>
      </c>
      <c r="DW230" s="56">
        <f t="shared" ca="1" si="606"/>
        <v>0</v>
      </c>
      <c r="DX230" s="56">
        <f t="shared" ca="1" si="606"/>
        <v>0</v>
      </c>
      <c r="DY230" s="56">
        <f t="shared" ca="1" si="606"/>
        <v>0</v>
      </c>
      <c r="DZ230" s="56">
        <f t="shared" ca="1" si="606"/>
        <v>0</v>
      </c>
      <c r="EA230" s="56">
        <f t="shared" ca="1" si="606"/>
        <v>0</v>
      </c>
      <c r="EB230" s="56">
        <f t="shared" ca="1" si="606"/>
        <v>0</v>
      </c>
      <c r="EC230" s="56">
        <f t="shared" ca="1" si="606"/>
        <v>0</v>
      </c>
      <c r="ED230" s="56">
        <f t="shared" ca="1" si="606"/>
        <v>0</v>
      </c>
      <c r="EE230" s="56">
        <f t="shared" ca="1" si="606"/>
        <v>0</v>
      </c>
      <c r="EF230" s="56">
        <f t="shared" ca="1" si="606"/>
        <v>0</v>
      </c>
      <c r="EG230" s="56">
        <f t="shared" ca="1" si="606"/>
        <v>0</v>
      </c>
      <c r="EH230" s="56">
        <f t="shared" ca="1" si="606"/>
        <v>0</v>
      </c>
      <c r="EI230" s="56">
        <f t="shared" ref="EI230:FN230" ca="1" si="607">IF(EI180&gt;0,MAX(0,EI155-EI204),0)</f>
        <v>0</v>
      </c>
      <c r="EJ230" s="56">
        <f t="shared" ca="1" si="607"/>
        <v>0</v>
      </c>
      <c r="EK230" s="56">
        <f t="shared" ca="1" si="607"/>
        <v>0</v>
      </c>
      <c r="EL230" s="56">
        <f t="shared" ca="1" si="607"/>
        <v>0</v>
      </c>
      <c r="EM230" s="56">
        <f t="shared" ca="1" si="607"/>
        <v>0</v>
      </c>
      <c r="EN230" s="56">
        <f t="shared" ca="1" si="607"/>
        <v>0</v>
      </c>
      <c r="EO230" s="56">
        <f t="shared" ca="1" si="607"/>
        <v>0</v>
      </c>
      <c r="EP230" s="56">
        <f t="shared" ca="1" si="607"/>
        <v>0</v>
      </c>
      <c r="EQ230" s="56">
        <f t="shared" ca="1" si="607"/>
        <v>0</v>
      </c>
      <c r="ER230" s="56">
        <f t="shared" ca="1" si="607"/>
        <v>0</v>
      </c>
      <c r="ES230" s="56">
        <f t="shared" ca="1" si="607"/>
        <v>0</v>
      </c>
      <c r="ET230" s="56">
        <f t="shared" ca="1" si="607"/>
        <v>0</v>
      </c>
      <c r="EU230" s="56">
        <f t="shared" ca="1" si="607"/>
        <v>0</v>
      </c>
      <c r="EV230" s="56">
        <f t="shared" ca="1" si="607"/>
        <v>0</v>
      </c>
      <c r="EW230" s="56">
        <f t="shared" ca="1" si="607"/>
        <v>0</v>
      </c>
      <c r="EX230" s="56">
        <f t="shared" ca="1" si="607"/>
        <v>0</v>
      </c>
      <c r="EY230" s="56">
        <f t="shared" ca="1" si="607"/>
        <v>0</v>
      </c>
      <c r="EZ230" s="56">
        <f t="shared" ca="1" si="607"/>
        <v>0</v>
      </c>
      <c r="FA230" s="56">
        <f t="shared" ca="1" si="607"/>
        <v>0</v>
      </c>
      <c r="FB230" s="56">
        <f t="shared" ca="1" si="607"/>
        <v>0</v>
      </c>
      <c r="FC230" s="56">
        <f t="shared" ca="1" si="607"/>
        <v>0</v>
      </c>
      <c r="FD230" s="56">
        <f t="shared" ca="1" si="607"/>
        <v>0</v>
      </c>
      <c r="FE230" s="56">
        <f t="shared" ca="1" si="607"/>
        <v>0</v>
      </c>
      <c r="FF230" s="56">
        <f t="shared" ca="1" si="607"/>
        <v>0</v>
      </c>
      <c r="FG230" s="56">
        <f t="shared" ca="1" si="607"/>
        <v>0</v>
      </c>
      <c r="FH230" s="56">
        <f t="shared" ca="1" si="607"/>
        <v>0</v>
      </c>
      <c r="FI230" s="56">
        <f t="shared" ca="1" si="607"/>
        <v>0</v>
      </c>
      <c r="FJ230" s="56">
        <f t="shared" ca="1" si="607"/>
        <v>0</v>
      </c>
      <c r="FK230" s="56">
        <f t="shared" ca="1" si="607"/>
        <v>0</v>
      </c>
      <c r="FL230" s="56">
        <f t="shared" ca="1" si="607"/>
        <v>0</v>
      </c>
      <c r="FM230" s="56">
        <f t="shared" ca="1" si="607"/>
        <v>0</v>
      </c>
      <c r="FN230" s="56">
        <f t="shared" ca="1" si="607"/>
        <v>0</v>
      </c>
      <c r="FO230" s="56">
        <f t="shared" ref="FO230:GP230" ca="1" si="608">IF(FO180&gt;0,MAX(0,FO155-FO204),0)</f>
        <v>0</v>
      </c>
      <c r="FP230" s="56">
        <f t="shared" ca="1" si="608"/>
        <v>0</v>
      </c>
      <c r="FQ230" s="56">
        <f t="shared" ca="1" si="608"/>
        <v>0</v>
      </c>
      <c r="FR230" s="56">
        <f t="shared" ca="1" si="608"/>
        <v>0</v>
      </c>
      <c r="FS230" s="56">
        <f t="shared" ca="1" si="608"/>
        <v>0</v>
      </c>
      <c r="FT230" s="56">
        <f t="shared" ca="1" si="608"/>
        <v>0</v>
      </c>
      <c r="FU230" s="56">
        <f t="shared" ca="1" si="608"/>
        <v>0</v>
      </c>
      <c r="FV230" s="56">
        <f t="shared" ca="1" si="608"/>
        <v>0</v>
      </c>
      <c r="FW230" s="56">
        <f t="shared" ca="1" si="608"/>
        <v>0</v>
      </c>
      <c r="FX230" s="56">
        <f t="shared" ca="1" si="608"/>
        <v>0</v>
      </c>
      <c r="FY230" s="56">
        <f t="shared" ca="1" si="608"/>
        <v>0</v>
      </c>
      <c r="FZ230" s="56">
        <f t="shared" ca="1" si="608"/>
        <v>0</v>
      </c>
      <c r="GA230" s="56">
        <f t="shared" ca="1" si="608"/>
        <v>0</v>
      </c>
      <c r="GB230" s="56">
        <f t="shared" ca="1" si="608"/>
        <v>0</v>
      </c>
      <c r="GC230" s="56">
        <f t="shared" ca="1" si="608"/>
        <v>0</v>
      </c>
      <c r="GD230" s="56">
        <f t="shared" ca="1" si="608"/>
        <v>0</v>
      </c>
      <c r="GE230" s="56">
        <f t="shared" ca="1" si="608"/>
        <v>0</v>
      </c>
      <c r="GF230" s="56">
        <f t="shared" ca="1" si="608"/>
        <v>0</v>
      </c>
      <c r="GG230" s="56">
        <f t="shared" ca="1" si="608"/>
        <v>0</v>
      </c>
      <c r="GH230" s="56">
        <f t="shared" ca="1" si="608"/>
        <v>0</v>
      </c>
      <c r="GI230" s="56">
        <f t="shared" ca="1" si="608"/>
        <v>0</v>
      </c>
      <c r="GJ230" s="56">
        <f t="shared" ca="1" si="608"/>
        <v>0</v>
      </c>
      <c r="GK230" s="56">
        <f t="shared" ca="1" si="608"/>
        <v>0</v>
      </c>
      <c r="GL230" s="56">
        <f t="shared" ca="1" si="608"/>
        <v>0</v>
      </c>
      <c r="GM230" s="56">
        <f t="shared" ca="1" si="608"/>
        <v>0</v>
      </c>
      <c r="GN230" s="56">
        <f t="shared" ca="1" si="608"/>
        <v>0</v>
      </c>
      <c r="GO230" s="56">
        <f t="shared" ca="1" si="608"/>
        <v>0</v>
      </c>
      <c r="GP230" s="56">
        <f t="shared" ca="1" si="608"/>
        <v>0</v>
      </c>
    </row>
    <row r="231" spans="1:198" x14ac:dyDescent="0.35">
      <c r="A231" s="55" t="str">
        <f t="shared" si="524"/>
        <v>Available now &gt; Current bench</v>
      </c>
      <c r="B231" s="55" t="s">
        <v>297</v>
      </c>
      <c r="K231" s="56">
        <f t="shared" ref="K231:AP231" si="609">IF(K181&gt;0,MAX(0,K156-K205),0)</f>
        <v>0</v>
      </c>
      <c r="L231" s="56">
        <f t="shared" si="609"/>
        <v>0</v>
      </c>
      <c r="M231" s="56">
        <f t="shared" si="609"/>
        <v>0</v>
      </c>
      <c r="N231" s="56">
        <f t="shared" si="609"/>
        <v>0</v>
      </c>
      <c r="O231" s="56">
        <f t="shared" si="609"/>
        <v>0</v>
      </c>
      <c r="P231" s="56">
        <f t="shared" si="609"/>
        <v>0</v>
      </c>
      <c r="Q231" s="56">
        <f t="shared" si="609"/>
        <v>0</v>
      </c>
      <c r="R231" s="56">
        <f t="shared" si="609"/>
        <v>0</v>
      </c>
      <c r="S231" s="56">
        <f t="shared" si="609"/>
        <v>0</v>
      </c>
      <c r="T231" s="56">
        <f t="shared" si="609"/>
        <v>0</v>
      </c>
      <c r="U231" s="56">
        <f t="shared" si="609"/>
        <v>0</v>
      </c>
      <c r="V231" s="56">
        <f t="shared" si="609"/>
        <v>0</v>
      </c>
      <c r="W231" s="56">
        <f t="shared" si="609"/>
        <v>0</v>
      </c>
      <c r="X231" s="56">
        <f t="shared" si="609"/>
        <v>0</v>
      </c>
      <c r="Y231" s="56">
        <f t="shared" si="609"/>
        <v>0</v>
      </c>
      <c r="Z231" s="56">
        <f t="shared" si="609"/>
        <v>0</v>
      </c>
      <c r="AA231" s="56">
        <f t="shared" si="609"/>
        <v>0</v>
      </c>
      <c r="AB231" s="56">
        <f t="shared" si="609"/>
        <v>0</v>
      </c>
      <c r="AC231" s="56">
        <f t="shared" si="609"/>
        <v>0</v>
      </c>
      <c r="AD231" s="56">
        <f t="shared" si="609"/>
        <v>0</v>
      </c>
      <c r="AE231" s="56">
        <f t="shared" si="609"/>
        <v>0</v>
      </c>
      <c r="AF231" s="56">
        <f t="shared" si="609"/>
        <v>0</v>
      </c>
      <c r="AG231" s="56">
        <f t="shared" si="609"/>
        <v>0</v>
      </c>
      <c r="AH231" s="56">
        <f t="shared" si="609"/>
        <v>0</v>
      </c>
      <c r="AI231" s="56">
        <f t="shared" si="609"/>
        <v>0</v>
      </c>
      <c r="AJ231" s="56">
        <f t="shared" si="609"/>
        <v>0</v>
      </c>
      <c r="AK231" s="56">
        <f t="shared" si="609"/>
        <v>0</v>
      </c>
      <c r="AL231" s="56">
        <f t="shared" si="609"/>
        <v>0</v>
      </c>
      <c r="AM231" s="56">
        <f t="shared" si="609"/>
        <v>0</v>
      </c>
      <c r="AN231" s="56">
        <f t="shared" si="609"/>
        <v>0</v>
      </c>
      <c r="AO231" s="56">
        <f t="shared" si="609"/>
        <v>0</v>
      </c>
      <c r="AP231" s="56">
        <f t="shared" si="609"/>
        <v>0</v>
      </c>
      <c r="AQ231" s="56">
        <f t="shared" ref="AQ231:BV231" si="610">IF(AQ181&gt;0,MAX(0,AQ156-AQ205),0)</f>
        <v>0</v>
      </c>
      <c r="AR231" s="56">
        <f t="shared" si="610"/>
        <v>0</v>
      </c>
      <c r="AS231" s="56">
        <f t="shared" si="610"/>
        <v>0</v>
      </c>
      <c r="AT231" s="56">
        <f t="shared" si="610"/>
        <v>0</v>
      </c>
      <c r="AU231" s="56">
        <f t="shared" si="610"/>
        <v>0</v>
      </c>
      <c r="AV231" s="56">
        <f t="shared" si="610"/>
        <v>0</v>
      </c>
      <c r="AW231" s="56">
        <f t="shared" si="610"/>
        <v>0</v>
      </c>
      <c r="AX231" s="56">
        <f t="shared" si="610"/>
        <v>0</v>
      </c>
      <c r="AY231" s="56">
        <f t="shared" si="610"/>
        <v>0</v>
      </c>
      <c r="AZ231" s="56">
        <f t="shared" si="610"/>
        <v>0</v>
      </c>
      <c r="BA231" s="56">
        <f t="shared" si="610"/>
        <v>0</v>
      </c>
      <c r="BB231" s="56">
        <f t="shared" si="610"/>
        <v>0</v>
      </c>
      <c r="BC231" s="56">
        <f t="shared" si="610"/>
        <v>0</v>
      </c>
      <c r="BD231" s="56">
        <f t="shared" si="610"/>
        <v>0</v>
      </c>
      <c r="BE231" s="56">
        <f t="shared" si="610"/>
        <v>0</v>
      </c>
      <c r="BF231" s="56">
        <f t="shared" si="610"/>
        <v>0</v>
      </c>
      <c r="BG231" s="56">
        <f t="shared" si="610"/>
        <v>0</v>
      </c>
      <c r="BH231" s="56">
        <f t="shared" si="610"/>
        <v>0</v>
      </c>
      <c r="BI231" s="56">
        <f t="shared" si="610"/>
        <v>0</v>
      </c>
      <c r="BJ231" s="56">
        <f t="shared" si="610"/>
        <v>0</v>
      </c>
      <c r="BK231" s="56">
        <f t="shared" si="610"/>
        <v>0</v>
      </c>
      <c r="BL231" s="56">
        <f t="shared" si="610"/>
        <v>0</v>
      </c>
      <c r="BM231" s="56">
        <f t="shared" si="610"/>
        <v>0</v>
      </c>
      <c r="BN231" s="56">
        <f t="shared" si="610"/>
        <v>0</v>
      </c>
      <c r="BO231" s="56">
        <f t="shared" si="610"/>
        <v>0</v>
      </c>
      <c r="BP231" s="56">
        <f t="shared" si="610"/>
        <v>0</v>
      </c>
      <c r="BQ231" s="56">
        <f t="shared" si="610"/>
        <v>0</v>
      </c>
      <c r="BR231" s="56">
        <f t="shared" si="610"/>
        <v>0</v>
      </c>
      <c r="BS231" s="56">
        <f t="shared" si="610"/>
        <v>0</v>
      </c>
      <c r="BT231" s="56">
        <f t="shared" si="610"/>
        <v>0</v>
      </c>
      <c r="BU231" s="56">
        <f t="shared" si="610"/>
        <v>0</v>
      </c>
      <c r="BV231" s="56">
        <f t="shared" si="610"/>
        <v>0</v>
      </c>
      <c r="BW231" s="56">
        <f t="shared" ref="BW231:DB231" si="611">IF(BW181&gt;0,MAX(0,BW156-BW205),0)</f>
        <v>0</v>
      </c>
      <c r="BX231" s="56">
        <f t="shared" si="611"/>
        <v>0</v>
      </c>
      <c r="BY231" s="56">
        <f t="shared" si="611"/>
        <v>0</v>
      </c>
      <c r="BZ231" s="56">
        <f t="shared" si="611"/>
        <v>0</v>
      </c>
      <c r="CA231" s="56">
        <f t="shared" si="611"/>
        <v>0</v>
      </c>
      <c r="CB231" s="56">
        <f t="shared" si="611"/>
        <v>0</v>
      </c>
      <c r="CC231" s="56">
        <f t="shared" si="611"/>
        <v>0</v>
      </c>
      <c r="CD231" s="56">
        <f t="shared" si="611"/>
        <v>0</v>
      </c>
      <c r="CE231" s="56">
        <f t="shared" si="611"/>
        <v>0</v>
      </c>
      <c r="CF231" s="56">
        <f t="shared" si="611"/>
        <v>0</v>
      </c>
      <c r="CG231" s="56">
        <f t="shared" si="611"/>
        <v>0</v>
      </c>
      <c r="CH231" s="56">
        <f t="shared" si="611"/>
        <v>0</v>
      </c>
      <c r="CI231" s="56">
        <f t="shared" si="611"/>
        <v>0</v>
      </c>
      <c r="CJ231" s="56">
        <f t="shared" si="611"/>
        <v>0</v>
      </c>
      <c r="CK231" s="56">
        <f t="shared" si="611"/>
        <v>0</v>
      </c>
      <c r="CL231" s="56">
        <f t="shared" si="611"/>
        <v>0</v>
      </c>
      <c r="CM231" s="56">
        <f t="shared" si="611"/>
        <v>0</v>
      </c>
      <c r="CN231" s="56">
        <f t="shared" si="611"/>
        <v>0</v>
      </c>
      <c r="CO231" s="56">
        <f t="shared" si="611"/>
        <v>0</v>
      </c>
      <c r="CP231" s="56">
        <f t="shared" si="611"/>
        <v>0</v>
      </c>
      <c r="CQ231" s="56">
        <f t="shared" si="611"/>
        <v>0</v>
      </c>
      <c r="CR231" s="56">
        <f t="shared" si="611"/>
        <v>0</v>
      </c>
      <c r="CS231" s="56">
        <f t="shared" si="611"/>
        <v>0</v>
      </c>
      <c r="CT231" s="56">
        <f t="shared" si="611"/>
        <v>0</v>
      </c>
      <c r="CU231" s="56">
        <f t="shared" si="611"/>
        <v>0</v>
      </c>
      <c r="CV231" s="56">
        <f t="shared" si="611"/>
        <v>0</v>
      </c>
      <c r="CW231" s="56">
        <f t="shared" si="611"/>
        <v>0</v>
      </c>
      <c r="CX231" s="56">
        <f t="shared" si="611"/>
        <v>0</v>
      </c>
      <c r="CY231" s="56">
        <f t="shared" si="611"/>
        <v>0</v>
      </c>
      <c r="CZ231" s="56">
        <f t="shared" si="611"/>
        <v>0</v>
      </c>
      <c r="DA231" s="56">
        <f t="shared" si="611"/>
        <v>0</v>
      </c>
      <c r="DB231" s="56">
        <f t="shared" si="611"/>
        <v>0</v>
      </c>
      <c r="DC231" s="56">
        <f t="shared" ref="DC231:EH231" si="612">IF(DC181&gt;0,MAX(0,DC156-DC205),0)</f>
        <v>0</v>
      </c>
      <c r="DD231" s="56">
        <f t="shared" si="612"/>
        <v>0</v>
      </c>
      <c r="DE231" s="56">
        <f t="shared" si="612"/>
        <v>0</v>
      </c>
      <c r="DF231" s="56">
        <f t="shared" si="612"/>
        <v>0</v>
      </c>
      <c r="DG231" s="56">
        <f t="shared" si="612"/>
        <v>0</v>
      </c>
      <c r="DH231" s="56">
        <f t="shared" si="612"/>
        <v>0</v>
      </c>
      <c r="DI231" s="56">
        <f t="shared" si="612"/>
        <v>0</v>
      </c>
      <c r="DJ231" s="56">
        <f t="shared" si="612"/>
        <v>0</v>
      </c>
      <c r="DK231" s="56">
        <f t="shared" si="612"/>
        <v>0</v>
      </c>
      <c r="DL231" s="56">
        <f t="shared" si="612"/>
        <v>0</v>
      </c>
      <c r="DM231" s="56">
        <f t="shared" si="612"/>
        <v>0</v>
      </c>
      <c r="DN231" s="56">
        <f t="shared" si="612"/>
        <v>0</v>
      </c>
      <c r="DO231" s="56">
        <f t="shared" si="612"/>
        <v>0</v>
      </c>
      <c r="DP231" s="56">
        <f t="shared" si="612"/>
        <v>0</v>
      </c>
      <c r="DQ231" s="56">
        <f t="shared" ca="1" si="612"/>
        <v>0</v>
      </c>
      <c r="DR231" s="56">
        <f t="shared" ca="1" si="612"/>
        <v>2.1982170285639313E-4</v>
      </c>
      <c r="DS231" s="56">
        <f t="shared" ca="1" si="612"/>
        <v>8.7880359562042543E-4</v>
      </c>
      <c r="DT231" s="56">
        <f t="shared" ca="1" si="612"/>
        <v>1.975497093070544E-3</v>
      </c>
      <c r="DU231" s="56">
        <f t="shared" ca="1" si="612"/>
        <v>3.507491424883824E-3</v>
      </c>
      <c r="DV231" s="56">
        <f t="shared" ca="1" si="612"/>
        <v>5.4714189350377751E-3</v>
      </c>
      <c r="DW231" s="56">
        <f t="shared" ca="1" si="612"/>
        <v>7.862962484631808E-3</v>
      </c>
      <c r="DX231" s="56">
        <f t="shared" ca="1" si="612"/>
        <v>1.0676864941912001E-2</v>
      </c>
      <c r="DY231" s="56">
        <f t="shared" ca="1" si="612"/>
        <v>1.3906940738580786E-2</v>
      </c>
      <c r="DZ231" s="56">
        <f t="shared" ca="1" si="612"/>
        <v>1.7546089467019854E-2</v>
      </c>
      <c r="EA231" s="56">
        <f t="shared" ca="1" si="612"/>
        <v>2.158631148852308E-2</v>
      </c>
      <c r="EB231" s="56">
        <f t="shared" ca="1" si="612"/>
        <v>2.6018725518241581E-2</v>
      </c>
      <c r="EC231" s="56">
        <f t="shared" ca="1" si="612"/>
        <v>3.0833588148180269E-2</v>
      </c>
      <c r="ED231" s="56">
        <f t="shared" ca="1" si="612"/>
        <v>3.6020315265314906E-2</v>
      </c>
      <c r="EE231" s="56">
        <f t="shared" ca="1" si="612"/>
        <v>4.1567505317773978E-2</v>
      </c>
      <c r="EF231" s="56">
        <f t="shared" ca="1" si="612"/>
        <v>4.7462964377922745E-2</v>
      </c>
      <c r="EG231" s="56">
        <f t="shared" ca="1" si="612"/>
        <v>5.369373294726465E-2</v>
      </c>
      <c r="EH231" s="56">
        <f t="shared" ca="1" si="612"/>
        <v>6.0246114444231225E-2</v>
      </c>
      <c r="EI231" s="56">
        <f t="shared" ref="EI231:FN231" ca="1" si="613">IF(EI181&gt;0,MAX(0,EI156-EI205),0)</f>
        <v>6.7105705312235031E-2</v>
      </c>
      <c r="EJ231" s="56">
        <f t="shared" ca="1" si="613"/>
        <v>7.4257426681823446E-2</v>
      </c>
      <c r="EK231" s="56">
        <f t="shared" ca="1" si="613"/>
        <v>8.1685557517296559E-2</v>
      </c>
      <c r="EL231" s="56">
        <f t="shared" ca="1" si="613"/>
        <v>8.9373769174960316E-2</v>
      </c>
      <c r="EM231" s="56">
        <f t="shared" ca="1" si="613"/>
        <v>9.7305161297033038E-2</v>
      </c>
      <c r="EN231" s="56">
        <f t="shared" ca="1" si="613"/>
        <v>0.10546229896228709</v>
      </c>
      <c r="EO231" s="56">
        <f t="shared" ca="1" si="613"/>
        <v>0.11382725101180569</v>
      </c>
      <c r="EP231" s="56">
        <f t="shared" ca="1" si="613"/>
        <v>0.12238162946554887</v>
      </c>
      <c r="EQ231" s="56">
        <f t="shared" ca="1" si="613"/>
        <v>0.13110662994313316</v>
      </c>
      <c r="ER231" s="56">
        <f t="shared" ca="1" si="613"/>
        <v>0.13998307299993229</v>
      </c>
      <c r="ES231" s="56">
        <f t="shared" ca="1" si="613"/>
        <v>0.14899144628766514</v>
      </c>
      <c r="ET231" s="56">
        <f t="shared" ca="1" si="613"/>
        <v>0.15811194744677159</v>
      </c>
      <c r="EU231" s="56">
        <f t="shared" ca="1" si="613"/>
        <v>0.16732452763629446</v>
      </c>
      <c r="EV231" s="56">
        <f t="shared" ca="1" si="613"/>
        <v>0.17660893560558399</v>
      </c>
      <c r="EW231" s="56">
        <f t="shared" ca="1" si="613"/>
        <v>0.1859447622109407</v>
      </c>
      <c r="EX231" s="56">
        <f t="shared" ca="1" si="613"/>
        <v>0.19531148527934761</v>
      </c>
      <c r="EY231" s="56">
        <f t="shared" ca="1" si="613"/>
        <v>0.20468851472065097</v>
      </c>
      <c r="EZ231" s="56">
        <f t="shared" ca="1" si="613"/>
        <v>0.21405523778905788</v>
      </c>
      <c r="FA231" s="56">
        <f t="shared" ca="1" si="613"/>
        <v>0.22339106439441636</v>
      </c>
      <c r="FB231" s="56">
        <f t="shared" ca="1" si="613"/>
        <v>0.23267547236370589</v>
      </c>
      <c r="FC231" s="56">
        <f t="shared" ca="1" si="613"/>
        <v>0.24188805255322876</v>
      </c>
      <c r="FD231" s="56">
        <f t="shared" ca="1" si="613"/>
        <v>0.25100855371233521</v>
      </c>
      <c r="FE231" s="56">
        <f t="shared" ca="1" si="613"/>
        <v>0.26001692700006807</v>
      </c>
      <c r="FF231" s="56">
        <f t="shared" ca="1" si="613"/>
        <v>0.2688933700568672</v>
      </c>
      <c r="FG231" s="56">
        <f t="shared" ca="1" si="613"/>
        <v>0.27761837053444971</v>
      </c>
      <c r="FH231" s="56">
        <f t="shared" ca="1" si="613"/>
        <v>0.28617274898819467</v>
      </c>
      <c r="FI231" s="56">
        <f t="shared" ca="1" si="613"/>
        <v>0.29453770103771326</v>
      </c>
      <c r="FJ231" s="56">
        <f t="shared" ca="1" si="613"/>
        <v>0.30269483870296909</v>
      </c>
      <c r="FK231" s="56">
        <f t="shared" ca="1" si="613"/>
        <v>0.31062623082504004</v>
      </c>
      <c r="FL231" s="56">
        <f t="shared" ca="1" si="613"/>
        <v>0.3183144424827038</v>
      </c>
      <c r="FM231" s="56">
        <f t="shared" ca="1" si="613"/>
        <v>0.32574257331817691</v>
      </c>
      <c r="FN231" s="56">
        <f t="shared" ca="1" si="613"/>
        <v>0.33289429468776532</v>
      </c>
      <c r="FO231" s="56">
        <f t="shared" ref="FO231:GP231" ca="1" si="614">IF(FO181&gt;0,MAX(0,FO156-FO205),0)</f>
        <v>0.33975388555576735</v>
      </c>
      <c r="FP231" s="56">
        <f t="shared" ca="1" si="614"/>
        <v>0.34630626705273393</v>
      </c>
      <c r="FQ231" s="56">
        <f t="shared" ca="1" si="614"/>
        <v>0.35253703562207583</v>
      </c>
      <c r="FR231" s="56">
        <f t="shared" ca="1" si="614"/>
        <v>0.3584324946822246</v>
      </c>
      <c r="FS231" s="56">
        <f t="shared" ca="1" si="614"/>
        <v>0.36397968473468545</v>
      </c>
      <c r="FT231" s="56">
        <f t="shared" ca="1" si="614"/>
        <v>0.36916641185182009</v>
      </c>
      <c r="FU231" s="56">
        <f t="shared" ca="1" si="614"/>
        <v>0.37398127448175877</v>
      </c>
      <c r="FV231" s="56">
        <f t="shared" ca="1" si="614"/>
        <v>0.37841368851147728</v>
      </c>
      <c r="FW231" s="56">
        <f t="shared" ca="1" si="614"/>
        <v>0.38245391053297872</v>
      </c>
      <c r="FX231" s="56">
        <f t="shared" ca="1" si="614"/>
        <v>0.38609305926141779</v>
      </c>
      <c r="FY231" s="56">
        <f t="shared" ca="1" si="614"/>
        <v>0.38932313505808658</v>
      </c>
      <c r="FZ231" s="56">
        <f t="shared" ca="1" si="614"/>
        <v>0.39213703751536855</v>
      </c>
      <c r="GA231" s="56">
        <f t="shared" ca="1" si="614"/>
        <v>0.39452858106496258</v>
      </c>
      <c r="GB231" s="56">
        <f t="shared" ca="1" si="614"/>
        <v>0.39649250857511653</v>
      </c>
      <c r="GC231" s="56">
        <f t="shared" ca="1" si="614"/>
        <v>0.39802450290692981</v>
      </c>
      <c r="GD231" s="56">
        <f t="shared" ca="1" si="614"/>
        <v>0.39912119640437993</v>
      </c>
      <c r="GE231" s="56">
        <f t="shared" ca="1" si="614"/>
        <v>0.39978017829714396</v>
      </c>
      <c r="GF231" s="56">
        <f t="shared" ca="1" si="614"/>
        <v>0.40000000000000036</v>
      </c>
      <c r="GG231" s="56">
        <f t="shared" ca="1" si="614"/>
        <v>0.40000000000000036</v>
      </c>
      <c r="GH231" s="56">
        <f t="shared" ca="1" si="614"/>
        <v>0.40000000000000036</v>
      </c>
      <c r="GI231" s="56">
        <f t="shared" ca="1" si="614"/>
        <v>0.40000000000000036</v>
      </c>
      <c r="GJ231" s="56">
        <f t="shared" ca="1" si="614"/>
        <v>0.40000000000000036</v>
      </c>
      <c r="GK231" s="56">
        <f t="shared" ca="1" si="614"/>
        <v>0.40000000000000036</v>
      </c>
      <c r="GL231" s="56">
        <f t="shared" ca="1" si="614"/>
        <v>0.40000000000000036</v>
      </c>
      <c r="GM231" s="56">
        <f t="shared" ca="1" si="614"/>
        <v>0.40000000000000036</v>
      </c>
      <c r="GN231" s="56">
        <f t="shared" ca="1" si="614"/>
        <v>0.40000000000000036</v>
      </c>
      <c r="GO231" s="56">
        <f t="shared" ca="1" si="614"/>
        <v>0.40000000000000036</v>
      </c>
      <c r="GP231" s="56">
        <f t="shared" ca="1" si="614"/>
        <v>0.40000000000000036</v>
      </c>
    </row>
    <row r="232" spans="1:198" x14ac:dyDescent="0.35">
      <c r="A232" s="55" t="str">
        <f t="shared" si="524"/>
        <v>USA &gt; available in future</v>
      </c>
      <c r="B232" s="55" t="s">
        <v>298</v>
      </c>
      <c r="K232" s="56">
        <f t="shared" ref="K232:AP232" ca="1" si="615">IF(K182&gt;0,MAX(0,K157-0),0)</f>
        <v>5.6736842105263152</v>
      </c>
      <c r="L232" s="56">
        <f t="shared" ca="1" si="615"/>
        <v>5.6736842105263152</v>
      </c>
      <c r="M232" s="56">
        <f t="shared" ca="1" si="615"/>
        <v>5.6736842105263152</v>
      </c>
      <c r="N232" s="56">
        <f t="shared" ca="1" si="615"/>
        <v>5.6736842105263152</v>
      </c>
      <c r="O232" s="56">
        <f t="shared" ca="1" si="615"/>
        <v>5.6736842105263152</v>
      </c>
      <c r="P232" s="56">
        <f t="shared" ca="1" si="615"/>
        <v>5.6736842105263152</v>
      </c>
      <c r="Q232" s="56">
        <f t="shared" ca="1" si="615"/>
        <v>5.6736842105263152</v>
      </c>
      <c r="R232" s="56">
        <f t="shared" ca="1" si="615"/>
        <v>5.6736842105263152</v>
      </c>
      <c r="S232" s="56">
        <f t="shared" ca="1" si="615"/>
        <v>5.6736842105263152</v>
      </c>
      <c r="T232" s="56">
        <f t="shared" ca="1" si="615"/>
        <v>5.6736842105263152</v>
      </c>
      <c r="U232" s="56">
        <f t="shared" ca="1" si="615"/>
        <v>5.6760597455715596</v>
      </c>
      <c r="V232" s="56">
        <f t="shared" ca="1" si="615"/>
        <v>5.6831812811957914</v>
      </c>
      <c r="W232" s="56">
        <f t="shared" ca="1" si="615"/>
        <v>5.6950336196830955</v>
      </c>
      <c r="X232" s="56">
        <f t="shared" ca="1" si="615"/>
        <v>5.7115914675458388</v>
      </c>
      <c r="Y232" s="56">
        <f t="shared" ca="1" si="615"/>
        <v>5.732819489502246</v>
      </c>
      <c r="Z232" s="56">
        <f t="shared" ca="1" si="615"/>
        <v>5.7586723838836704</v>
      </c>
      <c r="AA232" s="56">
        <f t="shared" ca="1" si="615"/>
        <v>5.7890949793106383</v>
      </c>
      <c r="AB232" s="56">
        <f t="shared" ca="1" si="615"/>
        <v>5.8240223524313546</v>
      </c>
      <c r="AC232" s="56">
        <f t="shared" ca="1" si="615"/>
        <v>5.8633799664714052</v>
      </c>
      <c r="AD232" s="56">
        <f t="shared" ca="1" si="615"/>
        <v>5.9070838302989923</v>
      </c>
      <c r="AE232" s="56">
        <f t="shared" ca="1" si="615"/>
        <v>5.9550406776662399</v>
      </c>
      <c r="AF232" s="56">
        <f t="shared" ca="1" si="615"/>
        <v>6.0071481662440691</v>
      </c>
      <c r="AG232" s="56">
        <f t="shared" ca="1" si="615"/>
        <v>6.0632950960258842</v>
      </c>
      <c r="AH232" s="56">
        <f t="shared" ca="1" si="615"/>
        <v>6.1233616466339926</v>
      </c>
      <c r="AI232" s="56">
        <f t="shared" ca="1" si="615"/>
        <v>6.1872196330223268</v>
      </c>
      <c r="AJ232" s="56">
        <f t="shared" ca="1" si="615"/>
        <v>6.2547327790297951</v>
      </c>
      <c r="AK232" s="56">
        <f t="shared" ca="1" si="615"/>
        <v>6.3257570082004753</v>
      </c>
      <c r="AL232" s="56">
        <f t="shared" ca="1" si="615"/>
        <v>6.4001407512500332</v>
      </c>
      <c r="AM232" s="56">
        <f t="shared" ca="1" si="615"/>
        <v>6.4777252695222121</v>
      </c>
      <c r="AN232" s="56">
        <f t="shared" ca="1" si="615"/>
        <v>6.5583449937451288</v>
      </c>
      <c r="AO232" s="56">
        <f t="shared" ca="1" si="615"/>
        <v>6.6418278773644399</v>
      </c>
      <c r="AP232" s="56">
        <f t="shared" ca="1" si="615"/>
        <v>6.7279957636993597</v>
      </c>
      <c r="AQ232" s="56">
        <f t="shared" ref="AQ232:BV232" ca="1" si="616">IF(AQ182&gt;0,MAX(0,AQ157-0),0)</f>
        <v>6.8166647661379987</v>
      </c>
      <c r="AR232" s="56">
        <f t="shared" ca="1" si="616"/>
        <v>6.9076456605606538</v>
      </c>
      <c r="AS232" s="56">
        <f t="shared" ca="1" si="616"/>
        <v>7.0007442891536229</v>
      </c>
      <c r="AT232" s="56">
        <f t="shared" ca="1" si="616"/>
        <v>7.0957619747517588</v>
      </c>
      <c r="AU232" s="56">
        <f t="shared" ca="1" si="616"/>
        <v>7.1924959448255557</v>
      </c>
      <c r="AV232" s="56">
        <f t="shared" ca="1" si="616"/>
        <v>7.2907397642079417</v>
      </c>
      <c r="AW232" s="56">
        <f t="shared" ca="1" si="616"/>
        <v>7.3902837756373332</v>
      </c>
      <c r="AX232" s="56">
        <f t="shared" ca="1" si="616"/>
        <v>7.490915547176793</v>
      </c>
      <c r="AY232" s="56">
        <f t="shared" ca="1" si="616"/>
        <v>7.5924203255544933</v>
      </c>
      <c r="AZ232" s="56">
        <f t="shared" ca="1" si="616"/>
        <v>7.6945814944580171</v>
      </c>
      <c r="BA232" s="56">
        <f t="shared" ca="1" si="616"/>
        <v>7.7971810368044849</v>
      </c>
      <c r="BB232" s="56">
        <f t="shared" ca="1" si="616"/>
        <v>7.8999999999999995</v>
      </c>
      <c r="BC232" s="56">
        <f t="shared" ca="1" si="616"/>
        <v>8.002818963195514</v>
      </c>
      <c r="BD232" s="56">
        <f t="shared" ca="1" si="616"/>
        <v>8.1054185055419818</v>
      </c>
      <c r="BE232" s="56">
        <f t="shared" ca="1" si="616"/>
        <v>8.2075796744455047</v>
      </c>
      <c r="BF232" s="56">
        <f t="shared" ca="1" si="616"/>
        <v>8.3090844528232068</v>
      </c>
      <c r="BG232" s="56">
        <f t="shared" ca="1" si="616"/>
        <v>8.4097162243626666</v>
      </c>
      <c r="BH232" s="56">
        <f t="shared" ca="1" si="616"/>
        <v>8.509260235792059</v>
      </c>
      <c r="BI232" s="56">
        <f t="shared" ca="1" si="616"/>
        <v>8.6075040551744451</v>
      </c>
      <c r="BJ232" s="56">
        <f t="shared" ca="1" si="616"/>
        <v>8.704238025248241</v>
      </c>
      <c r="BK232" s="56">
        <f t="shared" ca="1" si="616"/>
        <v>8.799255710846376</v>
      </c>
      <c r="BL232" s="56">
        <f t="shared" ca="1" si="616"/>
        <v>8.8923543394393452</v>
      </c>
      <c r="BM232" s="56">
        <f t="shared" ca="1" si="616"/>
        <v>8.9833352338620003</v>
      </c>
      <c r="BN232" s="56">
        <f t="shared" ca="1" si="616"/>
        <v>9.0720042363006392</v>
      </c>
      <c r="BO232" s="56">
        <f t="shared" ca="1" si="616"/>
        <v>9.158172122635559</v>
      </c>
      <c r="BP232" s="56">
        <f t="shared" ca="1" si="616"/>
        <v>9.2416550062548701</v>
      </c>
      <c r="BQ232" s="56">
        <f t="shared" ca="1" si="616"/>
        <v>9.3222747304777869</v>
      </c>
      <c r="BR232" s="56">
        <f t="shared" ca="1" si="616"/>
        <v>9.3998592487499675</v>
      </c>
      <c r="BS232" s="56">
        <f t="shared" ca="1" si="616"/>
        <v>9.4742429917995246</v>
      </c>
      <c r="BT232" s="56">
        <f t="shared" ca="1" si="616"/>
        <v>9.5452672209702047</v>
      </c>
      <c r="BU232" s="56">
        <f t="shared" ca="1" si="616"/>
        <v>9.6127803669776739</v>
      </c>
      <c r="BV232" s="56">
        <f t="shared" ca="1" si="616"/>
        <v>9.6766383533660072</v>
      </c>
      <c r="BW232" s="56">
        <f t="shared" ref="BW232:DB232" ca="1" si="617">IF(BW182&gt;0,MAX(0,BW157-0),0)</f>
        <v>9.7367049039741147</v>
      </c>
      <c r="BX232" s="56">
        <f t="shared" ca="1" si="617"/>
        <v>9.7928518337559307</v>
      </c>
      <c r="BY232" s="56">
        <f t="shared" ca="1" si="617"/>
        <v>9.8449593223337608</v>
      </c>
      <c r="BZ232" s="56">
        <f t="shared" ca="1" si="617"/>
        <v>9.8929161697010066</v>
      </c>
      <c r="CA232" s="56">
        <f t="shared" ca="1" si="617"/>
        <v>9.9366200335285946</v>
      </c>
      <c r="CB232" s="56">
        <f t="shared" ca="1" si="617"/>
        <v>9.9759776475686444</v>
      </c>
      <c r="CC232" s="56">
        <f t="shared" ca="1" si="617"/>
        <v>10.010905020689361</v>
      </c>
      <c r="CD232" s="56">
        <f t="shared" ca="1" si="617"/>
        <v>10.04132761611633</v>
      </c>
      <c r="CE232" s="56">
        <f t="shared" ca="1" si="617"/>
        <v>10.067180510497753</v>
      </c>
      <c r="CF232" s="56">
        <f t="shared" ca="1" si="617"/>
        <v>10.08840853245416</v>
      </c>
      <c r="CG232" s="56">
        <f t="shared" ca="1" si="617"/>
        <v>10.104966380316904</v>
      </c>
      <c r="CH232" s="56">
        <f t="shared" ca="1" si="617"/>
        <v>10.116818718804208</v>
      </c>
      <c r="CI232" s="56">
        <f t="shared" ca="1" si="617"/>
        <v>10.12394025442844</v>
      </c>
      <c r="CJ232" s="56">
        <f t="shared" ca="1" si="617"/>
        <v>10.126315789473685</v>
      </c>
      <c r="CK232" s="56">
        <f t="shared" si="617"/>
        <v>0</v>
      </c>
      <c r="CL232" s="56">
        <f t="shared" si="617"/>
        <v>0</v>
      </c>
      <c r="CM232" s="56">
        <f t="shared" si="617"/>
        <v>0</v>
      </c>
      <c r="CN232" s="56">
        <f t="shared" si="617"/>
        <v>0</v>
      </c>
      <c r="CO232" s="56">
        <f t="shared" si="617"/>
        <v>0</v>
      </c>
      <c r="CP232" s="56">
        <f t="shared" si="617"/>
        <v>0</v>
      </c>
      <c r="CQ232" s="56">
        <f t="shared" si="617"/>
        <v>0</v>
      </c>
      <c r="CR232" s="56">
        <f t="shared" si="617"/>
        <v>0</v>
      </c>
      <c r="CS232" s="56">
        <f t="shared" si="617"/>
        <v>0</v>
      </c>
      <c r="CT232" s="56">
        <f t="shared" si="617"/>
        <v>0</v>
      </c>
      <c r="CU232" s="56">
        <f t="shared" si="617"/>
        <v>0</v>
      </c>
      <c r="CV232" s="56">
        <f t="shared" si="617"/>
        <v>0</v>
      </c>
      <c r="CW232" s="56">
        <f t="shared" si="617"/>
        <v>0</v>
      </c>
      <c r="CX232" s="56">
        <f t="shared" si="617"/>
        <v>0</v>
      </c>
      <c r="CY232" s="56">
        <f t="shared" si="617"/>
        <v>0</v>
      </c>
      <c r="CZ232" s="56">
        <f t="shared" si="617"/>
        <v>0</v>
      </c>
      <c r="DA232" s="56">
        <f t="shared" si="617"/>
        <v>0</v>
      </c>
      <c r="DB232" s="56">
        <f t="shared" si="617"/>
        <v>0</v>
      </c>
      <c r="DC232" s="56">
        <f t="shared" ref="DC232:EH232" si="618">IF(DC182&gt;0,MAX(0,DC157-0),0)</f>
        <v>0</v>
      </c>
      <c r="DD232" s="56">
        <f t="shared" si="618"/>
        <v>0</v>
      </c>
      <c r="DE232" s="56">
        <f t="shared" si="618"/>
        <v>0</v>
      </c>
      <c r="DF232" s="56">
        <f t="shared" si="618"/>
        <v>0</v>
      </c>
      <c r="DG232" s="56">
        <f t="shared" si="618"/>
        <v>0</v>
      </c>
      <c r="DH232" s="56">
        <f t="shared" si="618"/>
        <v>0</v>
      </c>
      <c r="DI232" s="56">
        <f t="shared" si="618"/>
        <v>0</v>
      </c>
      <c r="DJ232" s="56">
        <f t="shared" si="618"/>
        <v>0</v>
      </c>
      <c r="DK232" s="56">
        <f t="shared" si="618"/>
        <v>0</v>
      </c>
      <c r="DL232" s="56">
        <f t="shared" si="618"/>
        <v>0</v>
      </c>
      <c r="DM232" s="56">
        <f t="shared" si="618"/>
        <v>0</v>
      </c>
      <c r="DN232" s="56">
        <f t="shared" si="618"/>
        <v>0</v>
      </c>
      <c r="DO232" s="56">
        <f t="shared" si="618"/>
        <v>0</v>
      </c>
      <c r="DP232" s="56">
        <f t="shared" si="618"/>
        <v>0</v>
      </c>
      <c r="DQ232" s="56">
        <f t="shared" si="618"/>
        <v>0</v>
      </c>
      <c r="DR232" s="56">
        <f t="shared" si="618"/>
        <v>0</v>
      </c>
      <c r="DS232" s="56">
        <f t="shared" si="618"/>
        <v>0</v>
      </c>
      <c r="DT232" s="56">
        <f t="shared" si="618"/>
        <v>0</v>
      </c>
      <c r="DU232" s="56">
        <f t="shared" si="618"/>
        <v>0</v>
      </c>
      <c r="DV232" s="56">
        <f t="shared" si="618"/>
        <v>0</v>
      </c>
      <c r="DW232" s="56">
        <f t="shared" si="618"/>
        <v>0</v>
      </c>
      <c r="DX232" s="56">
        <f t="shared" si="618"/>
        <v>0</v>
      </c>
      <c r="DY232" s="56">
        <f t="shared" si="618"/>
        <v>0</v>
      </c>
      <c r="DZ232" s="56">
        <f t="shared" si="618"/>
        <v>0</v>
      </c>
      <c r="EA232" s="56">
        <f t="shared" si="618"/>
        <v>0</v>
      </c>
      <c r="EB232" s="56">
        <f t="shared" si="618"/>
        <v>0</v>
      </c>
      <c r="EC232" s="56">
        <f t="shared" si="618"/>
        <v>0</v>
      </c>
      <c r="ED232" s="56">
        <f t="shared" si="618"/>
        <v>0</v>
      </c>
      <c r="EE232" s="56">
        <f t="shared" si="618"/>
        <v>0</v>
      </c>
      <c r="EF232" s="56">
        <f t="shared" si="618"/>
        <v>0</v>
      </c>
      <c r="EG232" s="56">
        <f t="shared" si="618"/>
        <v>0</v>
      </c>
      <c r="EH232" s="56">
        <f t="shared" si="618"/>
        <v>0</v>
      </c>
      <c r="EI232" s="56">
        <f t="shared" ref="EI232:FN232" si="619">IF(EI182&gt;0,MAX(0,EI157-0),0)</f>
        <v>0</v>
      </c>
      <c r="EJ232" s="56">
        <f t="shared" si="619"/>
        <v>0</v>
      </c>
      <c r="EK232" s="56">
        <f t="shared" si="619"/>
        <v>0</v>
      </c>
      <c r="EL232" s="56">
        <f t="shared" si="619"/>
        <v>0</v>
      </c>
      <c r="EM232" s="56">
        <f t="shared" si="619"/>
        <v>0</v>
      </c>
      <c r="EN232" s="56">
        <f t="shared" si="619"/>
        <v>0</v>
      </c>
      <c r="EO232" s="56">
        <f t="shared" si="619"/>
        <v>0</v>
      </c>
      <c r="EP232" s="56">
        <f t="shared" si="619"/>
        <v>0</v>
      </c>
      <c r="EQ232" s="56">
        <f t="shared" si="619"/>
        <v>0</v>
      </c>
      <c r="ER232" s="56">
        <f t="shared" si="619"/>
        <v>0</v>
      </c>
      <c r="ES232" s="56">
        <f t="shared" si="619"/>
        <v>0</v>
      </c>
      <c r="ET232" s="56">
        <f t="shared" si="619"/>
        <v>0</v>
      </c>
      <c r="EU232" s="56">
        <f t="shared" si="619"/>
        <v>0</v>
      </c>
      <c r="EV232" s="56">
        <f t="shared" si="619"/>
        <v>0</v>
      </c>
      <c r="EW232" s="56">
        <f t="shared" si="619"/>
        <v>0</v>
      </c>
      <c r="EX232" s="56">
        <f t="shared" si="619"/>
        <v>0</v>
      </c>
      <c r="EY232" s="56">
        <f t="shared" si="619"/>
        <v>0</v>
      </c>
      <c r="EZ232" s="56">
        <f t="shared" si="619"/>
        <v>0</v>
      </c>
      <c r="FA232" s="56">
        <f t="shared" si="619"/>
        <v>0</v>
      </c>
      <c r="FB232" s="56">
        <f t="shared" si="619"/>
        <v>0</v>
      </c>
      <c r="FC232" s="56">
        <f t="shared" si="619"/>
        <v>0</v>
      </c>
      <c r="FD232" s="56">
        <f t="shared" si="619"/>
        <v>0</v>
      </c>
      <c r="FE232" s="56">
        <f t="shared" si="619"/>
        <v>0</v>
      </c>
      <c r="FF232" s="56">
        <f t="shared" si="619"/>
        <v>0</v>
      </c>
      <c r="FG232" s="56">
        <f t="shared" si="619"/>
        <v>0</v>
      </c>
      <c r="FH232" s="56">
        <f t="shared" si="619"/>
        <v>0</v>
      </c>
      <c r="FI232" s="56">
        <f t="shared" si="619"/>
        <v>0</v>
      </c>
      <c r="FJ232" s="56">
        <f t="shared" si="619"/>
        <v>0</v>
      </c>
      <c r="FK232" s="56">
        <f t="shared" si="619"/>
        <v>0</v>
      </c>
      <c r="FL232" s="56">
        <f t="shared" si="619"/>
        <v>0</v>
      </c>
      <c r="FM232" s="56">
        <f t="shared" si="619"/>
        <v>0</v>
      </c>
      <c r="FN232" s="56">
        <f t="shared" si="619"/>
        <v>0</v>
      </c>
      <c r="FO232" s="56">
        <f t="shared" ref="FO232:GP232" si="620">IF(FO182&gt;0,MAX(0,FO157-0),0)</f>
        <v>0</v>
      </c>
      <c r="FP232" s="56">
        <f t="shared" si="620"/>
        <v>0</v>
      </c>
      <c r="FQ232" s="56">
        <f t="shared" si="620"/>
        <v>0</v>
      </c>
      <c r="FR232" s="56">
        <f t="shared" si="620"/>
        <v>0</v>
      </c>
      <c r="FS232" s="56">
        <f t="shared" si="620"/>
        <v>0</v>
      </c>
      <c r="FT232" s="56">
        <f t="shared" si="620"/>
        <v>0</v>
      </c>
      <c r="FU232" s="56">
        <f t="shared" si="620"/>
        <v>0</v>
      </c>
      <c r="FV232" s="56">
        <f t="shared" si="620"/>
        <v>0</v>
      </c>
      <c r="FW232" s="56">
        <f t="shared" si="620"/>
        <v>0</v>
      </c>
      <c r="FX232" s="56">
        <f t="shared" si="620"/>
        <v>0</v>
      </c>
      <c r="FY232" s="56">
        <f t="shared" si="620"/>
        <v>0</v>
      </c>
      <c r="FZ232" s="56">
        <f t="shared" si="620"/>
        <v>0</v>
      </c>
      <c r="GA232" s="56">
        <f t="shared" si="620"/>
        <v>0</v>
      </c>
      <c r="GB232" s="56">
        <f t="shared" si="620"/>
        <v>0</v>
      </c>
      <c r="GC232" s="56">
        <f t="shared" si="620"/>
        <v>0</v>
      </c>
      <c r="GD232" s="56">
        <f t="shared" si="620"/>
        <v>0</v>
      </c>
      <c r="GE232" s="56">
        <f t="shared" si="620"/>
        <v>0</v>
      </c>
      <c r="GF232" s="56">
        <f t="shared" si="620"/>
        <v>0</v>
      </c>
      <c r="GG232" s="56">
        <f t="shared" si="620"/>
        <v>0</v>
      </c>
      <c r="GH232" s="56">
        <f t="shared" si="620"/>
        <v>0</v>
      </c>
      <c r="GI232" s="56">
        <f t="shared" si="620"/>
        <v>0</v>
      </c>
      <c r="GJ232" s="56">
        <f t="shared" si="620"/>
        <v>0</v>
      </c>
      <c r="GK232" s="56">
        <f t="shared" si="620"/>
        <v>0</v>
      </c>
      <c r="GL232" s="56">
        <f t="shared" si="620"/>
        <v>0</v>
      </c>
      <c r="GM232" s="56">
        <f t="shared" si="620"/>
        <v>0</v>
      </c>
      <c r="GN232" s="56">
        <f t="shared" si="620"/>
        <v>0</v>
      </c>
      <c r="GO232" s="56">
        <f t="shared" si="620"/>
        <v>0</v>
      </c>
      <c r="GP232" s="56">
        <f t="shared" si="620"/>
        <v>0</v>
      </c>
    </row>
    <row r="233" spans="1:198" x14ac:dyDescent="0.35">
      <c r="A233" s="55" t="str">
        <f t="shared" si="524"/>
        <v>India &gt; available in future</v>
      </c>
      <c r="B233" s="55" t="s">
        <v>298</v>
      </c>
      <c r="K233" s="56">
        <f t="shared" ref="K233:AP233" ca="1" si="621">IF(K183&gt;0,MAX(0,K158-K207),0)</f>
        <v>0</v>
      </c>
      <c r="L233" s="56">
        <f t="shared" ca="1" si="621"/>
        <v>0</v>
      </c>
      <c r="M233" s="56">
        <f t="shared" ca="1" si="621"/>
        <v>0</v>
      </c>
      <c r="N233" s="56">
        <f t="shared" ca="1" si="621"/>
        <v>0</v>
      </c>
      <c r="O233" s="56">
        <f t="shared" ca="1" si="621"/>
        <v>0</v>
      </c>
      <c r="P233" s="56">
        <f t="shared" ca="1" si="621"/>
        <v>0</v>
      </c>
      <c r="Q233" s="56">
        <f t="shared" ca="1" si="621"/>
        <v>0</v>
      </c>
      <c r="R233" s="56">
        <f t="shared" ca="1" si="621"/>
        <v>0</v>
      </c>
      <c r="S233" s="56">
        <f t="shared" ca="1" si="621"/>
        <v>0</v>
      </c>
      <c r="T233" s="56">
        <f t="shared" ca="1" si="621"/>
        <v>0</v>
      </c>
      <c r="U233" s="56">
        <f t="shared" ca="1" si="621"/>
        <v>0</v>
      </c>
      <c r="V233" s="56">
        <f t="shared" ca="1" si="621"/>
        <v>0</v>
      </c>
      <c r="W233" s="56">
        <f t="shared" ca="1" si="621"/>
        <v>0</v>
      </c>
      <c r="X233" s="56">
        <f t="shared" ca="1" si="621"/>
        <v>0</v>
      </c>
      <c r="Y233" s="56">
        <f t="shared" ca="1" si="621"/>
        <v>0</v>
      </c>
      <c r="Z233" s="56">
        <f t="shared" ca="1" si="621"/>
        <v>0</v>
      </c>
      <c r="AA233" s="56">
        <f t="shared" ca="1" si="621"/>
        <v>0</v>
      </c>
      <c r="AB233" s="56">
        <f t="shared" ca="1" si="621"/>
        <v>0</v>
      </c>
      <c r="AC233" s="56">
        <f t="shared" ca="1" si="621"/>
        <v>0</v>
      </c>
      <c r="AD233" s="56">
        <f t="shared" ca="1" si="621"/>
        <v>0</v>
      </c>
      <c r="AE233" s="56">
        <f t="shared" ca="1" si="621"/>
        <v>0</v>
      </c>
      <c r="AF233" s="56">
        <f t="shared" ca="1" si="621"/>
        <v>0</v>
      </c>
      <c r="AG233" s="56">
        <f t="shared" ca="1" si="621"/>
        <v>0</v>
      </c>
      <c r="AH233" s="56">
        <f t="shared" ca="1" si="621"/>
        <v>0</v>
      </c>
      <c r="AI233" s="56">
        <f t="shared" ca="1" si="621"/>
        <v>0</v>
      </c>
      <c r="AJ233" s="56">
        <f t="shared" ca="1" si="621"/>
        <v>0</v>
      </c>
      <c r="AK233" s="56">
        <f t="shared" ca="1" si="621"/>
        <v>0</v>
      </c>
      <c r="AL233" s="56">
        <f t="shared" ca="1" si="621"/>
        <v>0</v>
      </c>
      <c r="AM233" s="56">
        <f t="shared" ca="1" si="621"/>
        <v>0</v>
      </c>
      <c r="AN233" s="56">
        <f t="shared" ca="1" si="621"/>
        <v>0</v>
      </c>
      <c r="AO233" s="56">
        <f t="shared" ca="1" si="621"/>
        <v>0</v>
      </c>
      <c r="AP233" s="56">
        <f t="shared" ca="1" si="621"/>
        <v>0</v>
      </c>
      <c r="AQ233" s="56">
        <f t="shared" ref="AQ233:BV233" ca="1" si="622">IF(AQ183&gt;0,MAX(0,AQ158-AQ207),0)</f>
        <v>0</v>
      </c>
      <c r="AR233" s="56">
        <f t="shared" ca="1" si="622"/>
        <v>0</v>
      </c>
      <c r="AS233" s="56">
        <f t="shared" ca="1" si="622"/>
        <v>0</v>
      </c>
      <c r="AT233" s="56">
        <f t="shared" ca="1" si="622"/>
        <v>0</v>
      </c>
      <c r="AU233" s="56">
        <f t="shared" ca="1" si="622"/>
        <v>0</v>
      </c>
      <c r="AV233" s="56">
        <f t="shared" ca="1" si="622"/>
        <v>0</v>
      </c>
      <c r="AW233" s="56">
        <f t="shared" ca="1" si="622"/>
        <v>0</v>
      </c>
      <c r="AX233" s="56">
        <f t="shared" ca="1" si="622"/>
        <v>0</v>
      </c>
      <c r="AY233" s="56">
        <f t="shared" ca="1" si="622"/>
        <v>0</v>
      </c>
      <c r="AZ233" s="56">
        <f t="shared" ca="1" si="622"/>
        <v>0</v>
      </c>
      <c r="BA233" s="56">
        <f t="shared" ca="1" si="622"/>
        <v>0</v>
      </c>
      <c r="BB233" s="56">
        <f t="shared" ca="1" si="622"/>
        <v>0</v>
      </c>
      <c r="BC233" s="56">
        <f t="shared" ca="1" si="622"/>
        <v>0</v>
      </c>
      <c r="BD233" s="56">
        <f t="shared" ca="1" si="622"/>
        <v>0</v>
      </c>
      <c r="BE233" s="56">
        <f t="shared" ca="1" si="622"/>
        <v>0</v>
      </c>
      <c r="BF233" s="56">
        <f t="shared" ca="1" si="622"/>
        <v>0</v>
      </c>
      <c r="BG233" s="56">
        <f t="shared" ca="1" si="622"/>
        <v>0</v>
      </c>
      <c r="BH233" s="56">
        <f t="shared" ca="1" si="622"/>
        <v>0</v>
      </c>
      <c r="BI233" s="56">
        <f t="shared" ca="1" si="622"/>
        <v>0</v>
      </c>
      <c r="BJ233" s="56">
        <f t="shared" ca="1" si="622"/>
        <v>0</v>
      </c>
      <c r="BK233" s="56">
        <f t="shared" ca="1" si="622"/>
        <v>0</v>
      </c>
      <c r="BL233" s="56">
        <f t="shared" ca="1" si="622"/>
        <v>0</v>
      </c>
      <c r="BM233" s="56">
        <f t="shared" ca="1" si="622"/>
        <v>0</v>
      </c>
      <c r="BN233" s="56">
        <f t="shared" ca="1" si="622"/>
        <v>0</v>
      </c>
      <c r="BO233" s="56">
        <f t="shared" ca="1" si="622"/>
        <v>0</v>
      </c>
      <c r="BP233" s="56">
        <f t="shared" ca="1" si="622"/>
        <v>0</v>
      </c>
      <c r="BQ233" s="56">
        <f t="shared" ca="1" si="622"/>
        <v>0</v>
      </c>
      <c r="BR233" s="56">
        <f t="shared" ca="1" si="622"/>
        <v>0</v>
      </c>
      <c r="BS233" s="56">
        <f t="shared" ca="1" si="622"/>
        <v>0</v>
      </c>
      <c r="BT233" s="56">
        <f t="shared" ca="1" si="622"/>
        <v>0</v>
      </c>
      <c r="BU233" s="56">
        <f t="shared" ca="1" si="622"/>
        <v>0</v>
      </c>
      <c r="BV233" s="56">
        <f t="shared" ca="1" si="622"/>
        <v>0</v>
      </c>
      <c r="BW233" s="56">
        <f t="shared" ref="BW233:DB233" ca="1" si="623">IF(BW183&gt;0,MAX(0,BW158-BW207),0)</f>
        <v>0</v>
      </c>
      <c r="BX233" s="56">
        <f t="shared" ca="1" si="623"/>
        <v>0</v>
      </c>
      <c r="BY233" s="56">
        <f t="shared" ca="1" si="623"/>
        <v>0</v>
      </c>
      <c r="BZ233" s="56">
        <f t="shared" ca="1" si="623"/>
        <v>0</v>
      </c>
      <c r="CA233" s="56">
        <f t="shared" ca="1" si="623"/>
        <v>0</v>
      </c>
      <c r="CB233" s="56">
        <f t="shared" ca="1" si="623"/>
        <v>0</v>
      </c>
      <c r="CC233" s="56">
        <f t="shared" ca="1" si="623"/>
        <v>0</v>
      </c>
      <c r="CD233" s="56">
        <f t="shared" ca="1" si="623"/>
        <v>0</v>
      </c>
      <c r="CE233" s="56">
        <f t="shared" ca="1" si="623"/>
        <v>0</v>
      </c>
      <c r="CF233" s="56">
        <f t="shared" ca="1" si="623"/>
        <v>0</v>
      </c>
      <c r="CG233" s="56">
        <f t="shared" ca="1" si="623"/>
        <v>0</v>
      </c>
      <c r="CH233" s="56">
        <f t="shared" ca="1" si="623"/>
        <v>0</v>
      </c>
      <c r="CI233" s="56">
        <f t="shared" ca="1" si="623"/>
        <v>0</v>
      </c>
      <c r="CJ233" s="56">
        <f t="shared" ca="1" si="623"/>
        <v>0</v>
      </c>
      <c r="CK233" s="56">
        <f t="shared" si="623"/>
        <v>0</v>
      </c>
      <c r="CL233" s="56">
        <f t="shared" si="623"/>
        <v>0</v>
      </c>
      <c r="CM233" s="56">
        <f t="shared" si="623"/>
        <v>0</v>
      </c>
      <c r="CN233" s="56">
        <f t="shared" si="623"/>
        <v>0</v>
      </c>
      <c r="CO233" s="56">
        <f t="shared" si="623"/>
        <v>0</v>
      </c>
      <c r="CP233" s="56">
        <f t="shared" si="623"/>
        <v>0</v>
      </c>
      <c r="CQ233" s="56">
        <f t="shared" si="623"/>
        <v>0</v>
      </c>
      <c r="CR233" s="56">
        <f t="shared" si="623"/>
        <v>0</v>
      </c>
      <c r="CS233" s="56">
        <f t="shared" si="623"/>
        <v>0</v>
      </c>
      <c r="CT233" s="56">
        <f t="shared" si="623"/>
        <v>0</v>
      </c>
      <c r="CU233" s="56">
        <f t="shared" si="623"/>
        <v>0</v>
      </c>
      <c r="CV233" s="56">
        <f t="shared" si="623"/>
        <v>0</v>
      </c>
      <c r="CW233" s="56">
        <f t="shared" si="623"/>
        <v>0</v>
      </c>
      <c r="CX233" s="56">
        <f t="shared" si="623"/>
        <v>0</v>
      </c>
      <c r="CY233" s="56">
        <f t="shared" si="623"/>
        <v>0</v>
      </c>
      <c r="CZ233" s="56">
        <f t="shared" si="623"/>
        <v>0</v>
      </c>
      <c r="DA233" s="56">
        <f t="shared" si="623"/>
        <v>0</v>
      </c>
      <c r="DB233" s="56">
        <f t="shared" si="623"/>
        <v>0</v>
      </c>
      <c r="DC233" s="56">
        <f t="shared" ref="DC233:EH233" si="624">IF(DC183&gt;0,MAX(0,DC158-DC207),0)</f>
        <v>0</v>
      </c>
      <c r="DD233" s="56">
        <f t="shared" si="624"/>
        <v>0</v>
      </c>
      <c r="DE233" s="56">
        <f t="shared" si="624"/>
        <v>0</v>
      </c>
      <c r="DF233" s="56">
        <f t="shared" si="624"/>
        <v>0</v>
      </c>
      <c r="DG233" s="56">
        <f t="shared" si="624"/>
        <v>0</v>
      </c>
      <c r="DH233" s="56">
        <f t="shared" si="624"/>
        <v>0</v>
      </c>
      <c r="DI233" s="56">
        <f t="shared" si="624"/>
        <v>0</v>
      </c>
      <c r="DJ233" s="56">
        <f t="shared" si="624"/>
        <v>0</v>
      </c>
      <c r="DK233" s="56">
        <f t="shared" si="624"/>
        <v>0</v>
      </c>
      <c r="DL233" s="56">
        <f t="shared" si="624"/>
        <v>0</v>
      </c>
      <c r="DM233" s="56">
        <f t="shared" si="624"/>
        <v>0</v>
      </c>
      <c r="DN233" s="56">
        <f t="shared" si="624"/>
        <v>0</v>
      </c>
      <c r="DO233" s="56">
        <f t="shared" si="624"/>
        <v>0</v>
      </c>
      <c r="DP233" s="56">
        <f t="shared" si="624"/>
        <v>0</v>
      </c>
      <c r="DQ233" s="56">
        <f t="shared" si="624"/>
        <v>0</v>
      </c>
      <c r="DR233" s="56">
        <f t="shared" si="624"/>
        <v>0</v>
      </c>
      <c r="DS233" s="56">
        <f t="shared" si="624"/>
        <v>0</v>
      </c>
      <c r="DT233" s="56">
        <f t="shared" si="624"/>
        <v>0</v>
      </c>
      <c r="DU233" s="56">
        <f t="shared" si="624"/>
        <v>0</v>
      </c>
      <c r="DV233" s="56">
        <f t="shared" si="624"/>
        <v>0</v>
      </c>
      <c r="DW233" s="56">
        <f t="shared" si="624"/>
        <v>0</v>
      </c>
      <c r="DX233" s="56">
        <f t="shared" si="624"/>
        <v>0</v>
      </c>
      <c r="DY233" s="56">
        <f t="shared" si="624"/>
        <v>0</v>
      </c>
      <c r="DZ233" s="56">
        <f t="shared" si="624"/>
        <v>0</v>
      </c>
      <c r="EA233" s="56">
        <f t="shared" si="624"/>
        <v>0</v>
      </c>
      <c r="EB233" s="56">
        <f t="shared" si="624"/>
        <v>0</v>
      </c>
      <c r="EC233" s="56">
        <f t="shared" si="624"/>
        <v>0</v>
      </c>
      <c r="ED233" s="56">
        <f t="shared" si="624"/>
        <v>0</v>
      </c>
      <c r="EE233" s="56">
        <f t="shared" si="624"/>
        <v>0</v>
      </c>
      <c r="EF233" s="56">
        <f t="shared" si="624"/>
        <v>0</v>
      </c>
      <c r="EG233" s="56">
        <f t="shared" si="624"/>
        <v>0</v>
      </c>
      <c r="EH233" s="56">
        <f t="shared" si="624"/>
        <v>0</v>
      </c>
      <c r="EI233" s="56">
        <f t="shared" ref="EI233:FN233" si="625">IF(EI183&gt;0,MAX(0,EI158-EI207),0)</f>
        <v>0</v>
      </c>
      <c r="EJ233" s="56">
        <f t="shared" si="625"/>
        <v>0</v>
      </c>
      <c r="EK233" s="56">
        <f t="shared" si="625"/>
        <v>0</v>
      </c>
      <c r="EL233" s="56">
        <f t="shared" si="625"/>
        <v>0</v>
      </c>
      <c r="EM233" s="56">
        <f t="shared" si="625"/>
        <v>0</v>
      </c>
      <c r="EN233" s="56">
        <f t="shared" si="625"/>
        <v>0</v>
      </c>
      <c r="EO233" s="56">
        <f t="shared" si="625"/>
        <v>0</v>
      </c>
      <c r="EP233" s="56">
        <f t="shared" si="625"/>
        <v>0</v>
      </c>
      <c r="EQ233" s="56">
        <f t="shared" si="625"/>
        <v>0</v>
      </c>
      <c r="ER233" s="56">
        <f t="shared" si="625"/>
        <v>0</v>
      </c>
      <c r="ES233" s="56">
        <f t="shared" si="625"/>
        <v>0</v>
      </c>
      <c r="ET233" s="56">
        <f t="shared" si="625"/>
        <v>0</v>
      </c>
      <c r="EU233" s="56">
        <f t="shared" si="625"/>
        <v>0</v>
      </c>
      <c r="EV233" s="56">
        <f t="shared" si="625"/>
        <v>0</v>
      </c>
      <c r="EW233" s="56">
        <f t="shared" si="625"/>
        <v>0</v>
      </c>
      <c r="EX233" s="56">
        <f t="shared" si="625"/>
        <v>0</v>
      </c>
      <c r="EY233" s="56">
        <f t="shared" si="625"/>
        <v>0</v>
      </c>
      <c r="EZ233" s="56">
        <f t="shared" si="625"/>
        <v>0</v>
      </c>
      <c r="FA233" s="56">
        <f t="shared" si="625"/>
        <v>0</v>
      </c>
      <c r="FB233" s="56">
        <f t="shared" si="625"/>
        <v>0</v>
      </c>
      <c r="FC233" s="56">
        <f t="shared" si="625"/>
        <v>0</v>
      </c>
      <c r="FD233" s="56">
        <f t="shared" si="625"/>
        <v>0</v>
      </c>
      <c r="FE233" s="56">
        <f t="shared" si="625"/>
        <v>0</v>
      </c>
      <c r="FF233" s="56">
        <f t="shared" si="625"/>
        <v>0</v>
      </c>
      <c r="FG233" s="56">
        <f t="shared" si="625"/>
        <v>0</v>
      </c>
      <c r="FH233" s="56">
        <f t="shared" si="625"/>
        <v>0</v>
      </c>
      <c r="FI233" s="56">
        <f t="shared" si="625"/>
        <v>0</v>
      </c>
      <c r="FJ233" s="56">
        <f t="shared" si="625"/>
        <v>0</v>
      </c>
      <c r="FK233" s="56">
        <f t="shared" si="625"/>
        <v>0</v>
      </c>
      <c r="FL233" s="56">
        <f t="shared" si="625"/>
        <v>0</v>
      </c>
      <c r="FM233" s="56">
        <f t="shared" si="625"/>
        <v>0</v>
      </c>
      <c r="FN233" s="56">
        <f t="shared" si="625"/>
        <v>0</v>
      </c>
      <c r="FO233" s="56">
        <f t="shared" ref="FO233:GP233" si="626">IF(FO183&gt;0,MAX(0,FO158-FO207),0)</f>
        <v>0</v>
      </c>
      <c r="FP233" s="56">
        <f t="shared" si="626"/>
        <v>0</v>
      </c>
      <c r="FQ233" s="56">
        <f t="shared" si="626"/>
        <v>0</v>
      </c>
      <c r="FR233" s="56">
        <f t="shared" si="626"/>
        <v>0</v>
      </c>
      <c r="FS233" s="56">
        <f t="shared" si="626"/>
        <v>0</v>
      </c>
      <c r="FT233" s="56">
        <f t="shared" si="626"/>
        <v>0</v>
      </c>
      <c r="FU233" s="56">
        <f t="shared" si="626"/>
        <v>0</v>
      </c>
      <c r="FV233" s="56">
        <f t="shared" si="626"/>
        <v>0</v>
      </c>
      <c r="FW233" s="56">
        <f t="shared" si="626"/>
        <v>0</v>
      </c>
      <c r="FX233" s="56">
        <f t="shared" si="626"/>
        <v>0</v>
      </c>
      <c r="FY233" s="56">
        <f t="shared" si="626"/>
        <v>0</v>
      </c>
      <c r="FZ233" s="56">
        <f t="shared" si="626"/>
        <v>0</v>
      </c>
      <c r="GA233" s="56">
        <f t="shared" si="626"/>
        <v>0</v>
      </c>
      <c r="GB233" s="56">
        <f t="shared" si="626"/>
        <v>0</v>
      </c>
      <c r="GC233" s="56">
        <f t="shared" si="626"/>
        <v>0</v>
      </c>
      <c r="GD233" s="56">
        <f t="shared" si="626"/>
        <v>0</v>
      </c>
      <c r="GE233" s="56">
        <f t="shared" si="626"/>
        <v>0</v>
      </c>
      <c r="GF233" s="56">
        <f t="shared" si="626"/>
        <v>0</v>
      </c>
      <c r="GG233" s="56">
        <f t="shared" si="626"/>
        <v>0</v>
      </c>
      <c r="GH233" s="56">
        <f t="shared" si="626"/>
        <v>0</v>
      </c>
      <c r="GI233" s="56">
        <f t="shared" si="626"/>
        <v>0</v>
      </c>
      <c r="GJ233" s="56">
        <f t="shared" si="626"/>
        <v>0</v>
      </c>
      <c r="GK233" s="56">
        <f t="shared" si="626"/>
        <v>0</v>
      </c>
      <c r="GL233" s="56">
        <f t="shared" si="626"/>
        <v>0</v>
      </c>
      <c r="GM233" s="56">
        <f t="shared" si="626"/>
        <v>0</v>
      </c>
      <c r="GN233" s="56">
        <f t="shared" si="626"/>
        <v>0</v>
      </c>
      <c r="GO233" s="56">
        <f t="shared" si="626"/>
        <v>0</v>
      </c>
      <c r="GP233" s="56">
        <f t="shared" si="626"/>
        <v>0</v>
      </c>
    </row>
    <row r="234" spans="1:198" x14ac:dyDescent="0.35">
      <c r="A234" s="55" t="str">
        <f t="shared" si="524"/>
        <v>UK &gt; available in future</v>
      </c>
      <c r="B234" s="55" t="s">
        <v>298</v>
      </c>
      <c r="K234" s="56">
        <f t="shared" ref="K234:AP234" ca="1" si="627">IF(K184&gt;0,MAX(0,K159-K208),0)</f>
        <v>3.2315789473684191</v>
      </c>
      <c r="L234" s="56">
        <f t="shared" ca="1" si="627"/>
        <v>3.2315789473684191</v>
      </c>
      <c r="M234" s="56">
        <f t="shared" ca="1" si="627"/>
        <v>3.2315789473684191</v>
      </c>
      <c r="N234" s="56">
        <f t="shared" ca="1" si="627"/>
        <v>3.2315789473684191</v>
      </c>
      <c r="O234" s="56">
        <f t="shared" ca="1" si="627"/>
        <v>3.2315789473684191</v>
      </c>
      <c r="P234" s="56">
        <f t="shared" ca="1" si="627"/>
        <v>3.2315789473684191</v>
      </c>
      <c r="Q234" s="56">
        <f t="shared" ca="1" si="627"/>
        <v>3.2315789473684191</v>
      </c>
      <c r="R234" s="56">
        <f t="shared" ca="1" si="627"/>
        <v>3.2315789473684191</v>
      </c>
      <c r="S234" s="56">
        <f t="shared" ca="1" si="627"/>
        <v>3.2315789473684191</v>
      </c>
      <c r="T234" s="56">
        <f t="shared" ca="1" si="627"/>
        <v>3.2315789473684191</v>
      </c>
      <c r="U234" s="56">
        <f t="shared" ca="1" si="627"/>
        <v>3.2298548592859362</v>
      </c>
      <c r="V234" s="56">
        <f t="shared" ca="1" si="627"/>
        <v>3.2246862743293399</v>
      </c>
      <c r="W234" s="56">
        <f t="shared" ca="1" si="627"/>
        <v>3.2160842225194095</v>
      </c>
      <c r="X234" s="56">
        <f t="shared" ca="1" si="627"/>
        <v>3.2040670610681978</v>
      </c>
      <c r="Y234" s="56">
        <f t="shared" ca="1" si="627"/>
        <v>3.1886604352038539</v>
      </c>
      <c r="Z234" s="56">
        <f t="shared" ca="1" si="627"/>
        <v>3.1698972234423941</v>
      </c>
      <c r="AA234" s="56">
        <f t="shared" ca="1" si="627"/>
        <v>3.1478174674232946</v>
      </c>
      <c r="AB234" s="56">
        <f t="shared" ca="1" si="627"/>
        <v>3.1224682864586129</v>
      </c>
      <c r="AC234" s="56">
        <f t="shared" ca="1" si="627"/>
        <v>3.09390377697801</v>
      </c>
      <c r="AD234" s="56">
        <f t="shared" ca="1" si="627"/>
        <v>3.0621848970842294</v>
      </c>
      <c r="AE234" s="56">
        <f t="shared" ca="1" si="627"/>
        <v>3.0273793364654473</v>
      </c>
      <c r="AF234" s="56">
        <f t="shared" ca="1" si="627"/>
        <v>2.9895613719420595</v>
      </c>
      <c r="AG234" s="56">
        <f t="shared" ca="1" si="627"/>
        <v>2.9488117089562031</v>
      </c>
      <c r="AH234" s="56">
        <f t="shared" ca="1" si="627"/>
        <v>2.9052173093422802</v>
      </c>
      <c r="AI234" s="56">
        <f t="shared" ca="1" si="627"/>
        <v>2.8588712057460164</v>
      </c>
      <c r="AJ234" s="56">
        <f t="shared" ca="1" si="627"/>
        <v>2.8098723030881168</v>
      </c>
      <c r="AK234" s="56">
        <f t="shared" ca="1" si="627"/>
        <v>2.7583251674961566</v>
      </c>
      <c r="AL234" s="56">
        <f t="shared" ca="1" si="627"/>
        <v>2.7043398031552215</v>
      </c>
      <c r="AM234" s="56">
        <f t="shared" ca="1" si="627"/>
        <v>2.6480314175534332</v>
      </c>
      <c r="AN234" s="56">
        <f t="shared" ca="1" si="627"/>
        <v>2.5895201756233206</v>
      </c>
      <c r="AO234" s="56">
        <f t="shared" ca="1" si="627"/>
        <v>2.5289309433038696</v>
      </c>
      <c r="AP234" s="56">
        <f t="shared" ca="1" si="627"/>
        <v>2.4663930210702496</v>
      </c>
      <c r="AQ234" s="56">
        <f t="shared" ref="AQ234:BV234" ca="1" si="628">IF(AQ184&gt;0,MAX(0,AQ159-AQ208),0)</f>
        <v>2.4020398680001307</v>
      </c>
      <c r="AR234" s="56">
        <f t="shared" ca="1" si="628"/>
        <v>2.3360088169652471</v>
      </c>
      <c r="AS234" s="56">
        <f t="shared" ca="1" si="628"/>
        <v>2.2684407815561656</v>
      </c>
      <c r="AT234" s="56">
        <f t="shared" ca="1" si="628"/>
        <v>2.199479955365554</v>
      </c>
      <c r="AU234" s="56">
        <f t="shared" ca="1" si="628"/>
        <v>2.1292735042718078</v>
      </c>
      <c r="AV234" s="56">
        <f t="shared" ca="1" si="628"/>
        <v>2.0579712523796267</v>
      </c>
      <c r="AW234" s="56">
        <f t="shared" ca="1" si="628"/>
        <v>1.9857253622878481</v>
      </c>
      <c r="AX234" s="56">
        <f t="shared" ca="1" si="628"/>
        <v>1.9126900103667737</v>
      </c>
      <c r="AY234" s="56">
        <f t="shared" ca="1" si="628"/>
        <v>1.8390210577380408</v>
      </c>
      <c r="AZ234" s="56">
        <f t="shared" ca="1" si="628"/>
        <v>1.7648757176591232</v>
      </c>
      <c r="BA234" s="56">
        <f t="shared" ca="1" si="628"/>
        <v>1.6904122200223242</v>
      </c>
      <c r="BB234" s="56">
        <f t="shared" ca="1" si="628"/>
        <v>1.6157894736842096</v>
      </c>
      <c r="BC234" s="56">
        <f t="shared" ca="1" si="628"/>
        <v>1.5411667273460914</v>
      </c>
      <c r="BD234" s="56">
        <f t="shared" ca="1" si="628"/>
        <v>1.4667032297092959</v>
      </c>
      <c r="BE234" s="56">
        <f t="shared" ca="1" si="628"/>
        <v>1.3925578896303819</v>
      </c>
      <c r="BF234" s="56">
        <f t="shared" ca="1" si="628"/>
        <v>1.3188889370016454</v>
      </c>
      <c r="BG234" s="56">
        <f t="shared" ca="1" si="628"/>
        <v>1.245853585080571</v>
      </c>
      <c r="BH234" s="56">
        <f t="shared" ca="1" si="628"/>
        <v>1.1736076949887924</v>
      </c>
      <c r="BI234" s="56">
        <f t="shared" ca="1" si="628"/>
        <v>1.1023054430966113</v>
      </c>
      <c r="BJ234" s="56">
        <f t="shared" ca="1" si="628"/>
        <v>1.0320989920028616</v>
      </c>
      <c r="BK234" s="56">
        <f t="shared" ca="1" si="628"/>
        <v>0.96313816581225709</v>
      </c>
      <c r="BL234" s="56">
        <f t="shared" ca="1" si="628"/>
        <v>0.89557013040317557</v>
      </c>
      <c r="BM234" s="56">
        <f t="shared" ca="1" si="628"/>
        <v>0.82953907936829197</v>
      </c>
      <c r="BN234" s="56">
        <f t="shared" ca="1" si="628"/>
        <v>0.76518592629816951</v>
      </c>
      <c r="BO234" s="56">
        <f t="shared" ca="1" si="628"/>
        <v>0.70264800406454953</v>
      </c>
      <c r="BP234" s="56">
        <f t="shared" ca="1" si="628"/>
        <v>0.64205877174509851</v>
      </c>
      <c r="BQ234" s="56">
        <f t="shared" ca="1" si="628"/>
        <v>0.58354752981498947</v>
      </c>
      <c r="BR234" s="56">
        <f t="shared" ca="1" si="628"/>
        <v>0.52723914421319407</v>
      </c>
      <c r="BS234" s="56">
        <f t="shared" ca="1" si="628"/>
        <v>0.47325377987226247</v>
      </c>
      <c r="BT234" s="56">
        <f t="shared" ca="1" si="628"/>
        <v>0.42170664428030591</v>
      </c>
      <c r="BU234" s="56">
        <f t="shared" ca="1" si="628"/>
        <v>0.37270774162240272</v>
      </c>
      <c r="BV234" s="56">
        <f t="shared" ca="1" si="628"/>
        <v>0.32636163802613893</v>
      </c>
      <c r="BW234" s="56">
        <f t="shared" ref="BW234:DB234" ca="1" si="629">IF(BW184&gt;0,MAX(0,BW159-BW208),0)</f>
        <v>0.28276723841221951</v>
      </c>
      <c r="BX234" s="56">
        <f t="shared" ca="1" si="629"/>
        <v>0.2420175754263596</v>
      </c>
      <c r="BY234" s="56">
        <f t="shared" ca="1" si="629"/>
        <v>0.20419961090297178</v>
      </c>
      <c r="BZ234" s="56">
        <f t="shared" ca="1" si="629"/>
        <v>0.16939405028418975</v>
      </c>
      <c r="CA234" s="56">
        <f t="shared" ca="1" si="629"/>
        <v>0.13767517039040911</v>
      </c>
      <c r="CB234" s="56">
        <f t="shared" ca="1" si="629"/>
        <v>0.10911066090980626</v>
      </c>
      <c r="CC234" s="56">
        <f t="shared" ca="1" si="629"/>
        <v>8.3761479945124506E-2</v>
      </c>
      <c r="CD234" s="56">
        <f t="shared" ca="1" si="629"/>
        <v>6.1681723926025001E-2</v>
      </c>
      <c r="CE234" s="56">
        <f t="shared" ca="1" si="629"/>
        <v>4.2918512164565215E-2</v>
      </c>
      <c r="CF234" s="56">
        <f t="shared" ca="1" si="629"/>
        <v>2.751188630022483E-2</v>
      </c>
      <c r="CG234" s="56">
        <f t="shared" ca="1" si="629"/>
        <v>1.5494724849013153E-2</v>
      </c>
      <c r="CH234" s="56">
        <f t="shared" ca="1" si="629"/>
        <v>6.8926730390792557E-3</v>
      </c>
      <c r="CI234" s="56">
        <f t="shared" ca="1" si="629"/>
        <v>1.7240880824829219E-3</v>
      </c>
      <c r="CJ234" s="56">
        <f t="shared" ca="1" si="629"/>
        <v>0</v>
      </c>
      <c r="CK234" s="56">
        <f t="shared" si="629"/>
        <v>0</v>
      </c>
      <c r="CL234" s="56">
        <f t="shared" si="629"/>
        <v>0</v>
      </c>
      <c r="CM234" s="56">
        <f t="shared" si="629"/>
        <v>0</v>
      </c>
      <c r="CN234" s="56">
        <f t="shared" si="629"/>
        <v>0</v>
      </c>
      <c r="CO234" s="56">
        <f t="shared" si="629"/>
        <v>0</v>
      </c>
      <c r="CP234" s="56">
        <f t="shared" si="629"/>
        <v>0</v>
      </c>
      <c r="CQ234" s="56">
        <f t="shared" si="629"/>
        <v>0</v>
      </c>
      <c r="CR234" s="56">
        <f t="shared" si="629"/>
        <v>0</v>
      </c>
      <c r="CS234" s="56">
        <f t="shared" si="629"/>
        <v>0</v>
      </c>
      <c r="CT234" s="56">
        <f t="shared" si="629"/>
        <v>0</v>
      </c>
      <c r="CU234" s="56">
        <f t="shared" si="629"/>
        <v>0</v>
      </c>
      <c r="CV234" s="56">
        <f t="shared" si="629"/>
        <v>0</v>
      </c>
      <c r="CW234" s="56">
        <f t="shared" si="629"/>
        <v>0</v>
      </c>
      <c r="CX234" s="56">
        <f t="shared" si="629"/>
        <v>0</v>
      </c>
      <c r="CY234" s="56">
        <f t="shared" si="629"/>
        <v>0</v>
      </c>
      <c r="CZ234" s="56">
        <f t="shared" si="629"/>
        <v>0</v>
      </c>
      <c r="DA234" s="56">
        <f t="shared" si="629"/>
        <v>0</v>
      </c>
      <c r="DB234" s="56">
        <f t="shared" si="629"/>
        <v>0</v>
      </c>
      <c r="DC234" s="56">
        <f t="shared" ref="DC234:EH234" si="630">IF(DC184&gt;0,MAX(0,DC159-DC208),0)</f>
        <v>0</v>
      </c>
      <c r="DD234" s="56">
        <f t="shared" si="630"/>
        <v>0</v>
      </c>
      <c r="DE234" s="56">
        <f t="shared" si="630"/>
        <v>0</v>
      </c>
      <c r="DF234" s="56">
        <f t="shared" si="630"/>
        <v>0</v>
      </c>
      <c r="DG234" s="56">
        <f t="shared" si="630"/>
        <v>0</v>
      </c>
      <c r="DH234" s="56">
        <f t="shared" si="630"/>
        <v>0</v>
      </c>
      <c r="DI234" s="56">
        <f t="shared" si="630"/>
        <v>0</v>
      </c>
      <c r="DJ234" s="56">
        <f t="shared" si="630"/>
        <v>0</v>
      </c>
      <c r="DK234" s="56">
        <f t="shared" si="630"/>
        <v>0</v>
      </c>
      <c r="DL234" s="56">
        <f t="shared" si="630"/>
        <v>0</v>
      </c>
      <c r="DM234" s="56">
        <f t="shared" si="630"/>
        <v>0</v>
      </c>
      <c r="DN234" s="56">
        <f t="shared" si="630"/>
        <v>0</v>
      </c>
      <c r="DO234" s="56">
        <f t="shared" si="630"/>
        <v>0</v>
      </c>
      <c r="DP234" s="56">
        <f t="shared" si="630"/>
        <v>0</v>
      </c>
      <c r="DQ234" s="56">
        <f t="shared" si="630"/>
        <v>0</v>
      </c>
      <c r="DR234" s="56">
        <f t="shared" si="630"/>
        <v>0</v>
      </c>
      <c r="DS234" s="56">
        <f t="shared" si="630"/>
        <v>0</v>
      </c>
      <c r="DT234" s="56">
        <f t="shared" si="630"/>
        <v>0</v>
      </c>
      <c r="DU234" s="56">
        <f t="shared" si="630"/>
        <v>0</v>
      </c>
      <c r="DV234" s="56">
        <f t="shared" si="630"/>
        <v>0</v>
      </c>
      <c r="DW234" s="56">
        <f t="shared" si="630"/>
        <v>0</v>
      </c>
      <c r="DX234" s="56">
        <f t="shared" si="630"/>
        <v>0</v>
      </c>
      <c r="DY234" s="56">
        <f t="shared" si="630"/>
        <v>0</v>
      </c>
      <c r="DZ234" s="56">
        <f t="shared" si="630"/>
        <v>0</v>
      </c>
      <c r="EA234" s="56">
        <f t="shared" si="630"/>
        <v>0</v>
      </c>
      <c r="EB234" s="56">
        <f t="shared" si="630"/>
        <v>0</v>
      </c>
      <c r="EC234" s="56">
        <f t="shared" si="630"/>
        <v>0</v>
      </c>
      <c r="ED234" s="56">
        <f t="shared" si="630"/>
        <v>0</v>
      </c>
      <c r="EE234" s="56">
        <f t="shared" si="630"/>
        <v>0</v>
      </c>
      <c r="EF234" s="56">
        <f t="shared" si="630"/>
        <v>0</v>
      </c>
      <c r="EG234" s="56">
        <f t="shared" si="630"/>
        <v>0</v>
      </c>
      <c r="EH234" s="56">
        <f t="shared" si="630"/>
        <v>0</v>
      </c>
      <c r="EI234" s="56">
        <f t="shared" ref="EI234:FN234" si="631">IF(EI184&gt;0,MAX(0,EI159-EI208),0)</f>
        <v>0</v>
      </c>
      <c r="EJ234" s="56">
        <f t="shared" si="631"/>
        <v>0</v>
      </c>
      <c r="EK234" s="56">
        <f t="shared" si="631"/>
        <v>0</v>
      </c>
      <c r="EL234" s="56">
        <f t="shared" si="631"/>
        <v>0</v>
      </c>
      <c r="EM234" s="56">
        <f t="shared" si="631"/>
        <v>0</v>
      </c>
      <c r="EN234" s="56">
        <f t="shared" si="631"/>
        <v>0</v>
      </c>
      <c r="EO234" s="56">
        <f t="shared" si="631"/>
        <v>0</v>
      </c>
      <c r="EP234" s="56">
        <f t="shared" si="631"/>
        <v>0</v>
      </c>
      <c r="EQ234" s="56">
        <f t="shared" si="631"/>
        <v>0</v>
      </c>
      <c r="ER234" s="56">
        <f t="shared" si="631"/>
        <v>0</v>
      </c>
      <c r="ES234" s="56">
        <f t="shared" si="631"/>
        <v>0</v>
      </c>
      <c r="ET234" s="56">
        <f t="shared" si="631"/>
        <v>0</v>
      </c>
      <c r="EU234" s="56">
        <f t="shared" si="631"/>
        <v>0</v>
      </c>
      <c r="EV234" s="56">
        <f t="shared" si="631"/>
        <v>0</v>
      </c>
      <c r="EW234" s="56">
        <f t="shared" si="631"/>
        <v>0</v>
      </c>
      <c r="EX234" s="56">
        <f t="shared" si="631"/>
        <v>0</v>
      </c>
      <c r="EY234" s="56">
        <f t="shared" si="631"/>
        <v>0</v>
      </c>
      <c r="EZ234" s="56">
        <f t="shared" si="631"/>
        <v>0</v>
      </c>
      <c r="FA234" s="56">
        <f t="shared" si="631"/>
        <v>0</v>
      </c>
      <c r="FB234" s="56">
        <f t="shared" si="631"/>
        <v>0</v>
      </c>
      <c r="FC234" s="56">
        <f t="shared" si="631"/>
        <v>0</v>
      </c>
      <c r="FD234" s="56">
        <f t="shared" si="631"/>
        <v>0</v>
      </c>
      <c r="FE234" s="56">
        <f t="shared" si="631"/>
        <v>0</v>
      </c>
      <c r="FF234" s="56">
        <f t="shared" si="631"/>
        <v>0</v>
      </c>
      <c r="FG234" s="56">
        <f t="shared" si="631"/>
        <v>0</v>
      </c>
      <c r="FH234" s="56">
        <f t="shared" si="631"/>
        <v>0</v>
      </c>
      <c r="FI234" s="56">
        <f t="shared" si="631"/>
        <v>0</v>
      </c>
      <c r="FJ234" s="56">
        <f t="shared" si="631"/>
        <v>0</v>
      </c>
      <c r="FK234" s="56">
        <f t="shared" si="631"/>
        <v>0</v>
      </c>
      <c r="FL234" s="56">
        <f t="shared" si="631"/>
        <v>0</v>
      </c>
      <c r="FM234" s="56">
        <f t="shared" si="631"/>
        <v>0</v>
      </c>
      <c r="FN234" s="56">
        <f t="shared" si="631"/>
        <v>0</v>
      </c>
      <c r="FO234" s="56">
        <f t="shared" ref="FO234:GP234" si="632">IF(FO184&gt;0,MAX(0,FO159-FO208),0)</f>
        <v>0</v>
      </c>
      <c r="FP234" s="56">
        <f t="shared" si="632"/>
        <v>0</v>
      </c>
      <c r="FQ234" s="56">
        <f t="shared" si="632"/>
        <v>0</v>
      </c>
      <c r="FR234" s="56">
        <f t="shared" si="632"/>
        <v>0</v>
      </c>
      <c r="FS234" s="56">
        <f t="shared" si="632"/>
        <v>0</v>
      </c>
      <c r="FT234" s="56">
        <f t="shared" si="632"/>
        <v>0</v>
      </c>
      <c r="FU234" s="56">
        <f t="shared" si="632"/>
        <v>0</v>
      </c>
      <c r="FV234" s="56">
        <f t="shared" si="632"/>
        <v>0</v>
      </c>
      <c r="FW234" s="56">
        <f t="shared" si="632"/>
        <v>0</v>
      </c>
      <c r="FX234" s="56">
        <f t="shared" si="632"/>
        <v>0</v>
      </c>
      <c r="FY234" s="56">
        <f t="shared" si="632"/>
        <v>0</v>
      </c>
      <c r="FZ234" s="56">
        <f t="shared" si="632"/>
        <v>0</v>
      </c>
      <c r="GA234" s="56">
        <f t="shared" si="632"/>
        <v>0</v>
      </c>
      <c r="GB234" s="56">
        <f t="shared" si="632"/>
        <v>0</v>
      </c>
      <c r="GC234" s="56">
        <f t="shared" si="632"/>
        <v>0</v>
      </c>
      <c r="GD234" s="56">
        <f t="shared" si="632"/>
        <v>0</v>
      </c>
      <c r="GE234" s="56">
        <f t="shared" si="632"/>
        <v>0</v>
      </c>
      <c r="GF234" s="56">
        <f t="shared" si="632"/>
        <v>0</v>
      </c>
      <c r="GG234" s="56">
        <f t="shared" si="632"/>
        <v>0</v>
      </c>
      <c r="GH234" s="56">
        <f t="shared" si="632"/>
        <v>0</v>
      </c>
      <c r="GI234" s="56">
        <f t="shared" si="632"/>
        <v>0</v>
      </c>
      <c r="GJ234" s="56">
        <f t="shared" si="632"/>
        <v>0</v>
      </c>
      <c r="GK234" s="56">
        <f t="shared" si="632"/>
        <v>0</v>
      </c>
      <c r="GL234" s="56">
        <f t="shared" si="632"/>
        <v>0</v>
      </c>
      <c r="GM234" s="56">
        <f t="shared" si="632"/>
        <v>0</v>
      </c>
      <c r="GN234" s="56">
        <f t="shared" si="632"/>
        <v>0</v>
      </c>
      <c r="GO234" s="56">
        <f t="shared" si="632"/>
        <v>0</v>
      </c>
      <c r="GP234" s="56">
        <f t="shared" si="632"/>
        <v>0</v>
      </c>
    </row>
    <row r="235" spans="1:198" x14ac:dyDescent="0.35">
      <c r="A235" s="55" t="str">
        <f t="shared" si="524"/>
        <v>LATAM &gt; available in future</v>
      </c>
      <c r="B235" s="55" t="s">
        <v>298</v>
      </c>
      <c r="K235" s="56">
        <f t="shared" ref="K235:AP235" ca="1" si="633">IF(K185&gt;0,MAX(0,K160-K209),0)</f>
        <v>2.0210526315789465</v>
      </c>
      <c r="L235" s="56">
        <f t="shared" ca="1" si="633"/>
        <v>2.0210526315789465</v>
      </c>
      <c r="M235" s="56">
        <f t="shared" ca="1" si="633"/>
        <v>2.0210526315789465</v>
      </c>
      <c r="N235" s="56">
        <f t="shared" ca="1" si="633"/>
        <v>2.0210526315789465</v>
      </c>
      <c r="O235" s="56">
        <f t="shared" ca="1" si="633"/>
        <v>2.0210526315789465</v>
      </c>
      <c r="P235" s="56">
        <f t="shared" ca="1" si="633"/>
        <v>2.0210526315789465</v>
      </c>
      <c r="Q235" s="56">
        <f t="shared" ca="1" si="633"/>
        <v>2.0210526315789465</v>
      </c>
      <c r="R235" s="56">
        <f t="shared" ca="1" si="633"/>
        <v>2.0210526315789465</v>
      </c>
      <c r="S235" s="56">
        <f t="shared" ca="1" si="633"/>
        <v>2.0210526315789465</v>
      </c>
      <c r="T235" s="56">
        <f t="shared" ca="1" si="633"/>
        <v>2.0210526315789465</v>
      </c>
      <c r="U235" s="56">
        <f t="shared" ca="1" si="633"/>
        <v>2.0199743745371315</v>
      </c>
      <c r="V235" s="56">
        <f t="shared" ca="1" si="633"/>
        <v>2.01674190446656</v>
      </c>
      <c r="W235" s="56">
        <f t="shared" ca="1" si="633"/>
        <v>2.011362119621257</v>
      </c>
      <c r="X235" s="56">
        <f t="shared" ca="1" si="633"/>
        <v>2.0038465007332071</v>
      </c>
      <c r="Y235" s="56">
        <f t="shared" ca="1" si="633"/>
        <v>1.9942110865118572</v>
      </c>
      <c r="Z235" s="56">
        <f t="shared" ca="1" si="633"/>
        <v>1.9824764394167431</v>
      </c>
      <c r="AA235" s="56">
        <f t="shared" ca="1" si="633"/>
        <v>1.9686676017761329</v>
      </c>
      <c r="AB235" s="56">
        <f t="shared" ca="1" si="633"/>
        <v>1.9528140423454516</v>
      </c>
      <c r="AC235" s="56">
        <f t="shared" ca="1" si="633"/>
        <v>1.9349495934194714</v>
      </c>
      <c r="AD235" s="56">
        <f t="shared" ca="1" si="633"/>
        <v>1.9151123786324824</v>
      </c>
      <c r="AE235" s="56">
        <f t="shared" ca="1" si="633"/>
        <v>1.8933447316005427</v>
      </c>
      <c r="AF235" s="56">
        <f t="shared" ca="1" si="633"/>
        <v>1.8696931055793975</v>
      </c>
      <c r="AG235" s="56">
        <f t="shared" ca="1" si="633"/>
        <v>1.8442079743309172</v>
      </c>
      <c r="AH235" s="56">
        <f t="shared" ca="1" si="633"/>
        <v>1.816943724409505</v>
      </c>
      <c r="AI235" s="56">
        <f t="shared" ca="1" si="633"/>
        <v>1.78795853909849</v>
      </c>
      <c r="AJ235" s="56">
        <f t="shared" ca="1" si="633"/>
        <v>1.7573142742440346</v>
      </c>
      <c r="AK235" s="56">
        <f t="shared" ca="1" si="633"/>
        <v>1.7250763262516671</v>
      </c>
      <c r="AL235" s="56">
        <f t="shared" ca="1" si="633"/>
        <v>1.6913134925270477</v>
      </c>
      <c r="AM235" s="56">
        <f t="shared" ca="1" si="633"/>
        <v>1.656097824658822</v>
      </c>
      <c r="AN235" s="56">
        <f t="shared" ca="1" si="633"/>
        <v>1.6195044746569316</v>
      </c>
      <c r="AO235" s="56">
        <f t="shared" ca="1" si="633"/>
        <v>1.5816115345744066</v>
      </c>
      <c r="AP235" s="56">
        <f t="shared" ca="1" si="633"/>
        <v>1.5424998698550141</v>
      </c>
      <c r="AQ235" s="56">
        <f t="shared" ref="AQ235:BV235" ca="1" si="634">IF(AQ185&gt;0,MAX(0,AQ160-AQ209),0)</f>
        <v>1.5022529467622974</v>
      </c>
      <c r="AR235" s="56">
        <f t="shared" ca="1" si="634"/>
        <v>1.4609566542583963</v>
      </c>
      <c r="AS235" s="56">
        <f t="shared" ca="1" si="634"/>
        <v>1.4186991207126525</v>
      </c>
      <c r="AT235" s="56">
        <f t="shared" ca="1" si="634"/>
        <v>1.375570525831229</v>
      </c>
      <c r="AU235" s="56">
        <f t="shared" ca="1" si="634"/>
        <v>1.3316629082090792</v>
      </c>
      <c r="AV235" s="56">
        <f t="shared" ca="1" si="634"/>
        <v>1.2870699689149454</v>
      </c>
      <c r="AW235" s="56">
        <f t="shared" ca="1" si="634"/>
        <v>1.2418868715285569</v>
      </c>
      <c r="AX235" s="56">
        <f t="shared" ca="1" si="634"/>
        <v>1.1962100390567443</v>
      </c>
      <c r="AY235" s="56">
        <f t="shared" ca="1" si="634"/>
        <v>1.1501369481619008</v>
      </c>
      <c r="AZ235" s="56">
        <f t="shared" ca="1" si="634"/>
        <v>1.1037659211418642</v>
      </c>
      <c r="BA235" s="56">
        <f t="shared" ca="1" si="634"/>
        <v>1.0571959161051687</v>
      </c>
      <c r="BB235" s="56">
        <f t="shared" ca="1" si="634"/>
        <v>1.0105263157894768</v>
      </c>
      <c r="BC235" s="56">
        <f t="shared" ca="1" si="634"/>
        <v>0.96385671547378138</v>
      </c>
      <c r="BD235" s="56">
        <f t="shared" ca="1" si="634"/>
        <v>0.91728671043708232</v>
      </c>
      <c r="BE235" s="56">
        <f t="shared" ca="1" si="634"/>
        <v>0.87091568341704573</v>
      </c>
      <c r="BF235" s="56">
        <f t="shared" ca="1" si="634"/>
        <v>0.82484259252220227</v>
      </c>
      <c r="BG235" s="56">
        <f t="shared" ca="1" si="634"/>
        <v>0.77916576005038962</v>
      </c>
      <c r="BH235" s="56">
        <f t="shared" ca="1" si="634"/>
        <v>0.73398266266400114</v>
      </c>
      <c r="BI235" s="56">
        <f t="shared" ca="1" si="634"/>
        <v>0.68938972336986737</v>
      </c>
      <c r="BJ235" s="56">
        <f t="shared" ca="1" si="634"/>
        <v>0.64548210574772114</v>
      </c>
      <c r="BK235" s="56">
        <f t="shared" ca="1" si="634"/>
        <v>0.60235351086629407</v>
      </c>
      <c r="BL235" s="56">
        <f t="shared" ca="1" si="634"/>
        <v>0.56009597732055028</v>
      </c>
      <c r="BM235" s="56">
        <f t="shared" ca="1" si="634"/>
        <v>0.51879968481664918</v>
      </c>
      <c r="BN235" s="56">
        <f t="shared" ca="1" si="634"/>
        <v>0.47855276172393246</v>
      </c>
      <c r="BO235" s="56">
        <f t="shared" ca="1" si="634"/>
        <v>0.43944109700453993</v>
      </c>
      <c r="BP235" s="56">
        <f t="shared" ca="1" si="634"/>
        <v>0.40154815692201495</v>
      </c>
      <c r="BQ235" s="56">
        <f t="shared" ca="1" si="634"/>
        <v>0.3649548069201245</v>
      </c>
      <c r="BR235" s="56">
        <f t="shared" ca="1" si="634"/>
        <v>0.32973913905189889</v>
      </c>
      <c r="BS235" s="56">
        <f t="shared" ca="1" si="634"/>
        <v>0.29597630532727948</v>
      </c>
      <c r="BT235" s="56">
        <f t="shared" ca="1" si="634"/>
        <v>0.26373835733491191</v>
      </c>
      <c r="BU235" s="56">
        <f t="shared" ca="1" si="634"/>
        <v>0.23309409248045654</v>
      </c>
      <c r="BV235" s="56">
        <f t="shared" ca="1" si="634"/>
        <v>0.20410890716944152</v>
      </c>
      <c r="BW235" s="56">
        <f t="shared" ref="BW235:DB235" ca="1" si="635">IF(BW185&gt;0,MAX(0,BW160-BW209),0)</f>
        <v>0.17684465724802934</v>
      </c>
      <c r="BX235" s="56">
        <f t="shared" ca="1" si="635"/>
        <v>0.15135952599954905</v>
      </c>
      <c r="BY235" s="56">
        <f t="shared" ca="1" si="635"/>
        <v>0.12770789997840382</v>
      </c>
      <c r="BZ235" s="56">
        <f t="shared" ca="1" si="635"/>
        <v>0.10594025294646414</v>
      </c>
      <c r="CA235" s="56">
        <f t="shared" ca="1" si="635"/>
        <v>8.6103038159475176E-2</v>
      </c>
      <c r="CB235" s="56">
        <f t="shared" ca="1" si="635"/>
        <v>6.8238589233494906E-2</v>
      </c>
      <c r="CC235" s="56">
        <f t="shared" ca="1" si="635"/>
        <v>5.2385029802813676E-2</v>
      </c>
      <c r="CD235" s="56">
        <f t="shared" ca="1" si="635"/>
        <v>3.8576192162203427E-2</v>
      </c>
      <c r="CE235" s="56">
        <f t="shared" ca="1" si="635"/>
        <v>2.6841545067089356E-2</v>
      </c>
      <c r="CF235" s="56">
        <f t="shared" ca="1" si="635"/>
        <v>1.7206130845739409E-2</v>
      </c>
      <c r="CG235" s="56">
        <f t="shared" ca="1" si="635"/>
        <v>9.6905119576895515E-3</v>
      </c>
      <c r="CH235" s="56">
        <f t="shared" ca="1" si="635"/>
        <v>4.3107271123865587E-3</v>
      </c>
      <c r="CI235" s="56">
        <f t="shared" ca="1" si="635"/>
        <v>1.0782570418150783E-3</v>
      </c>
      <c r="CJ235" s="56">
        <f t="shared" ca="1" si="635"/>
        <v>0</v>
      </c>
      <c r="CK235" s="56">
        <f t="shared" si="635"/>
        <v>0</v>
      </c>
      <c r="CL235" s="56">
        <f t="shared" si="635"/>
        <v>0</v>
      </c>
      <c r="CM235" s="56">
        <f t="shared" si="635"/>
        <v>0</v>
      </c>
      <c r="CN235" s="56">
        <f t="shared" si="635"/>
        <v>0</v>
      </c>
      <c r="CO235" s="56">
        <f t="shared" si="635"/>
        <v>0</v>
      </c>
      <c r="CP235" s="56">
        <f t="shared" si="635"/>
        <v>0</v>
      </c>
      <c r="CQ235" s="56">
        <f t="shared" si="635"/>
        <v>0</v>
      </c>
      <c r="CR235" s="56">
        <f t="shared" si="635"/>
        <v>0</v>
      </c>
      <c r="CS235" s="56">
        <f t="shared" si="635"/>
        <v>0</v>
      </c>
      <c r="CT235" s="56">
        <f t="shared" si="635"/>
        <v>0</v>
      </c>
      <c r="CU235" s="56">
        <f t="shared" si="635"/>
        <v>0</v>
      </c>
      <c r="CV235" s="56">
        <f t="shared" si="635"/>
        <v>0</v>
      </c>
      <c r="CW235" s="56">
        <f t="shared" si="635"/>
        <v>0</v>
      </c>
      <c r="CX235" s="56">
        <f t="shared" si="635"/>
        <v>0</v>
      </c>
      <c r="CY235" s="56">
        <f t="shared" si="635"/>
        <v>0</v>
      </c>
      <c r="CZ235" s="56">
        <f t="shared" si="635"/>
        <v>0</v>
      </c>
      <c r="DA235" s="56">
        <f t="shared" si="635"/>
        <v>0</v>
      </c>
      <c r="DB235" s="56">
        <f t="shared" si="635"/>
        <v>0</v>
      </c>
      <c r="DC235" s="56">
        <f t="shared" ref="DC235:EH235" si="636">IF(DC185&gt;0,MAX(0,DC160-DC209),0)</f>
        <v>0</v>
      </c>
      <c r="DD235" s="56">
        <f t="shared" si="636"/>
        <v>0</v>
      </c>
      <c r="DE235" s="56">
        <f t="shared" si="636"/>
        <v>0</v>
      </c>
      <c r="DF235" s="56">
        <f t="shared" si="636"/>
        <v>0</v>
      </c>
      <c r="DG235" s="56">
        <f t="shared" si="636"/>
        <v>0</v>
      </c>
      <c r="DH235" s="56">
        <f t="shared" si="636"/>
        <v>0</v>
      </c>
      <c r="DI235" s="56">
        <f t="shared" si="636"/>
        <v>0</v>
      </c>
      <c r="DJ235" s="56">
        <f t="shared" si="636"/>
        <v>0</v>
      </c>
      <c r="DK235" s="56">
        <f t="shared" si="636"/>
        <v>0</v>
      </c>
      <c r="DL235" s="56">
        <f t="shared" si="636"/>
        <v>0</v>
      </c>
      <c r="DM235" s="56">
        <f t="shared" si="636"/>
        <v>0</v>
      </c>
      <c r="DN235" s="56">
        <f t="shared" si="636"/>
        <v>0</v>
      </c>
      <c r="DO235" s="56">
        <f t="shared" si="636"/>
        <v>0</v>
      </c>
      <c r="DP235" s="56">
        <f t="shared" si="636"/>
        <v>0</v>
      </c>
      <c r="DQ235" s="56">
        <f t="shared" si="636"/>
        <v>0</v>
      </c>
      <c r="DR235" s="56">
        <f t="shared" si="636"/>
        <v>0</v>
      </c>
      <c r="DS235" s="56">
        <f t="shared" si="636"/>
        <v>0</v>
      </c>
      <c r="DT235" s="56">
        <f t="shared" si="636"/>
        <v>0</v>
      </c>
      <c r="DU235" s="56">
        <f t="shared" si="636"/>
        <v>0</v>
      </c>
      <c r="DV235" s="56">
        <f t="shared" si="636"/>
        <v>0</v>
      </c>
      <c r="DW235" s="56">
        <f t="shared" si="636"/>
        <v>0</v>
      </c>
      <c r="DX235" s="56">
        <f t="shared" si="636"/>
        <v>0</v>
      </c>
      <c r="DY235" s="56">
        <f t="shared" si="636"/>
        <v>0</v>
      </c>
      <c r="DZ235" s="56">
        <f t="shared" si="636"/>
        <v>0</v>
      </c>
      <c r="EA235" s="56">
        <f t="shared" si="636"/>
        <v>0</v>
      </c>
      <c r="EB235" s="56">
        <f t="shared" si="636"/>
        <v>0</v>
      </c>
      <c r="EC235" s="56">
        <f t="shared" si="636"/>
        <v>0</v>
      </c>
      <c r="ED235" s="56">
        <f t="shared" si="636"/>
        <v>0</v>
      </c>
      <c r="EE235" s="56">
        <f t="shared" si="636"/>
        <v>0</v>
      </c>
      <c r="EF235" s="56">
        <f t="shared" si="636"/>
        <v>0</v>
      </c>
      <c r="EG235" s="56">
        <f t="shared" si="636"/>
        <v>0</v>
      </c>
      <c r="EH235" s="56">
        <f t="shared" si="636"/>
        <v>0</v>
      </c>
      <c r="EI235" s="56">
        <f t="shared" ref="EI235:FN235" si="637">IF(EI185&gt;0,MAX(0,EI160-EI209),0)</f>
        <v>0</v>
      </c>
      <c r="EJ235" s="56">
        <f t="shared" si="637"/>
        <v>0</v>
      </c>
      <c r="EK235" s="56">
        <f t="shared" si="637"/>
        <v>0</v>
      </c>
      <c r="EL235" s="56">
        <f t="shared" si="637"/>
        <v>0</v>
      </c>
      <c r="EM235" s="56">
        <f t="shared" si="637"/>
        <v>0</v>
      </c>
      <c r="EN235" s="56">
        <f t="shared" si="637"/>
        <v>0</v>
      </c>
      <c r="EO235" s="56">
        <f t="shared" si="637"/>
        <v>0</v>
      </c>
      <c r="EP235" s="56">
        <f t="shared" si="637"/>
        <v>0</v>
      </c>
      <c r="EQ235" s="56">
        <f t="shared" si="637"/>
        <v>0</v>
      </c>
      <c r="ER235" s="56">
        <f t="shared" si="637"/>
        <v>0</v>
      </c>
      <c r="ES235" s="56">
        <f t="shared" si="637"/>
        <v>0</v>
      </c>
      <c r="ET235" s="56">
        <f t="shared" si="637"/>
        <v>0</v>
      </c>
      <c r="EU235" s="56">
        <f t="shared" si="637"/>
        <v>0</v>
      </c>
      <c r="EV235" s="56">
        <f t="shared" si="637"/>
        <v>0</v>
      </c>
      <c r="EW235" s="56">
        <f t="shared" si="637"/>
        <v>0</v>
      </c>
      <c r="EX235" s="56">
        <f t="shared" si="637"/>
        <v>0</v>
      </c>
      <c r="EY235" s="56">
        <f t="shared" si="637"/>
        <v>0</v>
      </c>
      <c r="EZ235" s="56">
        <f t="shared" si="637"/>
        <v>0</v>
      </c>
      <c r="FA235" s="56">
        <f t="shared" si="637"/>
        <v>0</v>
      </c>
      <c r="FB235" s="56">
        <f t="shared" si="637"/>
        <v>0</v>
      </c>
      <c r="FC235" s="56">
        <f t="shared" si="637"/>
        <v>0</v>
      </c>
      <c r="FD235" s="56">
        <f t="shared" si="637"/>
        <v>0</v>
      </c>
      <c r="FE235" s="56">
        <f t="shared" si="637"/>
        <v>0</v>
      </c>
      <c r="FF235" s="56">
        <f t="shared" si="637"/>
        <v>0</v>
      </c>
      <c r="FG235" s="56">
        <f t="shared" si="637"/>
        <v>0</v>
      </c>
      <c r="FH235" s="56">
        <f t="shared" si="637"/>
        <v>0</v>
      </c>
      <c r="FI235" s="56">
        <f t="shared" si="637"/>
        <v>0</v>
      </c>
      <c r="FJ235" s="56">
        <f t="shared" si="637"/>
        <v>0</v>
      </c>
      <c r="FK235" s="56">
        <f t="shared" si="637"/>
        <v>0</v>
      </c>
      <c r="FL235" s="56">
        <f t="shared" si="637"/>
        <v>0</v>
      </c>
      <c r="FM235" s="56">
        <f t="shared" si="637"/>
        <v>0</v>
      </c>
      <c r="FN235" s="56">
        <f t="shared" si="637"/>
        <v>0</v>
      </c>
      <c r="FO235" s="56">
        <f t="shared" ref="FO235:GP235" si="638">IF(FO185&gt;0,MAX(0,FO160-FO209),0)</f>
        <v>0</v>
      </c>
      <c r="FP235" s="56">
        <f t="shared" si="638"/>
        <v>0</v>
      </c>
      <c r="FQ235" s="56">
        <f t="shared" si="638"/>
        <v>0</v>
      </c>
      <c r="FR235" s="56">
        <f t="shared" si="638"/>
        <v>0</v>
      </c>
      <c r="FS235" s="56">
        <f t="shared" si="638"/>
        <v>0</v>
      </c>
      <c r="FT235" s="56">
        <f t="shared" si="638"/>
        <v>0</v>
      </c>
      <c r="FU235" s="56">
        <f t="shared" si="638"/>
        <v>0</v>
      </c>
      <c r="FV235" s="56">
        <f t="shared" si="638"/>
        <v>0</v>
      </c>
      <c r="FW235" s="56">
        <f t="shared" si="638"/>
        <v>0</v>
      </c>
      <c r="FX235" s="56">
        <f t="shared" si="638"/>
        <v>0</v>
      </c>
      <c r="FY235" s="56">
        <f t="shared" si="638"/>
        <v>0</v>
      </c>
      <c r="FZ235" s="56">
        <f t="shared" si="638"/>
        <v>0</v>
      </c>
      <c r="GA235" s="56">
        <f t="shared" si="638"/>
        <v>0</v>
      </c>
      <c r="GB235" s="56">
        <f t="shared" si="638"/>
        <v>0</v>
      </c>
      <c r="GC235" s="56">
        <f t="shared" si="638"/>
        <v>0</v>
      </c>
      <c r="GD235" s="56">
        <f t="shared" si="638"/>
        <v>0</v>
      </c>
      <c r="GE235" s="56">
        <f t="shared" si="638"/>
        <v>0</v>
      </c>
      <c r="GF235" s="56">
        <f t="shared" si="638"/>
        <v>0</v>
      </c>
      <c r="GG235" s="56">
        <f t="shared" si="638"/>
        <v>0</v>
      </c>
      <c r="GH235" s="56">
        <f t="shared" si="638"/>
        <v>0</v>
      </c>
      <c r="GI235" s="56">
        <f t="shared" si="638"/>
        <v>0</v>
      </c>
      <c r="GJ235" s="56">
        <f t="shared" si="638"/>
        <v>0</v>
      </c>
      <c r="GK235" s="56">
        <f t="shared" si="638"/>
        <v>0</v>
      </c>
      <c r="GL235" s="56">
        <f t="shared" si="638"/>
        <v>0</v>
      </c>
      <c r="GM235" s="56">
        <f t="shared" si="638"/>
        <v>0</v>
      </c>
      <c r="GN235" s="56">
        <f t="shared" si="638"/>
        <v>0</v>
      </c>
      <c r="GO235" s="56">
        <f t="shared" si="638"/>
        <v>0</v>
      </c>
      <c r="GP235" s="56">
        <f t="shared" si="638"/>
        <v>0</v>
      </c>
    </row>
    <row r="236" spans="1:198" x14ac:dyDescent="0.35">
      <c r="A236" s="55" t="str">
        <f t="shared" si="524"/>
        <v>Canada &gt; available in future</v>
      </c>
      <c r="B236" s="55" t="s">
        <v>298</v>
      </c>
      <c r="K236" s="56">
        <f t="shared" ref="K236:AP236" ca="1" si="639">IF(K186&gt;0,MAX(0,K161-K210),0)</f>
        <v>0.39999999999999858</v>
      </c>
      <c r="L236" s="56">
        <f t="shared" ca="1" si="639"/>
        <v>0.39999999999999858</v>
      </c>
      <c r="M236" s="56">
        <f t="shared" ca="1" si="639"/>
        <v>0.39999999999999858</v>
      </c>
      <c r="N236" s="56">
        <f t="shared" ca="1" si="639"/>
        <v>0.39999999999999858</v>
      </c>
      <c r="O236" s="56">
        <f t="shared" ca="1" si="639"/>
        <v>0.39999999999999858</v>
      </c>
      <c r="P236" s="56">
        <f t="shared" ca="1" si="639"/>
        <v>0.39999999999999858</v>
      </c>
      <c r="Q236" s="56">
        <f t="shared" ca="1" si="639"/>
        <v>0.39999999999999858</v>
      </c>
      <c r="R236" s="56">
        <f t="shared" ca="1" si="639"/>
        <v>0.39999999999999858</v>
      </c>
      <c r="S236" s="56">
        <f t="shared" ca="1" si="639"/>
        <v>0.39999999999999858</v>
      </c>
      <c r="T236" s="56">
        <f t="shared" ca="1" si="639"/>
        <v>0.39999999999999858</v>
      </c>
      <c r="U236" s="56">
        <f t="shared" ca="1" si="639"/>
        <v>0.39978659496047442</v>
      </c>
      <c r="V236" s="56">
        <f t="shared" ca="1" si="639"/>
        <v>0.39914683525900685</v>
      </c>
      <c r="W236" s="56">
        <f t="shared" ca="1" si="639"/>
        <v>0.39808208617504093</v>
      </c>
      <c r="X236" s="56">
        <f t="shared" ca="1" si="639"/>
        <v>0.3965946199367778</v>
      </c>
      <c r="Y236" s="56">
        <f t="shared" ca="1" si="639"/>
        <v>0.39468761087213622</v>
      </c>
      <c r="Z236" s="56">
        <f t="shared" ca="1" si="639"/>
        <v>0.39236512863456241</v>
      </c>
      <c r="AA236" s="56">
        <f t="shared" ca="1" si="639"/>
        <v>0.3896321295181906</v>
      </c>
      <c r="AB236" s="56">
        <f t="shared" ca="1" si="639"/>
        <v>0.38649444588087079</v>
      </c>
      <c r="AC236" s="56">
        <f t="shared" ca="1" si="639"/>
        <v>0.38295877369760234</v>
      </c>
      <c r="AD236" s="56">
        <f t="shared" ca="1" si="639"/>
        <v>0.37903265827101151</v>
      </c>
      <c r="AE236" s="56">
        <f t="shared" ca="1" si="639"/>
        <v>0.37472447812927001</v>
      </c>
      <c r="AF236" s="56">
        <f t="shared" ca="1" si="639"/>
        <v>0.37004342714592298</v>
      </c>
      <c r="AG236" s="56">
        <f t="shared" ca="1" si="639"/>
        <v>0.36499949491965822</v>
      </c>
      <c r="AH236" s="56">
        <f t="shared" ca="1" si="639"/>
        <v>0.35960344545604528</v>
      </c>
      <c r="AI236" s="56">
        <f t="shared" ca="1" si="639"/>
        <v>0.35386679419657341</v>
      </c>
      <c r="AJ236" s="56">
        <f t="shared" ca="1" si="639"/>
        <v>0.3478017834441296</v>
      </c>
      <c r="AK236" s="56">
        <f t="shared" ca="1" si="639"/>
        <v>0.34142135623730852</v>
      </c>
      <c r="AL236" s="56">
        <f t="shared" ca="1" si="639"/>
        <v>0.33473912872931066</v>
      </c>
      <c r="AM236" s="56">
        <f t="shared" ca="1" si="639"/>
        <v>0.32776936113038957</v>
      </c>
      <c r="AN236" s="56">
        <f t="shared" ca="1" si="639"/>
        <v>0.32052692727584997</v>
      </c>
      <c r="AO236" s="56">
        <f t="shared" ca="1" si="639"/>
        <v>0.31302728288451576</v>
      </c>
      <c r="AP236" s="56">
        <f t="shared" ca="1" si="639"/>
        <v>0.30528643257546761</v>
      </c>
      <c r="AQ236" s="56">
        <f t="shared" ref="AQ236:BV236" ca="1" si="640">IF(AQ186&gt;0,MAX(0,AQ161-AQ210),0)</f>
        <v>0.29732089571336928</v>
      </c>
      <c r="AR236" s="56">
        <f t="shared" ca="1" si="640"/>
        <v>0.28914767115530537</v>
      </c>
      <c r="AS236" s="56">
        <f t="shared" ca="1" si="640"/>
        <v>0.28078420097437728</v>
      </c>
      <c r="AT236" s="56">
        <f t="shared" ca="1" si="640"/>
        <v>0.27224833323743169</v>
      </c>
      <c r="AU236" s="56">
        <f t="shared" ca="1" si="640"/>
        <v>0.26355828391637814</v>
      </c>
      <c r="AV236" s="56">
        <f t="shared" ca="1" si="640"/>
        <v>0.25473259801441728</v>
      </c>
      <c r="AW236" s="56">
        <f t="shared" ca="1" si="640"/>
        <v>0.24579010999002548</v>
      </c>
      <c r="AX236" s="56">
        <f t="shared" ca="1" si="640"/>
        <v>0.23674990356331094</v>
      </c>
      <c r="AY236" s="56">
        <f t="shared" ca="1" si="640"/>
        <v>0.22763127099037561</v>
      </c>
      <c r="AZ236" s="56">
        <f t="shared" ca="1" si="640"/>
        <v>0.2184536718926573</v>
      </c>
      <c r="BA236" s="56">
        <f t="shared" ca="1" si="640"/>
        <v>0.20923669172914927</v>
      </c>
      <c r="BB236" s="56">
        <f t="shared" ca="1" si="640"/>
        <v>0.19999999999999929</v>
      </c>
      <c r="BC236" s="56">
        <f t="shared" ca="1" si="640"/>
        <v>0.19076330827084931</v>
      </c>
      <c r="BD236" s="56">
        <f t="shared" ca="1" si="640"/>
        <v>0.18154632810734128</v>
      </c>
      <c r="BE236" s="56">
        <f t="shared" ca="1" si="640"/>
        <v>0.17236872900962297</v>
      </c>
      <c r="BF236" s="56">
        <f t="shared" ca="1" si="640"/>
        <v>0.16325009643668764</v>
      </c>
      <c r="BG236" s="56">
        <f t="shared" ca="1" si="640"/>
        <v>0.15420989000997309</v>
      </c>
      <c r="BH236" s="56">
        <f t="shared" ca="1" si="640"/>
        <v>0.1452674019855813</v>
      </c>
      <c r="BI236" s="56">
        <f t="shared" ca="1" si="640"/>
        <v>0.13644171608362043</v>
      </c>
      <c r="BJ236" s="56">
        <f t="shared" ca="1" si="640"/>
        <v>0.12775166676256688</v>
      </c>
      <c r="BK236" s="56">
        <f t="shared" ca="1" si="640"/>
        <v>0.11921579902562129</v>
      </c>
      <c r="BL236" s="56">
        <f t="shared" ca="1" si="640"/>
        <v>0.1108523288446932</v>
      </c>
      <c r="BM236" s="56">
        <f t="shared" ca="1" si="640"/>
        <v>0.1026791042866293</v>
      </c>
      <c r="BN236" s="56">
        <f t="shared" ca="1" si="640"/>
        <v>9.4713567424530964E-2</v>
      </c>
      <c r="BO236" s="56">
        <f t="shared" ca="1" si="640"/>
        <v>8.6972717115482823E-2</v>
      </c>
      <c r="BP236" s="56">
        <f t="shared" ca="1" si="640"/>
        <v>7.9473072724148608E-2</v>
      </c>
      <c r="BQ236" s="56">
        <f t="shared" ca="1" si="640"/>
        <v>7.223063886960901E-2</v>
      </c>
      <c r="BR236" s="56">
        <f t="shared" ca="1" si="640"/>
        <v>6.5260871270687915E-2</v>
      </c>
      <c r="BS236" s="56">
        <f t="shared" ca="1" si="640"/>
        <v>5.8578643762690064E-2</v>
      </c>
      <c r="BT236" s="56">
        <f t="shared" ca="1" si="640"/>
        <v>5.2198216555868981E-2</v>
      </c>
      <c r="BU236" s="56">
        <f t="shared" ca="1" si="640"/>
        <v>4.613320580342517E-2</v>
      </c>
      <c r="BV236" s="56">
        <f t="shared" ca="1" si="640"/>
        <v>4.03965545439533E-2</v>
      </c>
      <c r="BW236" s="56">
        <f t="shared" ref="BW236:DB236" ca="1" si="641">IF(BW186&gt;0,MAX(0,BW161-BW210),0)</f>
        <v>3.5000505080340361E-2</v>
      </c>
      <c r="BX236" s="56">
        <f t="shared" ca="1" si="641"/>
        <v>2.9956572854075603E-2</v>
      </c>
      <c r="BY236" s="56">
        <f t="shared" ca="1" si="641"/>
        <v>2.5275521870728568E-2</v>
      </c>
      <c r="BZ236" s="56">
        <f t="shared" ca="1" si="641"/>
        <v>2.0967341728987066E-2</v>
      </c>
      <c r="CA236" s="56">
        <f t="shared" ca="1" si="641"/>
        <v>1.704122630239624E-2</v>
      </c>
      <c r="CB236" s="56">
        <f t="shared" ca="1" si="641"/>
        <v>1.3505554119127794E-2</v>
      </c>
      <c r="CC236" s="56">
        <f t="shared" ca="1" si="641"/>
        <v>1.0367870481807984E-2</v>
      </c>
      <c r="CD236" s="56">
        <f t="shared" ca="1" si="641"/>
        <v>7.6348713654361688E-3</v>
      </c>
      <c r="CE236" s="56">
        <f t="shared" ca="1" si="641"/>
        <v>5.3123891278623603E-3</v>
      </c>
      <c r="CF236" s="56">
        <f t="shared" ca="1" si="641"/>
        <v>3.4053800632207754E-3</v>
      </c>
      <c r="CG236" s="56">
        <f t="shared" ca="1" si="641"/>
        <v>1.9179138249576511E-3</v>
      </c>
      <c r="CH236" s="56">
        <f t="shared" ca="1" si="641"/>
        <v>8.5316474099172979E-4</v>
      </c>
      <c r="CI236" s="56">
        <f t="shared" ca="1" si="641"/>
        <v>2.1340503952416157E-4</v>
      </c>
      <c r="CJ236" s="56">
        <f t="shared" ca="1" si="641"/>
        <v>0</v>
      </c>
      <c r="CK236" s="56">
        <f t="shared" si="641"/>
        <v>0</v>
      </c>
      <c r="CL236" s="56">
        <f t="shared" si="641"/>
        <v>0</v>
      </c>
      <c r="CM236" s="56">
        <f t="shared" si="641"/>
        <v>0</v>
      </c>
      <c r="CN236" s="56">
        <f t="shared" si="641"/>
        <v>0</v>
      </c>
      <c r="CO236" s="56">
        <f t="shared" si="641"/>
        <v>0</v>
      </c>
      <c r="CP236" s="56">
        <f t="shared" si="641"/>
        <v>0</v>
      </c>
      <c r="CQ236" s="56">
        <f t="shared" si="641"/>
        <v>0</v>
      </c>
      <c r="CR236" s="56">
        <f t="shared" si="641"/>
        <v>0</v>
      </c>
      <c r="CS236" s="56">
        <f t="shared" si="641"/>
        <v>0</v>
      </c>
      <c r="CT236" s="56">
        <f t="shared" si="641"/>
        <v>0</v>
      </c>
      <c r="CU236" s="56">
        <f t="shared" si="641"/>
        <v>0</v>
      </c>
      <c r="CV236" s="56">
        <f t="shared" si="641"/>
        <v>0</v>
      </c>
      <c r="CW236" s="56">
        <f t="shared" si="641"/>
        <v>0</v>
      </c>
      <c r="CX236" s="56">
        <f t="shared" si="641"/>
        <v>0</v>
      </c>
      <c r="CY236" s="56">
        <f t="shared" si="641"/>
        <v>0</v>
      </c>
      <c r="CZ236" s="56">
        <f t="shared" si="641"/>
        <v>0</v>
      </c>
      <c r="DA236" s="56">
        <f t="shared" si="641"/>
        <v>0</v>
      </c>
      <c r="DB236" s="56">
        <f t="shared" si="641"/>
        <v>0</v>
      </c>
      <c r="DC236" s="56">
        <f t="shared" ref="DC236:EH236" si="642">IF(DC186&gt;0,MAX(0,DC161-DC210),0)</f>
        <v>0</v>
      </c>
      <c r="DD236" s="56">
        <f t="shared" si="642"/>
        <v>0</v>
      </c>
      <c r="DE236" s="56">
        <f t="shared" si="642"/>
        <v>0</v>
      </c>
      <c r="DF236" s="56">
        <f t="shared" si="642"/>
        <v>0</v>
      </c>
      <c r="DG236" s="56">
        <f t="shared" si="642"/>
        <v>0</v>
      </c>
      <c r="DH236" s="56">
        <f t="shared" si="642"/>
        <v>0</v>
      </c>
      <c r="DI236" s="56">
        <f t="shared" si="642"/>
        <v>0</v>
      </c>
      <c r="DJ236" s="56">
        <f t="shared" si="642"/>
        <v>0</v>
      </c>
      <c r="DK236" s="56">
        <f t="shared" si="642"/>
        <v>0</v>
      </c>
      <c r="DL236" s="56">
        <f t="shared" si="642"/>
        <v>0</v>
      </c>
      <c r="DM236" s="56">
        <f t="shared" si="642"/>
        <v>0</v>
      </c>
      <c r="DN236" s="56">
        <f t="shared" si="642"/>
        <v>0</v>
      </c>
      <c r="DO236" s="56">
        <f t="shared" si="642"/>
        <v>0</v>
      </c>
      <c r="DP236" s="56">
        <f t="shared" si="642"/>
        <v>0</v>
      </c>
      <c r="DQ236" s="56">
        <f t="shared" si="642"/>
        <v>0</v>
      </c>
      <c r="DR236" s="56">
        <f t="shared" si="642"/>
        <v>0</v>
      </c>
      <c r="DS236" s="56">
        <f t="shared" si="642"/>
        <v>0</v>
      </c>
      <c r="DT236" s="56">
        <f t="shared" si="642"/>
        <v>0</v>
      </c>
      <c r="DU236" s="56">
        <f t="shared" si="642"/>
        <v>0</v>
      </c>
      <c r="DV236" s="56">
        <f t="shared" si="642"/>
        <v>0</v>
      </c>
      <c r="DW236" s="56">
        <f t="shared" si="642"/>
        <v>0</v>
      </c>
      <c r="DX236" s="56">
        <f t="shared" si="642"/>
        <v>0</v>
      </c>
      <c r="DY236" s="56">
        <f t="shared" si="642"/>
        <v>0</v>
      </c>
      <c r="DZ236" s="56">
        <f t="shared" si="642"/>
        <v>0</v>
      </c>
      <c r="EA236" s="56">
        <f t="shared" si="642"/>
        <v>0</v>
      </c>
      <c r="EB236" s="56">
        <f t="shared" si="642"/>
        <v>0</v>
      </c>
      <c r="EC236" s="56">
        <f t="shared" si="642"/>
        <v>0</v>
      </c>
      <c r="ED236" s="56">
        <f t="shared" si="642"/>
        <v>0</v>
      </c>
      <c r="EE236" s="56">
        <f t="shared" si="642"/>
        <v>0</v>
      </c>
      <c r="EF236" s="56">
        <f t="shared" si="642"/>
        <v>0</v>
      </c>
      <c r="EG236" s="56">
        <f t="shared" si="642"/>
        <v>0</v>
      </c>
      <c r="EH236" s="56">
        <f t="shared" si="642"/>
        <v>0</v>
      </c>
      <c r="EI236" s="56">
        <f t="shared" ref="EI236:FN236" si="643">IF(EI186&gt;0,MAX(0,EI161-EI210),0)</f>
        <v>0</v>
      </c>
      <c r="EJ236" s="56">
        <f t="shared" si="643"/>
        <v>0</v>
      </c>
      <c r="EK236" s="56">
        <f t="shared" si="643"/>
        <v>0</v>
      </c>
      <c r="EL236" s="56">
        <f t="shared" si="643"/>
        <v>0</v>
      </c>
      <c r="EM236" s="56">
        <f t="shared" si="643"/>
        <v>0</v>
      </c>
      <c r="EN236" s="56">
        <f t="shared" si="643"/>
        <v>0</v>
      </c>
      <c r="EO236" s="56">
        <f t="shared" si="643"/>
        <v>0</v>
      </c>
      <c r="EP236" s="56">
        <f t="shared" si="643"/>
        <v>0</v>
      </c>
      <c r="EQ236" s="56">
        <f t="shared" si="643"/>
        <v>0</v>
      </c>
      <c r="ER236" s="56">
        <f t="shared" si="643"/>
        <v>0</v>
      </c>
      <c r="ES236" s="56">
        <f t="shared" si="643"/>
        <v>0</v>
      </c>
      <c r="ET236" s="56">
        <f t="shared" si="643"/>
        <v>0</v>
      </c>
      <c r="EU236" s="56">
        <f t="shared" si="643"/>
        <v>0</v>
      </c>
      <c r="EV236" s="56">
        <f t="shared" si="643"/>
        <v>0</v>
      </c>
      <c r="EW236" s="56">
        <f t="shared" si="643"/>
        <v>0</v>
      </c>
      <c r="EX236" s="56">
        <f t="shared" si="643"/>
        <v>0</v>
      </c>
      <c r="EY236" s="56">
        <f t="shared" si="643"/>
        <v>0</v>
      </c>
      <c r="EZ236" s="56">
        <f t="shared" si="643"/>
        <v>0</v>
      </c>
      <c r="FA236" s="56">
        <f t="shared" si="643"/>
        <v>0</v>
      </c>
      <c r="FB236" s="56">
        <f t="shared" si="643"/>
        <v>0</v>
      </c>
      <c r="FC236" s="56">
        <f t="shared" si="643"/>
        <v>0</v>
      </c>
      <c r="FD236" s="56">
        <f t="shared" si="643"/>
        <v>0</v>
      </c>
      <c r="FE236" s="56">
        <f t="shared" si="643"/>
        <v>0</v>
      </c>
      <c r="FF236" s="56">
        <f t="shared" si="643"/>
        <v>0</v>
      </c>
      <c r="FG236" s="56">
        <f t="shared" si="643"/>
        <v>0</v>
      </c>
      <c r="FH236" s="56">
        <f t="shared" si="643"/>
        <v>0</v>
      </c>
      <c r="FI236" s="56">
        <f t="shared" si="643"/>
        <v>0</v>
      </c>
      <c r="FJ236" s="56">
        <f t="shared" si="643"/>
        <v>0</v>
      </c>
      <c r="FK236" s="56">
        <f t="shared" si="643"/>
        <v>0</v>
      </c>
      <c r="FL236" s="56">
        <f t="shared" si="643"/>
        <v>0</v>
      </c>
      <c r="FM236" s="56">
        <f t="shared" si="643"/>
        <v>0</v>
      </c>
      <c r="FN236" s="56">
        <f t="shared" si="643"/>
        <v>0</v>
      </c>
      <c r="FO236" s="56">
        <f t="shared" ref="FO236:GP236" si="644">IF(FO186&gt;0,MAX(0,FO161-FO210),0)</f>
        <v>0</v>
      </c>
      <c r="FP236" s="56">
        <f t="shared" si="644"/>
        <v>0</v>
      </c>
      <c r="FQ236" s="56">
        <f t="shared" si="644"/>
        <v>0</v>
      </c>
      <c r="FR236" s="56">
        <f t="shared" si="644"/>
        <v>0</v>
      </c>
      <c r="FS236" s="56">
        <f t="shared" si="644"/>
        <v>0</v>
      </c>
      <c r="FT236" s="56">
        <f t="shared" si="644"/>
        <v>0</v>
      </c>
      <c r="FU236" s="56">
        <f t="shared" si="644"/>
        <v>0</v>
      </c>
      <c r="FV236" s="56">
        <f t="shared" si="644"/>
        <v>0</v>
      </c>
      <c r="FW236" s="56">
        <f t="shared" si="644"/>
        <v>0</v>
      </c>
      <c r="FX236" s="56">
        <f t="shared" si="644"/>
        <v>0</v>
      </c>
      <c r="FY236" s="56">
        <f t="shared" si="644"/>
        <v>0</v>
      </c>
      <c r="FZ236" s="56">
        <f t="shared" si="644"/>
        <v>0</v>
      </c>
      <c r="GA236" s="56">
        <f t="shared" si="644"/>
        <v>0</v>
      </c>
      <c r="GB236" s="56">
        <f t="shared" si="644"/>
        <v>0</v>
      </c>
      <c r="GC236" s="56">
        <f t="shared" si="644"/>
        <v>0</v>
      </c>
      <c r="GD236" s="56">
        <f t="shared" si="644"/>
        <v>0</v>
      </c>
      <c r="GE236" s="56">
        <f t="shared" si="644"/>
        <v>0</v>
      </c>
      <c r="GF236" s="56">
        <f t="shared" si="644"/>
        <v>0</v>
      </c>
      <c r="GG236" s="56">
        <f t="shared" si="644"/>
        <v>0</v>
      </c>
      <c r="GH236" s="56">
        <f t="shared" si="644"/>
        <v>0</v>
      </c>
      <c r="GI236" s="56">
        <f t="shared" si="644"/>
        <v>0</v>
      </c>
      <c r="GJ236" s="56">
        <f t="shared" si="644"/>
        <v>0</v>
      </c>
      <c r="GK236" s="56">
        <f t="shared" si="644"/>
        <v>0</v>
      </c>
      <c r="GL236" s="56">
        <f t="shared" si="644"/>
        <v>0</v>
      </c>
      <c r="GM236" s="56">
        <f t="shared" si="644"/>
        <v>0</v>
      </c>
      <c r="GN236" s="56">
        <f t="shared" si="644"/>
        <v>0</v>
      </c>
      <c r="GO236" s="56">
        <f t="shared" si="644"/>
        <v>0</v>
      </c>
      <c r="GP236" s="56">
        <f t="shared" si="644"/>
        <v>0</v>
      </c>
    </row>
    <row r="237" spans="1:198" x14ac:dyDescent="0.35">
      <c r="A237" s="55" t="str">
        <f t="shared" si="524"/>
        <v>Other &gt; available in future</v>
      </c>
      <c r="B237" s="55" t="s">
        <v>298</v>
      </c>
      <c r="K237" s="56">
        <f t="shared" ref="K237:AP237" ca="1" si="645">IF(K187&gt;0,MAX(0,K162-K211),0)</f>
        <v>0</v>
      </c>
      <c r="L237" s="56">
        <f t="shared" ca="1" si="645"/>
        <v>0</v>
      </c>
      <c r="M237" s="56">
        <f t="shared" ca="1" si="645"/>
        <v>0</v>
      </c>
      <c r="N237" s="56">
        <f t="shared" ca="1" si="645"/>
        <v>0</v>
      </c>
      <c r="O237" s="56">
        <f t="shared" ca="1" si="645"/>
        <v>0</v>
      </c>
      <c r="P237" s="56">
        <f t="shared" ca="1" si="645"/>
        <v>0</v>
      </c>
      <c r="Q237" s="56">
        <f t="shared" ca="1" si="645"/>
        <v>0</v>
      </c>
      <c r="R237" s="56">
        <f t="shared" ca="1" si="645"/>
        <v>0</v>
      </c>
      <c r="S237" s="56">
        <f t="shared" ca="1" si="645"/>
        <v>0</v>
      </c>
      <c r="T237" s="56">
        <f t="shared" ca="1" si="645"/>
        <v>0</v>
      </c>
      <c r="U237" s="56">
        <f t="shared" ca="1" si="645"/>
        <v>0</v>
      </c>
      <c r="V237" s="56">
        <f t="shared" ca="1" si="645"/>
        <v>0</v>
      </c>
      <c r="W237" s="56">
        <f t="shared" ca="1" si="645"/>
        <v>0</v>
      </c>
      <c r="X237" s="56">
        <f t="shared" ca="1" si="645"/>
        <v>0</v>
      </c>
      <c r="Y237" s="56">
        <f t="shared" ca="1" si="645"/>
        <v>0</v>
      </c>
      <c r="Z237" s="56">
        <f t="shared" ca="1" si="645"/>
        <v>0</v>
      </c>
      <c r="AA237" s="56">
        <f t="shared" ca="1" si="645"/>
        <v>0</v>
      </c>
      <c r="AB237" s="56">
        <f t="shared" ca="1" si="645"/>
        <v>0</v>
      </c>
      <c r="AC237" s="56">
        <f t="shared" ca="1" si="645"/>
        <v>0</v>
      </c>
      <c r="AD237" s="56">
        <f t="shared" ca="1" si="645"/>
        <v>0</v>
      </c>
      <c r="AE237" s="56">
        <f t="shared" ca="1" si="645"/>
        <v>0</v>
      </c>
      <c r="AF237" s="56">
        <f t="shared" ca="1" si="645"/>
        <v>0</v>
      </c>
      <c r="AG237" s="56">
        <f t="shared" ca="1" si="645"/>
        <v>0</v>
      </c>
      <c r="AH237" s="56">
        <f t="shared" ca="1" si="645"/>
        <v>0</v>
      </c>
      <c r="AI237" s="56">
        <f t="shared" ca="1" si="645"/>
        <v>0</v>
      </c>
      <c r="AJ237" s="56">
        <f t="shared" ca="1" si="645"/>
        <v>0</v>
      </c>
      <c r="AK237" s="56">
        <f t="shared" ca="1" si="645"/>
        <v>0</v>
      </c>
      <c r="AL237" s="56">
        <f t="shared" ca="1" si="645"/>
        <v>0</v>
      </c>
      <c r="AM237" s="56">
        <f t="shared" ca="1" si="645"/>
        <v>0</v>
      </c>
      <c r="AN237" s="56">
        <f t="shared" ca="1" si="645"/>
        <v>0</v>
      </c>
      <c r="AO237" s="56">
        <f t="shared" ca="1" si="645"/>
        <v>0</v>
      </c>
      <c r="AP237" s="56">
        <f t="shared" ca="1" si="645"/>
        <v>0</v>
      </c>
      <c r="AQ237" s="56">
        <f t="shared" ref="AQ237:BV237" ca="1" si="646">IF(AQ187&gt;0,MAX(0,AQ162-AQ211),0)</f>
        <v>0</v>
      </c>
      <c r="AR237" s="56">
        <f t="shared" ca="1" si="646"/>
        <v>0</v>
      </c>
      <c r="AS237" s="56">
        <f t="shared" ca="1" si="646"/>
        <v>0</v>
      </c>
      <c r="AT237" s="56">
        <f t="shared" ca="1" si="646"/>
        <v>0</v>
      </c>
      <c r="AU237" s="56">
        <f t="shared" ca="1" si="646"/>
        <v>0</v>
      </c>
      <c r="AV237" s="56">
        <f t="shared" ca="1" si="646"/>
        <v>0</v>
      </c>
      <c r="AW237" s="56">
        <f t="shared" ca="1" si="646"/>
        <v>0</v>
      </c>
      <c r="AX237" s="56">
        <f t="shared" ca="1" si="646"/>
        <v>0</v>
      </c>
      <c r="AY237" s="56">
        <f t="shared" ca="1" si="646"/>
        <v>0</v>
      </c>
      <c r="AZ237" s="56">
        <f t="shared" ca="1" si="646"/>
        <v>0</v>
      </c>
      <c r="BA237" s="56">
        <f t="shared" ca="1" si="646"/>
        <v>0</v>
      </c>
      <c r="BB237" s="56">
        <f t="shared" ca="1" si="646"/>
        <v>0</v>
      </c>
      <c r="BC237" s="56">
        <f t="shared" ca="1" si="646"/>
        <v>0</v>
      </c>
      <c r="BD237" s="56">
        <f t="shared" ca="1" si="646"/>
        <v>0</v>
      </c>
      <c r="BE237" s="56">
        <f t="shared" ca="1" si="646"/>
        <v>0</v>
      </c>
      <c r="BF237" s="56">
        <f t="shared" ca="1" si="646"/>
        <v>0</v>
      </c>
      <c r="BG237" s="56">
        <f t="shared" ca="1" si="646"/>
        <v>0</v>
      </c>
      <c r="BH237" s="56">
        <f t="shared" ca="1" si="646"/>
        <v>0</v>
      </c>
      <c r="BI237" s="56">
        <f t="shared" ca="1" si="646"/>
        <v>0</v>
      </c>
      <c r="BJ237" s="56">
        <f t="shared" ca="1" si="646"/>
        <v>0</v>
      </c>
      <c r="BK237" s="56">
        <f t="shared" ca="1" si="646"/>
        <v>0</v>
      </c>
      <c r="BL237" s="56">
        <f t="shared" ca="1" si="646"/>
        <v>0</v>
      </c>
      <c r="BM237" s="56">
        <f t="shared" ca="1" si="646"/>
        <v>0</v>
      </c>
      <c r="BN237" s="56">
        <f t="shared" ca="1" si="646"/>
        <v>0</v>
      </c>
      <c r="BO237" s="56">
        <f t="shared" ca="1" si="646"/>
        <v>0</v>
      </c>
      <c r="BP237" s="56">
        <f t="shared" ca="1" si="646"/>
        <v>0</v>
      </c>
      <c r="BQ237" s="56">
        <f t="shared" ca="1" si="646"/>
        <v>0</v>
      </c>
      <c r="BR237" s="56">
        <f t="shared" ca="1" si="646"/>
        <v>0</v>
      </c>
      <c r="BS237" s="56">
        <f t="shared" ca="1" si="646"/>
        <v>0</v>
      </c>
      <c r="BT237" s="56">
        <f t="shared" ca="1" si="646"/>
        <v>0</v>
      </c>
      <c r="BU237" s="56">
        <f t="shared" ca="1" si="646"/>
        <v>0</v>
      </c>
      <c r="BV237" s="56">
        <f t="shared" ca="1" si="646"/>
        <v>0</v>
      </c>
      <c r="BW237" s="56">
        <f t="shared" ref="BW237:DB237" ca="1" si="647">IF(BW187&gt;0,MAX(0,BW162-BW211),0)</f>
        <v>0</v>
      </c>
      <c r="BX237" s="56">
        <f t="shared" ca="1" si="647"/>
        <v>0</v>
      </c>
      <c r="BY237" s="56">
        <f t="shared" ca="1" si="647"/>
        <v>0</v>
      </c>
      <c r="BZ237" s="56">
        <f t="shared" ca="1" si="647"/>
        <v>0</v>
      </c>
      <c r="CA237" s="56">
        <f t="shared" ca="1" si="647"/>
        <v>0</v>
      </c>
      <c r="CB237" s="56">
        <f t="shared" ca="1" si="647"/>
        <v>0</v>
      </c>
      <c r="CC237" s="56">
        <f t="shared" ca="1" si="647"/>
        <v>0</v>
      </c>
      <c r="CD237" s="56">
        <f t="shared" ca="1" si="647"/>
        <v>0</v>
      </c>
      <c r="CE237" s="56">
        <f t="shared" ca="1" si="647"/>
        <v>0</v>
      </c>
      <c r="CF237" s="56">
        <f t="shared" ca="1" si="647"/>
        <v>0</v>
      </c>
      <c r="CG237" s="56">
        <f t="shared" ca="1" si="647"/>
        <v>0</v>
      </c>
      <c r="CH237" s="56">
        <f t="shared" ca="1" si="647"/>
        <v>0</v>
      </c>
      <c r="CI237" s="56">
        <f t="shared" ca="1" si="647"/>
        <v>0</v>
      </c>
      <c r="CJ237" s="56">
        <f t="shared" ca="1" si="647"/>
        <v>0</v>
      </c>
      <c r="CK237" s="56">
        <f t="shared" si="647"/>
        <v>0</v>
      </c>
      <c r="CL237" s="56">
        <f t="shared" si="647"/>
        <v>0</v>
      </c>
      <c r="CM237" s="56">
        <f t="shared" si="647"/>
        <v>0</v>
      </c>
      <c r="CN237" s="56">
        <f t="shared" si="647"/>
        <v>0</v>
      </c>
      <c r="CO237" s="56">
        <f t="shared" si="647"/>
        <v>0</v>
      </c>
      <c r="CP237" s="56">
        <f t="shared" si="647"/>
        <v>0</v>
      </c>
      <c r="CQ237" s="56">
        <f t="shared" si="647"/>
        <v>0</v>
      </c>
      <c r="CR237" s="56">
        <f t="shared" si="647"/>
        <v>0</v>
      </c>
      <c r="CS237" s="56">
        <f t="shared" si="647"/>
        <v>0</v>
      </c>
      <c r="CT237" s="56">
        <f t="shared" si="647"/>
        <v>0</v>
      </c>
      <c r="CU237" s="56">
        <f t="shared" si="647"/>
        <v>0</v>
      </c>
      <c r="CV237" s="56">
        <f t="shared" si="647"/>
        <v>0</v>
      </c>
      <c r="CW237" s="56">
        <f t="shared" si="647"/>
        <v>0</v>
      </c>
      <c r="CX237" s="56">
        <f t="shared" si="647"/>
        <v>0</v>
      </c>
      <c r="CY237" s="56">
        <f t="shared" si="647"/>
        <v>0</v>
      </c>
      <c r="CZ237" s="56">
        <f t="shared" si="647"/>
        <v>0</v>
      </c>
      <c r="DA237" s="56">
        <f t="shared" si="647"/>
        <v>0</v>
      </c>
      <c r="DB237" s="56">
        <f t="shared" si="647"/>
        <v>0</v>
      </c>
      <c r="DC237" s="56">
        <f t="shared" ref="DC237:EH237" si="648">IF(DC187&gt;0,MAX(0,DC162-DC211),0)</f>
        <v>0</v>
      </c>
      <c r="DD237" s="56">
        <f t="shared" si="648"/>
        <v>0</v>
      </c>
      <c r="DE237" s="56">
        <f t="shared" si="648"/>
        <v>0</v>
      </c>
      <c r="DF237" s="56">
        <f t="shared" si="648"/>
        <v>0</v>
      </c>
      <c r="DG237" s="56">
        <f t="shared" si="648"/>
        <v>0</v>
      </c>
      <c r="DH237" s="56">
        <f t="shared" si="648"/>
        <v>0</v>
      </c>
      <c r="DI237" s="56">
        <f t="shared" si="648"/>
        <v>0</v>
      </c>
      <c r="DJ237" s="56">
        <f t="shared" si="648"/>
        <v>0</v>
      </c>
      <c r="DK237" s="56">
        <f t="shared" si="648"/>
        <v>0</v>
      </c>
      <c r="DL237" s="56">
        <f t="shared" si="648"/>
        <v>0</v>
      </c>
      <c r="DM237" s="56">
        <f t="shared" si="648"/>
        <v>0</v>
      </c>
      <c r="DN237" s="56">
        <f t="shared" si="648"/>
        <v>0</v>
      </c>
      <c r="DO237" s="56">
        <f t="shared" si="648"/>
        <v>0</v>
      </c>
      <c r="DP237" s="56">
        <f t="shared" si="648"/>
        <v>0</v>
      </c>
      <c r="DQ237" s="56">
        <f t="shared" si="648"/>
        <v>0</v>
      </c>
      <c r="DR237" s="56">
        <f t="shared" si="648"/>
        <v>0</v>
      </c>
      <c r="DS237" s="56">
        <f t="shared" si="648"/>
        <v>0</v>
      </c>
      <c r="DT237" s="56">
        <f t="shared" si="648"/>
        <v>0</v>
      </c>
      <c r="DU237" s="56">
        <f t="shared" si="648"/>
        <v>0</v>
      </c>
      <c r="DV237" s="56">
        <f t="shared" si="648"/>
        <v>0</v>
      </c>
      <c r="DW237" s="56">
        <f t="shared" si="648"/>
        <v>0</v>
      </c>
      <c r="DX237" s="56">
        <f t="shared" si="648"/>
        <v>0</v>
      </c>
      <c r="DY237" s="56">
        <f t="shared" si="648"/>
        <v>0</v>
      </c>
      <c r="DZ237" s="56">
        <f t="shared" si="648"/>
        <v>0</v>
      </c>
      <c r="EA237" s="56">
        <f t="shared" si="648"/>
        <v>0</v>
      </c>
      <c r="EB237" s="56">
        <f t="shared" si="648"/>
        <v>0</v>
      </c>
      <c r="EC237" s="56">
        <f t="shared" si="648"/>
        <v>0</v>
      </c>
      <c r="ED237" s="56">
        <f t="shared" si="648"/>
        <v>0</v>
      </c>
      <c r="EE237" s="56">
        <f t="shared" si="648"/>
        <v>0</v>
      </c>
      <c r="EF237" s="56">
        <f t="shared" si="648"/>
        <v>0</v>
      </c>
      <c r="EG237" s="56">
        <f t="shared" si="648"/>
        <v>0</v>
      </c>
      <c r="EH237" s="56">
        <f t="shared" si="648"/>
        <v>0</v>
      </c>
      <c r="EI237" s="56">
        <f t="shared" ref="EI237:FN237" si="649">IF(EI187&gt;0,MAX(0,EI162-EI211),0)</f>
        <v>0</v>
      </c>
      <c r="EJ237" s="56">
        <f t="shared" si="649"/>
        <v>0</v>
      </c>
      <c r="EK237" s="56">
        <f t="shared" si="649"/>
        <v>0</v>
      </c>
      <c r="EL237" s="56">
        <f t="shared" si="649"/>
        <v>0</v>
      </c>
      <c r="EM237" s="56">
        <f t="shared" si="649"/>
        <v>0</v>
      </c>
      <c r="EN237" s="56">
        <f t="shared" si="649"/>
        <v>0</v>
      </c>
      <c r="EO237" s="56">
        <f t="shared" si="649"/>
        <v>0</v>
      </c>
      <c r="EP237" s="56">
        <f t="shared" si="649"/>
        <v>0</v>
      </c>
      <c r="EQ237" s="56">
        <f t="shared" si="649"/>
        <v>0</v>
      </c>
      <c r="ER237" s="56">
        <f t="shared" si="649"/>
        <v>0</v>
      </c>
      <c r="ES237" s="56">
        <f t="shared" si="649"/>
        <v>0</v>
      </c>
      <c r="ET237" s="56">
        <f t="shared" si="649"/>
        <v>0</v>
      </c>
      <c r="EU237" s="56">
        <f t="shared" si="649"/>
        <v>0</v>
      </c>
      <c r="EV237" s="56">
        <f t="shared" si="649"/>
        <v>0</v>
      </c>
      <c r="EW237" s="56">
        <f t="shared" si="649"/>
        <v>0</v>
      </c>
      <c r="EX237" s="56">
        <f t="shared" si="649"/>
        <v>0</v>
      </c>
      <c r="EY237" s="56">
        <f t="shared" si="649"/>
        <v>0</v>
      </c>
      <c r="EZ237" s="56">
        <f t="shared" si="649"/>
        <v>0</v>
      </c>
      <c r="FA237" s="56">
        <f t="shared" si="649"/>
        <v>0</v>
      </c>
      <c r="FB237" s="56">
        <f t="shared" si="649"/>
        <v>0</v>
      </c>
      <c r="FC237" s="56">
        <f t="shared" si="649"/>
        <v>0</v>
      </c>
      <c r="FD237" s="56">
        <f t="shared" si="649"/>
        <v>0</v>
      </c>
      <c r="FE237" s="56">
        <f t="shared" si="649"/>
        <v>0</v>
      </c>
      <c r="FF237" s="56">
        <f t="shared" si="649"/>
        <v>0</v>
      </c>
      <c r="FG237" s="56">
        <f t="shared" si="649"/>
        <v>0</v>
      </c>
      <c r="FH237" s="56">
        <f t="shared" si="649"/>
        <v>0</v>
      </c>
      <c r="FI237" s="56">
        <f t="shared" si="649"/>
        <v>0</v>
      </c>
      <c r="FJ237" s="56">
        <f t="shared" si="649"/>
        <v>0</v>
      </c>
      <c r="FK237" s="56">
        <f t="shared" si="649"/>
        <v>0</v>
      </c>
      <c r="FL237" s="56">
        <f t="shared" si="649"/>
        <v>0</v>
      </c>
      <c r="FM237" s="56">
        <f t="shared" si="649"/>
        <v>0</v>
      </c>
      <c r="FN237" s="56">
        <f t="shared" si="649"/>
        <v>0</v>
      </c>
      <c r="FO237" s="56">
        <f t="shared" ref="FO237:GP237" si="650">IF(FO187&gt;0,MAX(0,FO162-FO211),0)</f>
        <v>0</v>
      </c>
      <c r="FP237" s="56">
        <f t="shared" si="650"/>
        <v>0</v>
      </c>
      <c r="FQ237" s="56">
        <f t="shared" si="650"/>
        <v>0</v>
      </c>
      <c r="FR237" s="56">
        <f t="shared" si="650"/>
        <v>0</v>
      </c>
      <c r="FS237" s="56">
        <f t="shared" si="650"/>
        <v>0</v>
      </c>
      <c r="FT237" s="56">
        <f t="shared" si="650"/>
        <v>0</v>
      </c>
      <c r="FU237" s="56">
        <f t="shared" si="650"/>
        <v>0</v>
      </c>
      <c r="FV237" s="56">
        <f t="shared" si="650"/>
        <v>0</v>
      </c>
      <c r="FW237" s="56">
        <f t="shared" si="650"/>
        <v>0</v>
      </c>
      <c r="FX237" s="56">
        <f t="shared" si="650"/>
        <v>0</v>
      </c>
      <c r="FY237" s="56">
        <f t="shared" si="650"/>
        <v>0</v>
      </c>
      <c r="FZ237" s="56">
        <f t="shared" si="650"/>
        <v>0</v>
      </c>
      <c r="GA237" s="56">
        <f t="shared" si="650"/>
        <v>0</v>
      </c>
      <c r="GB237" s="56">
        <f t="shared" si="650"/>
        <v>0</v>
      </c>
      <c r="GC237" s="56">
        <f t="shared" si="650"/>
        <v>0</v>
      </c>
      <c r="GD237" s="56">
        <f t="shared" si="650"/>
        <v>0</v>
      </c>
      <c r="GE237" s="56">
        <f t="shared" si="650"/>
        <v>0</v>
      </c>
      <c r="GF237" s="56">
        <f t="shared" si="650"/>
        <v>0</v>
      </c>
      <c r="GG237" s="56">
        <f t="shared" si="650"/>
        <v>0</v>
      </c>
      <c r="GH237" s="56">
        <f t="shared" si="650"/>
        <v>0</v>
      </c>
      <c r="GI237" s="56">
        <f t="shared" si="650"/>
        <v>0</v>
      </c>
      <c r="GJ237" s="56">
        <f t="shared" si="650"/>
        <v>0</v>
      </c>
      <c r="GK237" s="56">
        <f t="shared" si="650"/>
        <v>0</v>
      </c>
      <c r="GL237" s="56">
        <f t="shared" si="650"/>
        <v>0</v>
      </c>
      <c r="GM237" s="56">
        <f t="shared" si="650"/>
        <v>0</v>
      </c>
      <c r="GN237" s="56">
        <f t="shared" si="650"/>
        <v>0</v>
      </c>
      <c r="GO237" s="56">
        <f t="shared" si="650"/>
        <v>0</v>
      </c>
      <c r="GP237" s="56">
        <f t="shared" si="650"/>
        <v>0</v>
      </c>
    </row>
    <row r="238" spans="1:198" ht="24" x14ac:dyDescent="0.35">
      <c r="A238" s="57" t="str">
        <f t="shared" ca="1" si="524"/>
        <v>26
Available in future</v>
      </c>
      <c r="B238" s="55" t="s">
        <v>298</v>
      </c>
      <c r="K238" s="56">
        <f t="shared" ref="K238:AP238" si="651">IF(K188&gt;0,MAX(0,K163-K212),0)</f>
        <v>0</v>
      </c>
      <c r="L238" s="56">
        <f t="shared" si="651"/>
        <v>0</v>
      </c>
      <c r="M238" s="56">
        <f t="shared" si="651"/>
        <v>0</v>
      </c>
      <c r="N238" s="56">
        <f t="shared" si="651"/>
        <v>0</v>
      </c>
      <c r="O238" s="56">
        <f t="shared" si="651"/>
        <v>0</v>
      </c>
      <c r="P238" s="56">
        <f t="shared" si="651"/>
        <v>0</v>
      </c>
      <c r="Q238" s="56">
        <f t="shared" si="651"/>
        <v>0</v>
      </c>
      <c r="R238" s="56">
        <f t="shared" si="651"/>
        <v>0</v>
      </c>
      <c r="S238" s="56">
        <f t="shared" si="651"/>
        <v>0</v>
      </c>
      <c r="T238" s="56">
        <f t="shared" si="651"/>
        <v>0</v>
      </c>
      <c r="U238" s="56">
        <f t="shared" si="651"/>
        <v>0</v>
      </c>
      <c r="V238" s="56">
        <f t="shared" si="651"/>
        <v>0</v>
      </c>
      <c r="W238" s="56">
        <f t="shared" si="651"/>
        <v>0</v>
      </c>
      <c r="X238" s="56">
        <f t="shared" si="651"/>
        <v>0</v>
      </c>
      <c r="Y238" s="56">
        <f t="shared" si="651"/>
        <v>0</v>
      </c>
      <c r="Z238" s="56">
        <f t="shared" si="651"/>
        <v>0</v>
      </c>
      <c r="AA238" s="56">
        <f t="shared" si="651"/>
        <v>0</v>
      </c>
      <c r="AB238" s="56">
        <f t="shared" si="651"/>
        <v>0</v>
      </c>
      <c r="AC238" s="56">
        <f t="shared" si="651"/>
        <v>0</v>
      </c>
      <c r="AD238" s="56">
        <f t="shared" si="651"/>
        <v>0</v>
      </c>
      <c r="AE238" s="56">
        <f t="shared" si="651"/>
        <v>0</v>
      </c>
      <c r="AF238" s="56">
        <f t="shared" si="651"/>
        <v>0</v>
      </c>
      <c r="AG238" s="56">
        <f t="shared" si="651"/>
        <v>0</v>
      </c>
      <c r="AH238" s="56">
        <f t="shared" si="651"/>
        <v>0</v>
      </c>
      <c r="AI238" s="56">
        <f t="shared" si="651"/>
        <v>0</v>
      </c>
      <c r="AJ238" s="56">
        <f t="shared" si="651"/>
        <v>0</v>
      </c>
      <c r="AK238" s="56">
        <f t="shared" si="651"/>
        <v>0</v>
      </c>
      <c r="AL238" s="56">
        <f t="shared" si="651"/>
        <v>0</v>
      </c>
      <c r="AM238" s="56">
        <f t="shared" si="651"/>
        <v>0</v>
      </c>
      <c r="AN238" s="56">
        <f t="shared" si="651"/>
        <v>0</v>
      </c>
      <c r="AO238" s="56">
        <f t="shared" si="651"/>
        <v>0</v>
      </c>
      <c r="AP238" s="56">
        <f t="shared" si="651"/>
        <v>0</v>
      </c>
      <c r="AQ238" s="56">
        <f t="shared" ref="AQ238:BV238" si="652">IF(AQ188&gt;0,MAX(0,AQ163-AQ212),0)</f>
        <v>0</v>
      </c>
      <c r="AR238" s="56">
        <f t="shared" si="652"/>
        <v>0</v>
      </c>
      <c r="AS238" s="56">
        <f t="shared" si="652"/>
        <v>0</v>
      </c>
      <c r="AT238" s="56">
        <f t="shared" si="652"/>
        <v>0</v>
      </c>
      <c r="AU238" s="56">
        <f t="shared" si="652"/>
        <v>0</v>
      </c>
      <c r="AV238" s="56">
        <f t="shared" si="652"/>
        <v>0</v>
      </c>
      <c r="AW238" s="56">
        <f t="shared" si="652"/>
        <v>0</v>
      </c>
      <c r="AX238" s="56">
        <f t="shared" si="652"/>
        <v>0</v>
      </c>
      <c r="AY238" s="56">
        <f t="shared" si="652"/>
        <v>0</v>
      </c>
      <c r="AZ238" s="56">
        <f t="shared" si="652"/>
        <v>0</v>
      </c>
      <c r="BA238" s="56">
        <f t="shared" si="652"/>
        <v>0</v>
      </c>
      <c r="BB238" s="56">
        <f t="shared" si="652"/>
        <v>0</v>
      </c>
      <c r="BC238" s="56">
        <f t="shared" si="652"/>
        <v>0</v>
      </c>
      <c r="BD238" s="56">
        <f t="shared" si="652"/>
        <v>0</v>
      </c>
      <c r="BE238" s="56">
        <f t="shared" si="652"/>
        <v>0</v>
      </c>
      <c r="BF238" s="56">
        <f t="shared" si="652"/>
        <v>0</v>
      </c>
      <c r="BG238" s="56">
        <f t="shared" si="652"/>
        <v>0</v>
      </c>
      <c r="BH238" s="56">
        <f t="shared" si="652"/>
        <v>0</v>
      </c>
      <c r="BI238" s="56">
        <f t="shared" si="652"/>
        <v>0</v>
      </c>
      <c r="BJ238" s="56">
        <f t="shared" si="652"/>
        <v>0</v>
      </c>
      <c r="BK238" s="56">
        <f t="shared" si="652"/>
        <v>0</v>
      </c>
      <c r="BL238" s="56">
        <f t="shared" si="652"/>
        <v>0</v>
      </c>
      <c r="BM238" s="56">
        <f t="shared" si="652"/>
        <v>0</v>
      </c>
      <c r="BN238" s="56">
        <f t="shared" si="652"/>
        <v>0</v>
      </c>
      <c r="BO238" s="56">
        <f t="shared" si="652"/>
        <v>0</v>
      </c>
      <c r="BP238" s="56">
        <f t="shared" si="652"/>
        <v>0</v>
      </c>
      <c r="BQ238" s="56">
        <f t="shared" si="652"/>
        <v>0</v>
      </c>
      <c r="BR238" s="56">
        <f t="shared" si="652"/>
        <v>0</v>
      </c>
      <c r="BS238" s="56">
        <f t="shared" si="652"/>
        <v>0</v>
      </c>
      <c r="BT238" s="56">
        <f t="shared" si="652"/>
        <v>0</v>
      </c>
      <c r="BU238" s="56">
        <f t="shared" si="652"/>
        <v>0</v>
      </c>
      <c r="BV238" s="56">
        <f t="shared" si="652"/>
        <v>0</v>
      </c>
      <c r="BW238" s="56">
        <f t="shared" ref="BW238:DB238" si="653">IF(BW188&gt;0,MAX(0,BW163-BW212),0)</f>
        <v>0</v>
      </c>
      <c r="BX238" s="56">
        <f t="shared" si="653"/>
        <v>0</v>
      </c>
      <c r="BY238" s="56">
        <f t="shared" si="653"/>
        <v>0</v>
      </c>
      <c r="BZ238" s="56">
        <f t="shared" si="653"/>
        <v>0</v>
      </c>
      <c r="CA238" s="56">
        <f t="shared" si="653"/>
        <v>0</v>
      </c>
      <c r="CB238" s="56">
        <f t="shared" si="653"/>
        <v>0</v>
      </c>
      <c r="CC238" s="56">
        <f t="shared" si="653"/>
        <v>0</v>
      </c>
      <c r="CD238" s="56">
        <f t="shared" si="653"/>
        <v>0</v>
      </c>
      <c r="CE238" s="56">
        <f t="shared" si="653"/>
        <v>0</v>
      </c>
      <c r="CF238" s="56">
        <f t="shared" si="653"/>
        <v>0</v>
      </c>
      <c r="CG238" s="56">
        <f t="shared" si="653"/>
        <v>0</v>
      </c>
      <c r="CH238" s="56">
        <f t="shared" si="653"/>
        <v>0</v>
      </c>
      <c r="CI238" s="56">
        <f t="shared" si="653"/>
        <v>0</v>
      </c>
      <c r="CJ238" s="56">
        <f t="shared" si="653"/>
        <v>0</v>
      </c>
      <c r="CK238" s="56">
        <f t="shared" ca="1" si="653"/>
        <v>10.126315789473685</v>
      </c>
      <c r="CL238" s="56">
        <f t="shared" ca="1" si="653"/>
        <v>10.126315789473685</v>
      </c>
      <c r="CM238" s="56">
        <f t="shared" ca="1" si="653"/>
        <v>10.126315789473685</v>
      </c>
      <c r="CN238" s="56">
        <f t="shared" ca="1" si="653"/>
        <v>10.126315789473685</v>
      </c>
      <c r="CO238" s="56">
        <f t="shared" ca="1" si="653"/>
        <v>10.126315789473685</v>
      </c>
      <c r="CP238" s="56">
        <f t="shared" ca="1" si="653"/>
        <v>10.126315789473685</v>
      </c>
      <c r="CQ238" s="56">
        <f t="shared" ca="1" si="653"/>
        <v>10.126315789473685</v>
      </c>
      <c r="CR238" s="56">
        <f t="shared" ca="1" si="653"/>
        <v>10.126315789473685</v>
      </c>
      <c r="CS238" s="56">
        <f t="shared" ca="1" si="653"/>
        <v>10.126315789473685</v>
      </c>
      <c r="CT238" s="56">
        <f t="shared" ca="1" si="653"/>
        <v>10.126315789473685</v>
      </c>
      <c r="CU238" s="56">
        <f t="shared" ca="1" si="653"/>
        <v>10.126315789473685</v>
      </c>
      <c r="CV238" s="56">
        <f t="shared" ca="1" si="653"/>
        <v>10.126315789473685</v>
      </c>
      <c r="CW238" s="56">
        <f t="shared" ca="1" si="653"/>
        <v>10.126315789473685</v>
      </c>
      <c r="CX238" s="56">
        <f t="shared" ca="1" si="653"/>
        <v>10.126315789473685</v>
      </c>
      <c r="CY238" s="56">
        <f t="shared" ca="1" si="653"/>
        <v>10.126315789473685</v>
      </c>
      <c r="CZ238" s="56">
        <f t="shared" ca="1" si="653"/>
        <v>10.126315789473685</v>
      </c>
      <c r="DA238" s="56">
        <f t="shared" ca="1" si="653"/>
        <v>10.126315789473685</v>
      </c>
      <c r="DB238" s="56">
        <f t="shared" ca="1" si="653"/>
        <v>10.126315789473685</v>
      </c>
      <c r="DC238" s="56">
        <f t="shared" ref="DC238:EH238" ca="1" si="654">IF(DC188&gt;0,MAX(0,DC163-DC212),0)</f>
        <v>10.126315789473685</v>
      </c>
      <c r="DD238" s="56">
        <f t="shared" ca="1" si="654"/>
        <v>10.126315789473685</v>
      </c>
      <c r="DE238" s="56">
        <f t="shared" ca="1" si="654"/>
        <v>10.126315789473685</v>
      </c>
      <c r="DF238" s="56">
        <f t="shared" ca="1" si="654"/>
        <v>10.126315789473685</v>
      </c>
      <c r="DG238" s="56">
        <f t="shared" ca="1" si="654"/>
        <v>10.126315789473685</v>
      </c>
      <c r="DH238" s="56">
        <f t="shared" ca="1" si="654"/>
        <v>10.126315789473685</v>
      </c>
      <c r="DI238" s="56">
        <f t="shared" ca="1" si="654"/>
        <v>10.126315789473685</v>
      </c>
      <c r="DJ238" s="56">
        <f t="shared" ca="1" si="654"/>
        <v>10.126315789473685</v>
      </c>
      <c r="DK238" s="56">
        <f t="shared" ca="1" si="654"/>
        <v>10.126315789473685</v>
      </c>
      <c r="DL238" s="56">
        <f t="shared" ca="1" si="654"/>
        <v>10.126315789473685</v>
      </c>
      <c r="DM238" s="56">
        <f t="shared" ca="1" si="654"/>
        <v>10.126315789473685</v>
      </c>
      <c r="DN238" s="56">
        <f t="shared" ca="1" si="654"/>
        <v>10.126315789473685</v>
      </c>
      <c r="DO238" s="56">
        <f t="shared" ca="1" si="654"/>
        <v>10.126315789473685</v>
      </c>
      <c r="DP238" s="56">
        <f t="shared" ca="1" si="654"/>
        <v>10.126315789473685</v>
      </c>
      <c r="DQ238" s="56">
        <f t="shared" si="654"/>
        <v>0</v>
      </c>
      <c r="DR238" s="56">
        <f t="shared" si="654"/>
        <v>0</v>
      </c>
      <c r="DS238" s="56">
        <f t="shared" si="654"/>
        <v>0</v>
      </c>
      <c r="DT238" s="56">
        <f t="shared" si="654"/>
        <v>0</v>
      </c>
      <c r="DU238" s="56">
        <f t="shared" si="654"/>
        <v>0</v>
      </c>
      <c r="DV238" s="56">
        <f t="shared" si="654"/>
        <v>0</v>
      </c>
      <c r="DW238" s="56">
        <f t="shared" si="654"/>
        <v>0</v>
      </c>
      <c r="DX238" s="56">
        <f t="shared" si="654"/>
        <v>0</v>
      </c>
      <c r="DY238" s="56">
        <f t="shared" si="654"/>
        <v>0</v>
      </c>
      <c r="DZ238" s="56">
        <f t="shared" si="654"/>
        <v>0</v>
      </c>
      <c r="EA238" s="56">
        <f t="shared" si="654"/>
        <v>0</v>
      </c>
      <c r="EB238" s="56">
        <f t="shared" si="654"/>
        <v>0</v>
      </c>
      <c r="EC238" s="56">
        <f t="shared" si="654"/>
        <v>0</v>
      </c>
      <c r="ED238" s="56">
        <f t="shared" si="654"/>
        <v>0</v>
      </c>
      <c r="EE238" s="56">
        <f t="shared" si="654"/>
        <v>0</v>
      </c>
      <c r="EF238" s="56">
        <f t="shared" si="654"/>
        <v>0</v>
      </c>
      <c r="EG238" s="56">
        <f t="shared" si="654"/>
        <v>0</v>
      </c>
      <c r="EH238" s="56">
        <f t="shared" si="654"/>
        <v>0</v>
      </c>
      <c r="EI238" s="56">
        <f t="shared" ref="EI238:FN238" si="655">IF(EI188&gt;0,MAX(0,EI163-EI212),0)</f>
        <v>0</v>
      </c>
      <c r="EJ238" s="56">
        <f t="shared" si="655"/>
        <v>0</v>
      </c>
      <c r="EK238" s="56">
        <f t="shared" si="655"/>
        <v>0</v>
      </c>
      <c r="EL238" s="56">
        <f t="shared" si="655"/>
        <v>0</v>
      </c>
      <c r="EM238" s="56">
        <f t="shared" si="655"/>
        <v>0</v>
      </c>
      <c r="EN238" s="56">
        <f t="shared" si="655"/>
        <v>0</v>
      </c>
      <c r="EO238" s="56">
        <f t="shared" si="655"/>
        <v>0</v>
      </c>
      <c r="EP238" s="56">
        <f t="shared" si="655"/>
        <v>0</v>
      </c>
      <c r="EQ238" s="56">
        <f t="shared" si="655"/>
        <v>0</v>
      </c>
      <c r="ER238" s="56">
        <f t="shared" si="655"/>
        <v>0</v>
      </c>
      <c r="ES238" s="56">
        <f t="shared" si="655"/>
        <v>0</v>
      </c>
      <c r="ET238" s="56">
        <f t="shared" si="655"/>
        <v>0</v>
      </c>
      <c r="EU238" s="56">
        <f t="shared" si="655"/>
        <v>0</v>
      </c>
      <c r="EV238" s="56">
        <f t="shared" si="655"/>
        <v>0</v>
      </c>
      <c r="EW238" s="56">
        <f t="shared" si="655"/>
        <v>0</v>
      </c>
      <c r="EX238" s="56">
        <f t="shared" si="655"/>
        <v>0</v>
      </c>
      <c r="EY238" s="56">
        <f t="shared" si="655"/>
        <v>0</v>
      </c>
      <c r="EZ238" s="56">
        <f t="shared" si="655"/>
        <v>0</v>
      </c>
      <c r="FA238" s="56">
        <f t="shared" si="655"/>
        <v>0</v>
      </c>
      <c r="FB238" s="56">
        <f t="shared" si="655"/>
        <v>0</v>
      </c>
      <c r="FC238" s="56">
        <f t="shared" si="655"/>
        <v>0</v>
      </c>
      <c r="FD238" s="56">
        <f t="shared" si="655"/>
        <v>0</v>
      </c>
      <c r="FE238" s="56">
        <f t="shared" si="655"/>
        <v>0</v>
      </c>
      <c r="FF238" s="56">
        <f t="shared" si="655"/>
        <v>0</v>
      </c>
      <c r="FG238" s="56">
        <f t="shared" si="655"/>
        <v>0</v>
      </c>
      <c r="FH238" s="56">
        <f t="shared" si="655"/>
        <v>0</v>
      </c>
      <c r="FI238" s="56">
        <f t="shared" si="655"/>
        <v>0</v>
      </c>
      <c r="FJ238" s="56">
        <f t="shared" si="655"/>
        <v>0</v>
      </c>
      <c r="FK238" s="56">
        <f t="shared" si="655"/>
        <v>0</v>
      </c>
      <c r="FL238" s="56">
        <f t="shared" si="655"/>
        <v>0</v>
      </c>
      <c r="FM238" s="56">
        <f t="shared" si="655"/>
        <v>0</v>
      </c>
      <c r="FN238" s="56">
        <f t="shared" si="655"/>
        <v>0</v>
      </c>
      <c r="FO238" s="56">
        <f t="shared" ref="FO238:GP238" si="656">IF(FO188&gt;0,MAX(0,FO163-FO212),0)</f>
        <v>0</v>
      </c>
      <c r="FP238" s="56">
        <f t="shared" si="656"/>
        <v>0</v>
      </c>
      <c r="FQ238" s="56">
        <f t="shared" si="656"/>
        <v>0</v>
      </c>
      <c r="FR238" s="56">
        <f t="shared" si="656"/>
        <v>0</v>
      </c>
      <c r="FS238" s="56">
        <f t="shared" si="656"/>
        <v>0</v>
      </c>
      <c r="FT238" s="56">
        <f t="shared" si="656"/>
        <v>0</v>
      </c>
      <c r="FU238" s="56">
        <f t="shared" si="656"/>
        <v>0</v>
      </c>
      <c r="FV238" s="56">
        <f t="shared" si="656"/>
        <v>0</v>
      </c>
      <c r="FW238" s="56">
        <f t="shared" si="656"/>
        <v>0</v>
      </c>
      <c r="FX238" s="56">
        <f t="shared" si="656"/>
        <v>0</v>
      </c>
      <c r="FY238" s="56">
        <f t="shared" si="656"/>
        <v>0</v>
      </c>
      <c r="FZ238" s="56">
        <f t="shared" si="656"/>
        <v>0</v>
      </c>
      <c r="GA238" s="56">
        <f t="shared" si="656"/>
        <v>0</v>
      </c>
      <c r="GB238" s="56">
        <f t="shared" si="656"/>
        <v>0</v>
      </c>
      <c r="GC238" s="56">
        <f t="shared" si="656"/>
        <v>0</v>
      </c>
      <c r="GD238" s="56">
        <f t="shared" si="656"/>
        <v>0</v>
      </c>
      <c r="GE238" s="56">
        <f t="shared" si="656"/>
        <v>0</v>
      </c>
      <c r="GF238" s="56">
        <f t="shared" si="656"/>
        <v>0</v>
      </c>
      <c r="GG238" s="56">
        <f t="shared" si="656"/>
        <v>0</v>
      </c>
      <c r="GH238" s="56">
        <f t="shared" si="656"/>
        <v>0</v>
      </c>
      <c r="GI238" s="56">
        <f t="shared" si="656"/>
        <v>0</v>
      </c>
      <c r="GJ238" s="56">
        <f t="shared" si="656"/>
        <v>0</v>
      </c>
      <c r="GK238" s="56">
        <f t="shared" si="656"/>
        <v>0</v>
      </c>
      <c r="GL238" s="56">
        <f t="shared" si="656"/>
        <v>0</v>
      </c>
      <c r="GM238" s="56">
        <f t="shared" si="656"/>
        <v>0</v>
      </c>
      <c r="GN238" s="56">
        <f t="shared" si="656"/>
        <v>0</v>
      </c>
      <c r="GO238" s="56">
        <f t="shared" si="656"/>
        <v>0</v>
      </c>
      <c r="GP238" s="56">
        <f t="shared" si="656"/>
        <v>0</v>
      </c>
    </row>
    <row r="239" spans="1:198" x14ac:dyDescent="0.35">
      <c r="A239" s="55" t="str">
        <f t="shared" si="524"/>
        <v>Available in future &gt; Future deployments</v>
      </c>
      <c r="B239" s="55" t="s">
        <v>298</v>
      </c>
      <c r="K239" s="56">
        <f t="shared" ref="K239:AP239" si="657">IF(K189&gt;0,MAX(0,K164-K213),0)</f>
        <v>0</v>
      </c>
      <c r="L239" s="56">
        <f t="shared" si="657"/>
        <v>0</v>
      </c>
      <c r="M239" s="56">
        <f t="shared" si="657"/>
        <v>0</v>
      </c>
      <c r="N239" s="56">
        <f t="shared" si="657"/>
        <v>0</v>
      </c>
      <c r="O239" s="56">
        <f t="shared" si="657"/>
        <v>0</v>
      </c>
      <c r="P239" s="56">
        <f t="shared" si="657"/>
        <v>0</v>
      </c>
      <c r="Q239" s="56">
        <f t="shared" si="657"/>
        <v>0</v>
      </c>
      <c r="R239" s="56">
        <f t="shared" si="657"/>
        <v>0</v>
      </c>
      <c r="S239" s="56">
        <f t="shared" si="657"/>
        <v>0</v>
      </c>
      <c r="T239" s="56">
        <f t="shared" si="657"/>
        <v>0</v>
      </c>
      <c r="U239" s="56">
        <f t="shared" si="657"/>
        <v>0</v>
      </c>
      <c r="V239" s="56">
        <f t="shared" si="657"/>
        <v>0</v>
      </c>
      <c r="W239" s="56">
        <f t="shared" si="657"/>
        <v>0</v>
      </c>
      <c r="X239" s="56">
        <f t="shared" si="657"/>
        <v>0</v>
      </c>
      <c r="Y239" s="56">
        <f t="shared" si="657"/>
        <v>0</v>
      </c>
      <c r="Z239" s="56">
        <f t="shared" si="657"/>
        <v>0</v>
      </c>
      <c r="AA239" s="56">
        <f t="shared" si="657"/>
        <v>0</v>
      </c>
      <c r="AB239" s="56">
        <f t="shared" si="657"/>
        <v>0</v>
      </c>
      <c r="AC239" s="56">
        <f t="shared" si="657"/>
        <v>0</v>
      </c>
      <c r="AD239" s="56">
        <f t="shared" si="657"/>
        <v>0</v>
      </c>
      <c r="AE239" s="56">
        <f t="shared" si="657"/>
        <v>0</v>
      </c>
      <c r="AF239" s="56">
        <f t="shared" si="657"/>
        <v>0</v>
      </c>
      <c r="AG239" s="56">
        <f t="shared" si="657"/>
        <v>0</v>
      </c>
      <c r="AH239" s="56">
        <f t="shared" si="657"/>
        <v>0</v>
      </c>
      <c r="AI239" s="56">
        <f t="shared" si="657"/>
        <v>0</v>
      </c>
      <c r="AJ239" s="56">
        <f t="shared" si="657"/>
        <v>0</v>
      </c>
      <c r="AK239" s="56">
        <f t="shared" si="657"/>
        <v>0</v>
      </c>
      <c r="AL239" s="56">
        <f t="shared" si="657"/>
        <v>0</v>
      </c>
      <c r="AM239" s="56">
        <f t="shared" si="657"/>
        <v>0</v>
      </c>
      <c r="AN239" s="56">
        <f t="shared" si="657"/>
        <v>0</v>
      </c>
      <c r="AO239" s="56">
        <f t="shared" si="657"/>
        <v>0</v>
      </c>
      <c r="AP239" s="56">
        <f t="shared" si="657"/>
        <v>0</v>
      </c>
      <c r="AQ239" s="56">
        <f t="shared" ref="AQ239:BV239" si="658">IF(AQ189&gt;0,MAX(0,AQ164-AQ213),0)</f>
        <v>0</v>
      </c>
      <c r="AR239" s="56">
        <f t="shared" si="658"/>
        <v>0</v>
      </c>
      <c r="AS239" s="56">
        <f t="shared" si="658"/>
        <v>0</v>
      </c>
      <c r="AT239" s="56">
        <f t="shared" si="658"/>
        <v>0</v>
      </c>
      <c r="AU239" s="56">
        <f t="shared" si="658"/>
        <v>0</v>
      </c>
      <c r="AV239" s="56">
        <f t="shared" si="658"/>
        <v>0</v>
      </c>
      <c r="AW239" s="56">
        <f t="shared" si="658"/>
        <v>0</v>
      </c>
      <c r="AX239" s="56">
        <f t="shared" si="658"/>
        <v>0</v>
      </c>
      <c r="AY239" s="56">
        <f t="shared" si="658"/>
        <v>0</v>
      </c>
      <c r="AZ239" s="56">
        <f t="shared" si="658"/>
        <v>0</v>
      </c>
      <c r="BA239" s="56">
        <f t="shared" si="658"/>
        <v>0</v>
      </c>
      <c r="BB239" s="56">
        <f t="shared" si="658"/>
        <v>0</v>
      </c>
      <c r="BC239" s="56">
        <f t="shared" si="658"/>
        <v>0</v>
      </c>
      <c r="BD239" s="56">
        <f t="shared" si="658"/>
        <v>0</v>
      </c>
      <c r="BE239" s="56">
        <f t="shared" si="658"/>
        <v>0</v>
      </c>
      <c r="BF239" s="56">
        <f t="shared" si="658"/>
        <v>0</v>
      </c>
      <c r="BG239" s="56">
        <f t="shared" si="658"/>
        <v>0</v>
      </c>
      <c r="BH239" s="56">
        <f t="shared" si="658"/>
        <v>0</v>
      </c>
      <c r="BI239" s="56">
        <f t="shared" si="658"/>
        <v>0</v>
      </c>
      <c r="BJ239" s="56">
        <f t="shared" si="658"/>
        <v>0</v>
      </c>
      <c r="BK239" s="56">
        <f t="shared" si="658"/>
        <v>0</v>
      </c>
      <c r="BL239" s="56">
        <f t="shared" si="658"/>
        <v>0</v>
      </c>
      <c r="BM239" s="56">
        <f t="shared" si="658"/>
        <v>0</v>
      </c>
      <c r="BN239" s="56">
        <f t="shared" si="658"/>
        <v>0</v>
      </c>
      <c r="BO239" s="56">
        <f t="shared" si="658"/>
        <v>0</v>
      </c>
      <c r="BP239" s="56">
        <f t="shared" si="658"/>
        <v>0</v>
      </c>
      <c r="BQ239" s="56">
        <f t="shared" si="658"/>
        <v>0</v>
      </c>
      <c r="BR239" s="56">
        <f t="shared" si="658"/>
        <v>0</v>
      </c>
      <c r="BS239" s="56">
        <f t="shared" si="658"/>
        <v>0</v>
      </c>
      <c r="BT239" s="56">
        <f t="shared" si="658"/>
        <v>0</v>
      </c>
      <c r="BU239" s="56">
        <f t="shared" si="658"/>
        <v>0</v>
      </c>
      <c r="BV239" s="56">
        <f t="shared" si="658"/>
        <v>0</v>
      </c>
      <c r="BW239" s="56">
        <f t="shared" ref="BW239:DB239" si="659">IF(BW189&gt;0,MAX(0,BW164-BW213),0)</f>
        <v>0</v>
      </c>
      <c r="BX239" s="56">
        <f t="shared" si="659"/>
        <v>0</v>
      </c>
      <c r="BY239" s="56">
        <f t="shared" si="659"/>
        <v>0</v>
      </c>
      <c r="BZ239" s="56">
        <f t="shared" si="659"/>
        <v>0</v>
      </c>
      <c r="CA239" s="56">
        <f t="shared" si="659"/>
        <v>0</v>
      </c>
      <c r="CB239" s="56">
        <f t="shared" si="659"/>
        <v>0</v>
      </c>
      <c r="CC239" s="56">
        <f t="shared" si="659"/>
        <v>0</v>
      </c>
      <c r="CD239" s="56">
        <f t="shared" si="659"/>
        <v>0</v>
      </c>
      <c r="CE239" s="56">
        <f t="shared" si="659"/>
        <v>0</v>
      </c>
      <c r="CF239" s="56">
        <f t="shared" si="659"/>
        <v>0</v>
      </c>
      <c r="CG239" s="56">
        <f t="shared" si="659"/>
        <v>0</v>
      </c>
      <c r="CH239" s="56">
        <f t="shared" si="659"/>
        <v>0</v>
      </c>
      <c r="CI239" s="56">
        <f t="shared" si="659"/>
        <v>0</v>
      </c>
      <c r="CJ239" s="56">
        <f t="shared" si="659"/>
        <v>0</v>
      </c>
      <c r="CK239" s="56">
        <f t="shared" si="659"/>
        <v>0</v>
      </c>
      <c r="CL239" s="56">
        <f t="shared" si="659"/>
        <v>0</v>
      </c>
      <c r="CM239" s="56">
        <f t="shared" si="659"/>
        <v>0</v>
      </c>
      <c r="CN239" s="56">
        <f t="shared" si="659"/>
        <v>0</v>
      </c>
      <c r="CO239" s="56">
        <f t="shared" si="659"/>
        <v>0</v>
      </c>
      <c r="CP239" s="56">
        <f t="shared" si="659"/>
        <v>0</v>
      </c>
      <c r="CQ239" s="56">
        <f t="shared" si="659"/>
        <v>0</v>
      </c>
      <c r="CR239" s="56">
        <f t="shared" si="659"/>
        <v>0</v>
      </c>
      <c r="CS239" s="56">
        <f t="shared" si="659"/>
        <v>0</v>
      </c>
      <c r="CT239" s="56">
        <f t="shared" si="659"/>
        <v>0</v>
      </c>
      <c r="CU239" s="56">
        <f t="shared" si="659"/>
        <v>0</v>
      </c>
      <c r="CV239" s="56">
        <f t="shared" si="659"/>
        <v>0</v>
      </c>
      <c r="CW239" s="56">
        <f t="shared" si="659"/>
        <v>0</v>
      </c>
      <c r="CX239" s="56">
        <f t="shared" si="659"/>
        <v>0</v>
      </c>
      <c r="CY239" s="56">
        <f t="shared" si="659"/>
        <v>0</v>
      </c>
      <c r="CZ239" s="56">
        <f t="shared" si="659"/>
        <v>0</v>
      </c>
      <c r="DA239" s="56">
        <f t="shared" si="659"/>
        <v>0</v>
      </c>
      <c r="DB239" s="56">
        <f t="shared" si="659"/>
        <v>0</v>
      </c>
      <c r="DC239" s="56">
        <f t="shared" ref="DC239:EH239" si="660">IF(DC189&gt;0,MAX(0,DC164-DC213),0)</f>
        <v>0</v>
      </c>
      <c r="DD239" s="56">
        <f t="shared" si="660"/>
        <v>0</v>
      </c>
      <c r="DE239" s="56">
        <f t="shared" si="660"/>
        <v>0</v>
      </c>
      <c r="DF239" s="56">
        <f t="shared" si="660"/>
        <v>0</v>
      </c>
      <c r="DG239" s="56">
        <f t="shared" si="660"/>
        <v>0</v>
      </c>
      <c r="DH239" s="56">
        <f t="shared" si="660"/>
        <v>0</v>
      </c>
      <c r="DI239" s="56">
        <f t="shared" si="660"/>
        <v>0</v>
      </c>
      <c r="DJ239" s="56">
        <f t="shared" si="660"/>
        <v>0</v>
      </c>
      <c r="DK239" s="56">
        <f t="shared" si="660"/>
        <v>0</v>
      </c>
      <c r="DL239" s="56">
        <f t="shared" si="660"/>
        <v>0</v>
      </c>
      <c r="DM239" s="56">
        <f t="shared" si="660"/>
        <v>0</v>
      </c>
      <c r="DN239" s="56">
        <f t="shared" si="660"/>
        <v>0</v>
      </c>
      <c r="DO239" s="56">
        <f t="shared" si="660"/>
        <v>0</v>
      </c>
      <c r="DP239" s="56">
        <f t="shared" si="660"/>
        <v>0</v>
      </c>
      <c r="DQ239" s="56">
        <f t="shared" ca="1" si="660"/>
        <v>10.126315789473685</v>
      </c>
      <c r="DR239" s="56">
        <f t="shared" ca="1" si="660"/>
        <v>10.12763471969083</v>
      </c>
      <c r="DS239" s="56">
        <f t="shared" ca="1" si="660"/>
        <v>10.131588611047407</v>
      </c>
      <c r="DT239" s="56">
        <f t="shared" ca="1" si="660"/>
        <v>10.138168772032104</v>
      </c>
      <c r="DU239" s="56">
        <f t="shared" ca="1" si="660"/>
        <v>10.147360738022993</v>
      </c>
      <c r="DV239" s="56">
        <f t="shared" ca="1" si="660"/>
        <v>10.159144303083909</v>
      </c>
      <c r="DW239" s="56">
        <f t="shared" ca="1" si="660"/>
        <v>10.173493564381477</v>
      </c>
      <c r="DX239" s="56">
        <f t="shared" ca="1" si="660"/>
        <v>10.190376979125164</v>
      </c>
      <c r="DY239" s="56">
        <f t="shared" ca="1" si="660"/>
        <v>10.20975743390518</v>
      </c>
      <c r="DZ239" s="56">
        <f t="shared" ca="1" si="660"/>
        <v>10.231592326275809</v>
      </c>
      <c r="EA239" s="56">
        <f t="shared" ca="1" si="660"/>
        <v>10.255833658404821</v>
      </c>
      <c r="EB239" s="56">
        <f t="shared" ca="1" si="660"/>
        <v>10.282428142583136</v>
      </c>
      <c r="EC239" s="56">
        <f t="shared" ca="1" si="660"/>
        <v>10.311317318362768</v>
      </c>
      <c r="ED239" s="56">
        <f t="shared" ca="1" si="660"/>
        <v>10.342437681065576</v>
      </c>
      <c r="EE239" s="56">
        <f t="shared" ca="1" si="660"/>
        <v>10.37572082138033</v>
      </c>
      <c r="EF239" s="56">
        <f t="shared" ca="1" si="660"/>
        <v>10.411093575741226</v>
      </c>
      <c r="EG239" s="56">
        <f t="shared" ca="1" si="660"/>
        <v>10.448478187157281</v>
      </c>
      <c r="EH239" s="56">
        <f t="shared" ca="1" si="660"/>
        <v>10.487792476139076</v>
      </c>
      <c r="EI239" s="56">
        <f t="shared" ref="EI239:FN239" ca="1" si="661">IF(EI189&gt;0,MAX(0,EI164-EI213),0)</f>
        <v>10.528950021347098</v>
      </c>
      <c r="EJ239" s="56">
        <f t="shared" ca="1" si="661"/>
        <v>10.571860349564624</v>
      </c>
      <c r="EK239" s="56">
        <f t="shared" ca="1" si="661"/>
        <v>10.616429134577459</v>
      </c>
      <c r="EL239" s="56">
        <f t="shared" ca="1" si="661"/>
        <v>10.662558404523446</v>
      </c>
      <c r="EM239" s="56">
        <f t="shared" ca="1" si="661"/>
        <v>10.710146757255874</v>
      </c>
      <c r="EN239" s="56">
        <f t="shared" ca="1" si="661"/>
        <v>10.759089583247407</v>
      </c>
      <c r="EO239" s="56">
        <f t="shared" ca="1" si="661"/>
        <v>10.80927929554452</v>
      </c>
      <c r="EP239" s="56">
        <f t="shared" ca="1" si="661"/>
        <v>10.860605566266985</v>
      </c>
      <c r="EQ239" s="56">
        <f t="shared" ca="1" si="661"/>
        <v>10.912955569132485</v>
      </c>
      <c r="ER239" s="56">
        <f t="shared" ca="1" si="661"/>
        <v>10.966214227473277</v>
      </c>
      <c r="ES239" s="56">
        <f t="shared" ca="1" si="661"/>
        <v>11.020264467199674</v>
      </c>
      <c r="ET239" s="56">
        <f t="shared" ca="1" si="661"/>
        <v>11.074987474154312</v>
      </c>
      <c r="EU239" s="56">
        <f t="shared" ca="1" si="661"/>
        <v>11.13026295529145</v>
      </c>
      <c r="EV239" s="56">
        <f t="shared" ca="1" si="661"/>
        <v>11.185969403107187</v>
      </c>
      <c r="EW239" s="56">
        <f t="shared" ca="1" si="661"/>
        <v>11.241984362739334</v>
      </c>
      <c r="EX239" s="56">
        <f t="shared" ca="1" si="661"/>
        <v>11.298184701149772</v>
      </c>
      <c r="EY239" s="56">
        <f t="shared" ca="1" si="661"/>
        <v>11.354446877797598</v>
      </c>
      <c r="EZ239" s="56">
        <f t="shared" ca="1" si="661"/>
        <v>11.410647216208037</v>
      </c>
      <c r="FA239" s="56">
        <f t="shared" ca="1" si="661"/>
        <v>11.466662175840185</v>
      </c>
      <c r="FB239" s="56">
        <f t="shared" ca="1" si="661"/>
        <v>11.522368623655922</v>
      </c>
      <c r="FC239" s="56">
        <f t="shared" ca="1" si="661"/>
        <v>11.577644104793059</v>
      </c>
      <c r="FD239" s="56">
        <f t="shared" ca="1" si="661"/>
        <v>11.632367111747698</v>
      </c>
      <c r="FE239" s="56">
        <f t="shared" ca="1" si="661"/>
        <v>11.686417351474095</v>
      </c>
      <c r="FF239" s="56">
        <f t="shared" ca="1" si="661"/>
        <v>11.739676009814886</v>
      </c>
      <c r="FG239" s="56">
        <f t="shared" ca="1" si="661"/>
        <v>11.792026012680386</v>
      </c>
      <c r="FH239" s="56">
        <f t="shared" ca="1" si="661"/>
        <v>11.843352283402851</v>
      </c>
      <c r="FI239" s="56">
        <f t="shared" ca="1" si="661"/>
        <v>11.893541995699964</v>
      </c>
      <c r="FJ239" s="56">
        <f t="shared" ca="1" si="661"/>
        <v>11.942484821691497</v>
      </c>
      <c r="FK239" s="56">
        <f t="shared" ca="1" si="661"/>
        <v>11.990073174423925</v>
      </c>
      <c r="FL239" s="56">
        <f t="shared" ca="1" si="661"/>
        <v>12.036202444369913</v>
      </c>
      <c r="FM239" s="56">
        <f t="shared" ca="1" si="661"/>
        <v>12.080771229382748</v>
      </c>
      <c r="FN239" s="56">
        <f t="shared" ca="1" si="661"/>
        <v>12.123681557600273</v>
      </c>
      <c r="FO239" s="56">
        <f t="shared" ref="FO239:GP239" ca="1" si="662">IF(FO189&gt;0,MAX(0,FO164-FO213),0)</f>
        <v>12.164839102808296</v>
      </c>
      <c r="FP239" s="56">
        <f t="shared" ca="1" si="662"/>
        <v>12.20415339179009</v>
      </c>
      <c r="FQ239" s="56">
        <f t="shared" ca="1" si="662"/>
        <v>12.241538003206145</v>
      </c>
      <c r="FR239" s="56">
        <f t="shared" ca="1" si="662"/>
        <v>12.276910757567041</v>
      </c>
      <c r="FS239" s="56">
        <f t="shared" ca="1" si="662"/>
        <v>12.310193897881796</v>
      </c>
      <c r="FT239" s="56">
        <f t="shared" ca="1" si="662"/>
        <v>12.341314260584603</v>
      </c>
      <c r="FU239" s="56">
        <f t="shared" ca="1" si="662"/>
        <v>12.370203436364235</v>
      </c>
      <c r="FV239" s="56">
        <f t="shared" ca="1" si="662"/>
        <v>12.39679792054255</v>
      </c>
      <c r="FW239" s="56">
        <f t="shared" ca="1" si="662"/>
        <v>12.421039252671562</v>
      </c>
      <c r="FX239" s="56">
        <f t="shared" ca="1" si="662"/>
        <v>12.44287414504219</v>
      </c>
      <c r="FY239" s="56">
        <f t="shared" ca="1" si="662"/>
        <v>12.462254599822208</v>
      </c>
      <c r="FZ239" s="56">
        <f t="shared" ca="1" si="662"/>
        <v>12.479138014565894</v>
      </c>
      <c r="GA239" s="56">
        <f t="shared" ca="1" si="662"/>
        <v>12.493487275863462</v>
      </c>
      <c r="GB239" s="56">
        <f t="shared" ca="1" si="662"/>
        <v>12.505270840924378</v>
      </c>
      <c r="GC239" s="56">
        <f t="shared" ca="1" si="662"/>
        <v>12.514462806915269</v>
      </c>
      <c r="GD239" s="56">
        <f t="shared" ca="1" si="662"/>
        <v>12.521042967899964</v>
      </c>
      <c r="GE239" s="56">
        <f t="shared" ca="1" si="662"/>
        <v>12.524996859256539</v>
      </c>
      <c r="GF239" s="56">
        <f t="shared" ca="1" si="662"/>
        <v>12.526315789473687</v>
      </c>
      <c r="GG239" s="56">
        <f t="shared" ca="1" si="662"/>
        <v>12.526315789473687</v>
      </c>
      <c r="GH239" s="56">
        <f t="shared" ca="1" si="662"/>
        <v>12.526315789473687</v>
      </c>
      <c r="GI239" s="56">
        <f t="shared" ca="1" si="662"/>
        <v>12.526315789473687</v>
      </c>
      <c r="GJ239" s="56">
        <f t="shared" ca="1" si="662"/>
        <v>12.526315789473687</v>
      </c>
      <c r="GK239" s="56">
        <f t="shared" ca="1" si="662"/>
        <v>12.526315789473687</v>
      </c>
      <c r="GL239" s="56">
        <f t="shared" ca="1" si="662"/>
        <v>12.526315789473687</v>
      </c>
      <c r="GM239" s="56">
        <f t="shared" ca="1" si="662"/>
        <v>12.526315789473687</v>
      </c>
      <c r="GN239" s="56">
        <f t="shared" ca="1" si="662"/>
        <v>12.526315789473687</v>
      </c>
      <c r="GO239" s="56">
        <f t="shared" ca="1" si="662"/>
        <v>12.526315789473687</v>
      </c>
      <c r="GP239" s="56">
        <f t="shared" ca="1" si="662"/>
        <v>12.526315789473687</v>
      </c>
    </row>
  </sheetData>
  <mergeCells count="10">
    <mergeCell ref="G8:I8"/>
    <mergeCell ref="G9:I9"/>
    <mergeCell ref="G10:I10"/>
    <mergeCell ref="G11:I11"/>
    <mergeCell ref="G12:I12"/>
    <mergeCell ref="G13:I13"/>
    <mergeCell ref="G14:I14"/>
    <mergeCell ref="G15:I15"/>
    <mergeCell ref="G16:I16"/>
    <mergeCell ref="G17:I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Executive Dashboard</vt:lpstr>
      <vt:lpstr>Recruitement Dashboard</vt:lpstr>
      <vt:lpstr>HR-Input</vt:lpstr>
      <vt:lpstr>Dashboard - Training</vt:lpstr>
      <vt:lpstr>Input - Trainers</vt:lpstr>
      <vt:lpstr>Deployment Dashboard</vt:lpstr>
      <vt:lpstr>Master-Input</vt:lpstr>
      <vt:lpstr>Calc</vt:lpstr>
      <vt:lpstr>'Executive 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Keerthy Kiran Raghuveer</cp:lastModifiedBy>
  <cp:revision>3</cp:revision>
  <dcterms:created xsi:type="dcterms:W3CDTF">2026-10-04T14:37:10Z</dcterms:created>
  <dcterms:modified xsi:type="dcterms:W3CDTF">2026-10-07T14:28:13Z</dcterms:modified>
  <cp:category/>
  <cp:contentStatus/>
</cp:coreProperties>
</file>